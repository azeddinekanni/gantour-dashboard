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dd\Desktop\"/>
    </mc:Choice>
  </mc:AlternateContent>
  <xr:revisionPtr revIDLastSave="0" documentId="13_ncr:1_{0A3B28DE-B55A-4344-AD0C-0AA2E42B4A7B}" xr6:coauthVersionLast="47" xr6:coauthVersionMax="47" xr10:uidLastSave="{00000000-0000-0000-0000-000000000000}"/>
  <bookViews>
    <workbookView xWindow="-120" yWindow="-120" windowWidth="20730" windowHeight="11040" xr2:uid="{F8C284B4-1D39-46D0-A41F-EB82D7ED6E67}"/>
  </bookViews>
  <sheets>
    <sheet name="Base Fin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8" i="1" l="1"/>
  <c r="V86" i="1"/>
  <c r="P92" i="1"/>
  <c r="K398" i="1"/>
  <c r="L398" i="1"/>
  <c r="V39" i="1"/>
  <c r="V676" i="1"/>
  <c r="U679" i="1"/>
  <c r="V679" i="1" s="1"/>
  <c r="U478" i="1"/>
  <c r="V478" i="1" s="1"/>
  <c r="U223" i="1"/>
  <c r="V223" i="1" s="1"/>
  <c r="U21" i="1"/>
  <c r="V21" i="1" s="1"/>
  <c r="L424" i="1"/>
  <c r="L746" i="1"/>
  <c r="L1002" i="1"/>
  <c r="L1250" i="1"/>
  <c r="L1314" i="1"/>
  <c r="L1362" i="1"/>
  <c r="L1394" i="1"/>
  <c r="L1450" i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K1450" i="1"/>
  <c r="K1449" i="1"/>
  <c r="L1449" i="1" s="1"/>
  <c r="K1448" i="1"/>
  <c r="L1448" i="1" s="1"/>
  <c r="K1447" i="1"/>
  <c r="L1447" i="1" s="1"/>
  <c r="K1446" i="1"/>
  <c r="L1446" i="1" s="1"/>
  <c r="K1445" i="1"/>
  <c r="L1445" i="1" s="1"/>
  <c r="K1444" i="1"/>
  <c r="L1444" i="1" s="1"/>
  <c r="K1443" i="1"/>
  <c r="L1443" i="1" s="1"/>
  <c r="K1442" i="1"/>
  <c r="L1442" i="1" s="1"/>
  <c r="K1441" i="1"/>
  <c r="L1441" i="1" s="1"/>
  <c r="K1440" i="1"/>
  <c r="L1440" i="1" s="1"/>
  <c r="K1439" i="1"/>
  <c r="L1439" i="1" s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K1432" i="1"/>
  <c r="L1432" i="1" s="1"/>
  <c r="K1431" i="1"/>
  <c r="L1431" i="1" s="1"/>
  <c r="K1430" i="1"/>
  <c r="L1430" i="1" s="1"/>
  <c r="K1429" i="1"/>
  <c r="L1429" i="1" s="1"/>
  <c r="K1428" i="1"/>
  <c r="L1428" i="1" s="1"/>
  <c r="K1427" i="1"/>
  <c r="L1427" i="1" s="1"/>
  <c r="K1426" i="1"/>
  <c r="L1426" i="1" s="1"/>
  <c r="K1425" i="1"/>
  <c r="L1425" i="1" s="1"/>
  <c r="K1424" i="1"/>
  <c r="L1424" i="1" s="1"/>
  <c r="K1423" i="1"/>
  <c r="L1423" i="1" s="1"/>
  <c r="K1422" i="1"/>
  <c r="L1422" i="1" s="1"/>
  <c r="K1421" i="1"/>
  <c r="L1421" i="1" s="1"/>
  <c r="K1420" i="1"/>
  <c r="L1420" i="1" s="1"/>
  <c r="K1419" i="1"/>
  <c r="L1419" i="1" s="1"/>
  <c r="K1418" i="1"/>
  <c r="L1418" i="1" s="1"/>
  <c r="K1417" i="1"/>
  <c r="L1417" i="1" s="1"/>
  <c r="K1416" i="1"/>
  <c r="L1416" i="1" s="1"/>
  <c r="K1415" i="1"/>
  <c r="L1415" i="1" s="1"/>
  <c r="K1414" i="1"/>
  <c r="L1414" i="1" s="1"/>
  <c r="K1413" i="1"/>
  <c r="L1413" i="1" s="1"/>
  <c r="K1412" i="1"/>
  <c r="L1412" i="1" s="1"/>
  <c r="K1411" i="1"/>
  <c r="L1411" i="1" s="1"/>
  <c r="K1410" i="1"/>
  <c r="L1410" i="1" s="1"/>
  <c r="K1409" i="1"/>
  <c r="L1409" i="1" s="1"/>
  <c r="K1408" i="1"/>
  <c r="L1408" i="1" s="1"/>
  <c r="K1407" i="1"/>
  <c r="L1407" i="1" s="1"/>
  <c r="K1406" i="1"/>
  <c r="L1406" i="1" s="1"/>
  <c r="K1405" i="1"/>
  <c r="L1405" i="1" s="1"/>
  <c r="K1404" i="1"/>
  <c r="L1404" i="1" s="1"/>
  <c r="K1403" i="1"/>
  <c r="L1403" i="1" s="1"/>
  <c r="K1402" i="1"/>
  <c r="L1402" i="1" s="1"/>
  <c r="K1401" i="1"/>
  <c r="L1401" i="1" s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K1394" i="1"/>
  <c r="K1393" i="1"/>
  <c r="L1393" i="1" s="1"/>
  <c r="K1392" i="1"/>
  <c r="L1392" i="1" s="1"/>
  <c r="K1391" i="1"/>
  <c r="L1391" i="1" s="1"/>
  <c r="K1390" i="1"/>
  <c r="L1390" i="1" s="1"/>
  <c r="K1389" i="1"/>
  <c r="L1389" i="1" s="1"/>
  <c r="K1388" i="1"/>
  <c r="L1388" i="1" s="1"/>
  <c r="K1387" i="1"/>
  <c r="L1387" i="1" s="1"/>
  <c r="K1386" i="1"/>
  <c r="L1386" i="1" s="1"/>
  <c r="K1385" i="1"/>
  <c r="L1385" i="1" s="1"/>
  <c r="K1384" i="1"/>
  <c r="L1384" i="1" s="1"/>
  <c r="K1383" i="1"/>
  <c r="L1383" i="1" s="1"/>
  <c r="K1382" i="1"/>
  <c r="L1382" i="1" s="1"/>
  <c r="K1381" i="1"/>
  <c r="L1381" i="1" s="1"/>
  <c r="K1380" i="1"/>
  <c r="L1380" i="1" s="1"/>
  <c r="K1379" i="1"/>
  <c r="L1379" i="1" s="1"/>
  <c r="K1378" i="1"/>
  <c r="L1378" i="1" s="1"/>
  <c r="K1377" i="1"/>
  <c r="L1377" i="1" s="1"/>
  <c r="K1376" i="1"/>
  <c r="L1376" i="1" s="1"/>
  <c r="K1375" i="1"/>
  <c r="L1375" i="1" s="1"/>
  <c r="K1374" i="1"/>
  <c r="L1374" i="1" s="1"/>
  <c r="K1373" i="1"/>
  <c r="L1373" i="1" s="1"/>
  <c r="K1372" i="1"/>
  <c r="L1372" i="1" s="1"/>
  <c r="K1371" i="1"/>
  <c r="L1371" i="1" s="1"/>
  <c r="K1370" i="1"/>
  <c r="L1370" i="1" s="1"/>
  <c r="K1369" i="1"/>
  <c r="L1369" i="1" s="1"/>
  <c r="K1368" i="1"/>
  <c r="L1368" i="1" s="1"/>
  <c r="K1367" i="1"/>
  <c r="L1367" i="1" s="1"/>
  <c r="K1366" i="1"/>
  <c r="L1366" i="1" s="1"/>
  <c r="K1365" i="1"/>
  <c r="L1365" i="1" s="1"/>
  <c r="K1364" i="1"/>
  <c r="L1364" i="1" s="1"/>
  <c r="K1363" i="1"/>
  <c r="L1363" i="1" s="1"/>
  <c r="K1362" i="1"/>
  <c r="K1361" i="1"/>
  <c r="L1361" i="1" s="1"/>
  <c r="K1360" i="1"/>
  <c r="L1360" i="1" s="1"/>
  <c r="K1359" i="1"/>
  <c r="L1359" i="1" s="1"/>
  <c r="K1358" i="1"/>
  <c r="L1358" i="1" s="1"/>
  <c r="K1357" i="1"/>
  <c r="L1357" i="1" s="1"/>
  <c r="K1356" i="1"/>
  <c r="L1356" i="1" s="1"/>
  <c r="K1355" i="1"/>
  <c r="L1355" i="1" s="1"/>
  <c r="K1354" i="1"/>
  <c r="L1354" i="1" s="1"/>
  <c r="K1353" i="1"/>
  <c r="L1353" i="1" s="1"/>
  <c r="K1352" i="1"/>
  <c r="L1352" i="1" s="1"/>
  <c r="K1351" i="1"/>
  <c r="L1351" i="1" s="1"/>
  <c r="K1350" i="1"/>
  <c r="L1350" i="1" s="1"/>
  <c r="K1349" i="1"/>
  <c r="L1349" i="1" s="1"/>
  <c r="K1348" i="1"/>
  <c r="L1348" i="1" s="1"/>
  <c r="K1347" i="1"/>
  <c r="L1347" i="1" s="1"/>
  <c r="K1346" i="1"/>
  <c r="L1346" i="1" s="1"/>
  <c r="K1345" i="1"/>
  <c r="L1345" i="1" s="1"/>
  <c r="K1344" i="1"/>
  <c r="L1344" i="1" s="1"/>
  <c r="K1343" i="1"/>
  <c r="L1343" i="1" s="1"/>
  <c r="K1342" i="1"/>
  <c r="L1342" i="1" s="1"/>
  <c r="K1341" i="1"/>
  <c r="L1341" i="1" s="1"/>
  <c r="K1340" i="1"/>
  <c r="L1340" i="1" s="1"/>
  <c r="K1339" i="1"/>
  <c r="L1339" i="1" s="1"/>
  <c r="K1338" i="1"/>
  <c r="L1338" i="1" s="1"/>
  <c r="K1337" i="1"/>
  <c r="L1337" i="1" s="1"/>
  <c r="K1336" i="1"/>
  <c r="L1336" i="1" s="1"/>
  <c r="K1335" i="1"/>
  <c r="L1335" i="1" s="1"/>
  <c r="K1334" i="1"/>
  <c r="L1334" i="1" s="1"/>
  <c r="K1333" i="1"/>
  <c r="L1333" i="1" s="1"/>
  <c r="K1332" i="1"/>
  <c r="L1332" i="1" s="1"/>
  <c r="K1331" i="1"/>
  <c r="L1331" i="1" s="1"/>
  <c r="K1330" i="1"/>
  <c r="L1330" i="1" s="1"/>
  <c r="K1329" i="1"/>
  <c r="L1329" i="1" s="1"/>
  <c r="K1328" i="1"/>
  <c r="L1328" i="1" s="1"/>
  <c r="K1327" i="1"/>
  <c r="L1327" i="1" s="1"/>
  <c r="K1326" i="1"/>
  <c r="L1326" i="1" s="1"/>
  <c r="K1325" i="1"/>
  <c r="L1325" i="1" s="1"/>
  <c r="K1324" i="1"/>
  <c r="L1324" i="1" s="1"/>
  <c r="K1323" i="1"/>
  <c r="L1323" i="1" s="1"/>
  <c r="K1322" i="1"/>
  <c r="L1322" i="1" s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K1314" i="1"/>
  <c r="K1313" i="1"/>
  <c r="L1313" i="1" s="1"/>
  <c r="K1312" i="1"/>
  <c r="L1312" i="1" s="1"/>
  <c r="K1311" i="1"/>
  <c r="L1311" i="1" s="1"/>
  <c r="K1310" i="1"/>
  <c r="L1310" i="1" s="1"/>
  <c r="K1309" i="1"/>
  <c r="L1309" i="1" s="1"/>
  <c r="K1308" i="1"/>
  <c r="L1308" i="1" s="1"/>
  <c r="K1307" i="1"/>
  <c r="L1307" i="1" s="1"/>
  <c r="K1306" i="1"/>
  <c r="L1306" i="1" s="1"/>
  <c r="K1305" i="1"/>
  <c r="L1305" i="1" s="1"/>
  <c r="K1304" i="1"/>
  <c r="L1304" i="1" s="1"/>
  <c r="K1303" i="1"/>
  <c r="L1303" i="1" s="1"/>
  <c r="K1302" i="1"/>
  <c r="L1302" i="1" s="1"/>
  <c r="K1301" i="1"/>
  <c r="L1301" i="1" s="1"/>
  <c r="K1300" i="1"/>
  <c r="L1300" i="1" s="1"/>
  <c r="K1299" i="1"/>
  <c r="L1299" i="1" s="1"/>
  <c r="K1298" i="1"/>
  <c r="L1298" i="1" s="1"/>
  <c r="K1297" i="1"/>
  <c r="L1297" i="1" s="1"/>
  <c r="K1296" i="1"/>
  <c r="L1296" i="1" s="1"/>
  <c r="K1295" i="1"/>
  <c r="L1295" i="1" s="1"/>
  <c r="K1294" i="1"/>
  <c r="L1294" i="1" s="1"/>
  <c r="K1293" i="1"/>
  <c r="L1293" i="1" s="1"/>
  <c r="K1292" i="1"/>
  <c r="L1292" i="1" s="1"/>
  <c r="K1291" i="1"/>
  <c r="L1291" i="1" s="1"/>
  <c r="K1290" i="1"/>
  <c r="L1290" i="1" s="1"/>
  <c r="K1289" i="1"/>
  <c r="L1289" i="1" s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K1282" i="1"/>
  <c r="L1282" i="1" s="1"/>
  <c r="K1281" i="1"/>
  <c r="L1281" i="1" s="1"/>
  <c r="K1280" i="1"/>
  <c r="L1280" i="1" s="1"/>
  <c r="K1279" i="1"/>
  <c r="L1279" i="1" s="1"/>
  <c r="K1278" i="1"/>
  <c r="L1278" i="1" s="1"/>
  <c r="K1277" i="1"/>
  <c r="L1277" i="1" s="1"/>
  <c r="K1276" i="1"/>
  <c r="L1276" i="1" s="1"/>
  <c r="K1275" i="1"/>
  <c r="L1275" i="1" s="1"/>
  <c r="K1274" i="1"/>
  <c r="L1274" i="1" s="1"/>
  <c r="K1273" i="1"/>
  <c r="L1273" i="1" s="1"/>
  <c r="K1272" i="1"/>
  <c r="L1272" i="1" s="1"/>
  <c r="K1271" i="1"/>
  <c r="L1271" i="1" s="1"/>
  <c r="K1270" i="1"/>
  <c r="L1270" i="1" s="1"/>
  <c r="K1269" i="1"/>
  <c r="L1269" i="1" s="1"/>
  <c r="K1268" i="1"/>
  <c r="L1268" i="1" s="1"/>
  <c r="K1267" i="1"/>
  <c r="L1267" i="1" s="1"/>
  <c r="K1266" i="1"/>
  <c r="L1266" i="1" s="1"/>
  <c r="K1265" i="1"/>
  <c r="L1265" i="1" s="1"/>
  <c r="K1264" i="1"/>
  <c r="L1264" i="1" s="1"/>
  <c r="K1263" i="1"/>
  <c r="L1263" i="1" s="1"/>
  <c r="K1262" i="1"/>
  <c r="L1262" i="1" s="1"/>
  <c r="K1261" i="1"/>
  <c r="L1261" i="1" s="1"/>
  <c r="K1260" i="1"/>
  <c r="L1260" i="1" s="1"/>
  <c r="K1259" i="1"/>
  <c r="L1259" i="1" s="1"/>
  <c r="K1258" i="1"/>
  <c r="L1258" i="1" s="1"/>
  <c r="K1257" i="1"/>
  <c r="L1257" i="1" s="1"/>
  <c r="K1256" i="1"/>
  <c r="L1256" i="1" s="1"/>
  <c r="K1255" i="1"/>
  <c r="L1255" i="1" s="1"/>
  <c r="K1254" i="1"/>
  <c r="L1254" i="1" s="1"/>
  <c r="K1253" i="1"/>
  <c r="L1253" i="1" s="1"/>
  <c r="K1252" i="1"/>
  <c r="L1252" i="1" s="1"/>
  <c r="K1251" i="1"/>
  <c r="L1251" i="1" s="1"/>
  <c r="K1250" i="1"/>
  <c r="K1249" i="1"/>
  <c r="L1249" i="1" s="1"/>
  <c r="K1248" i="1"/>
  <c r="L1248" i="1" s="1"/>
  <c r="K1247" i="1"/>
  <c r="L1247" i="1" s="1"/>
  <c r="K1246" i="1"/>
  <c r="L1246" i="1" s="1"/>
  <c r="K1245" i="1"/>
  <c r="L1245" i="1" s="1"/>
  <c r="K1244" i="1"/>
  <c r="L1244" i="1" s="1"/>
  <c r="K1243" i="1"/>
  <c r="L1243" i="1" s="1"/>
  <c r="K1242" i="1"/>
  <c r="L1242" i="1" s="1"/>
  <c r="K1241" i="1"/>
  <c r="L1241" i="1" s="1"/>
  <c r="K1240" i="1"/>
  <c r="L1240" i="1" s="1"/>
  <c r="K1239" i="1"/>
  <c r="L1239" i="1" s="1"/>
  <c r="K1238" i="1"/>
  <c r="L1238" i="1" s="1"/>
  <c r="K1237" i="1"/>
  <c r="L1237" i="1" s="1"/>
  <c r="K1236" i="1"/>
  <c r="L1236" i="1" s="1"/>
  <c r="K1235" i="1"/>
  <c r="L1235" i="1" s="1"/>
  <c r="K1234" i="1"/>
  <c r="L1234" i="1" s="1"/>
  <c r="K1233" i="1"/>
  <c r="L1233" i="1" s="1"/>
  <c r="K1232" i="1"/>
  <c r="L1232" i="1" s="1"/>
  <c r="K1231" i="1"/>
  <c r="L1231" i="1" s="1"/>
  <c r="K1230" i="1"/>
  <c r="L1230" i="1" s="1"/>
  <c r="K1229" i="1"/>
  <c r="L1229" i="1" s="1"/>
  <c r="K1228" i="1"/>
  <c r="L1228" i="1" s="1"/>
  <c r="K1227" i="1"/>
  <c r="L1227" i="1" s="1"/>
  <c r="K1226" i="1"/>
  <c r="L1226" i="1" s="1"/>
  <c r="K1225" i="1"/>
  <c r="L1225" i="1" s="1"/>
  <c r="K1224" i="1"/>
  <c r="L1224" i="1" s="1"/>
  <c r="K1223" i="1"/>
  <c r="L1223" i="1" s="1"/>
  <c r="K1222" i="1"/>
  <c r="L1222" i="1" s="1"/>
  <c r="K1221" i="1"/>
  <c r="L1221" i="1" s="1"/>
  <c r="K1220" i="1"/>
  <c r="L1220" i="1" s="1"/>
  <c r="K1219" i="1"/>
  <c r="L1219" i="1" s="1"/>
  <c r="K1218" i="1"/>
  <c r="L1218" i="1" s="1"/>
  <c r="K1217" i="1"/>
  <c r="L1217" i="1" s="1"/>
  <c r="K1216" i="1"/>
  <c r="L1216" i="1" s="1"/>
  <c r="K1215" i="1"/>
  <c r="L1215" i="1" s="1"/>
  <c r="K1214" i="1"/>
  <c r="L1214" i="1" s="1"/>
  <c r="K1213" i="1"/>
  <c r="L1213" i="1" s="1"/>
  <c r="K1212" i="1"/>
  <c r="L1212" i="1" s="1"/>
  <c r="K1211" i="1"/>
  <c r="L1211" i="1" s="1"/>
  <c r="K1210" i="1"/>
  <c r="L1210" i="1" s="1"/>
  <c r="K1209" i="1"/>
  <c r="L1209" i="1" s="1"/>
  <c r="K1208" i="1"/>
  <c r="L1208" i="1" s="1"/>
  <c r="K1207" i="1"/>
  <c r="L1207" i="1" s="1"/>
  <c r="K1206" i="1"/>
  <c r="L1206" i="1" s="1"/>
  <c r="K1205" i="1"/>
  <c r="L1205" i="1" s="1"/>
  <c r="K1204" i="1"/>
  <c r="L1204" i="1" s="1"/>
  <c r="K1203" i="1"/>
  <c r="L1203" i="1" s="1"/>
  <c r="K1202" i="1"/>
  <c r="L1202" i="1" s="1"/>
  <c r="K1201" i="1"/>
  <c r="L1201" i="1" s="1"/>
  <c r="K1200" i="1"/>
  <c r="L1200" i="1" s="1"/>
  <c r="K1199" i="1"/>
  <c r="L1199" i="1" s="1"/>
  <c r="K1198" i="1"/>
  <c r="L1198" i="1" s="1"/>
  <c r="K1197" i="1"/>
  <c r="L1197" i="1" s="1"/>
  <c r="K1196" i="1"/>
  <c r="L1196" i="1" s="1"/>
  <c r="K1195" i="1"/>
  <c r="L1195" i="1" s="1"/>
  <c r="K1194" i="1"/>
  <c r="L1194" i="1" s="1"/>
  <c r="K1193" i="1"/>
  <c r="L1193" i="1" s="1"/>
  <c r="K1192" i="1"/>
  <c r="L1192" i="1" s="1"/>
  <c r="K1191" i="1"/>
  <c r="L1191" i="1" s="1"/>
  <c r="K1190" i="1"/>
  <c r="L1190" i="1" s="1"/>
  <c r="K1189" i="1"/>
  <c r="L1189" i="1" s="1"/>
  <c r="K1188" i="1"/>
  <c r="L1188" i="1" s="1"/>
  <c r="K1187" i="1"/>
  <c r="L1187" i="1" s="1"/>
  <c r="K1186" i="1"/>
  <c r="L1186" i="1" s="1"/>
  <c r="K1185" i="1"/>
  <c r="L1185" i="1" s="1"/>
  <c r="K1184" i="1"/>
  <c r="L1184" i="1" s="1"/>
  <c r="K1183" i="1"/>
  <c r="L1183" i="1" s="1"/>
  <c r="K1182" i="1"/>
  <c r="L1182" i="1" s="1"/>
  <c r="K1181" i="1"/>
  <c r="L1181" i="1" s="1"/>
  <c r="K1180" i="1"/>
  <c r="L1180" i="1" s="1"/>
  <c r="K1179" i="1"/>
  <c r="L1179" i="1" s="1"/>
  <c r="K1178" i="1"/>
  <c r="L1178" i="1" s="1"/>
  <c r="K1177" i="1"/>
  <c r="L1177" i="1" s="1"/>
  <c r="K1176" i="1"/>
  <c r="L1176" i="1" s="1"/>
  <c r="K1175" i="1"/>
  <c r="L1175" i="1" s="1"/>
  <c r="K1174" i="1"/>
  <c r="L1174" i="1" s="1"/>
  <c r="K1173" i="1"/>
  <c r="L1173" i="1" s="1"/>
  <c r="K1172" i="1"/>
  <c r="L1172" i="1" s="1"/>
  <c r="K1171" i="1"/>
  <c r="L1171" i="1" s="1"/>
  <c r="K1170" i="1"/>
  <c r="L1170" i="1" s="1"/>
  <c r="K1169" i="1"/>
  <c r="L1169" i="1" s="1"/>
  <c r="K1168" i="1"/>
  <c r="L1168" i="1" s="1"/>
  <c r="K1167" i="1"/>
  <c r="L1167" i="1" s="1"/>
  <c r="K1166" i="1"/>
  <c r="L1166" i="1" s="1"/>
  <c r="K1165" i="1"/>
  <c r="L1165" i="1" s="1"/>
  <c r="K1164" i="1"/>
  <c r="L1164" i="1" s="1"/>
  <c r="K1163" i="1"/>
  <c r="L1163" i="1" s="1"/>
  <c r="K1162" i="1"/>
  <c r="L1162" i="1" s="1"/>
  <c r="K1161" i="1"/>
  <c r="L1161" i="1" s="1"/>
  <c r="K1160" i="1"/>
  <c r="L1160" i="1" s="1"/>
  <c r="K1159" i="1"/>
  <c r="L1159" i="1" s="1"/>
  <c r="K1158" i="1"/>
  <c r="L1158" i="1" s="1"/>
  <c r="K1157" i="1"/>
  <c r="L1157" i="1" s="1"/>
  <c r="K1156" i="1"/>
  <c r="L1156" i="1" s="1"/>
  <c r="K1155" i="1"/>
  <c r="L1155" i="1" s="1"/>
  <c r="K1154" i="1"/>
  <c r="L1154" i="1" s="1"/>
  <c r="K1153" i="1"/>
  <c r="L1153" i="1" s="1"/>
  <c r="K1152" i="1"/>
  <c r="L1152" i="1" s="1"/>
  <c r="K1151" i="1"/>
  <c r="L1151" i="1" s="1"/>
  <c r="K1150" i="1"/>
  <c r="L1150" i="1" s="1"/>
  <c r="K1149" i="1"/>
  <c r="L1149" i="1" s="1"/>
  <c r="K1148" i="1"/>
  <c r="L1148" i="1" s="1"/>
  <c r="K1147" i="1"/>
  <c r="L1147" i="1" s="1"/>
  <c r="K1146" i="1"/>
  <c r="L1146" i="1" s="1"/>
  <c r="K1145" i="1"/>
  <c r="L1145" i="1" s="1"/>
  <c r="K1144" i="1"/>
  <c r="L1144" i="1" s="1"/>
  <c r="K1143" i="1"/>
  <c r="L1143" i="1" s="1"/>
  <c r="K1142" i="1"/>
  <c r="L1142" i="1" s="1"/>
  <c r="K1141" i="1"/>
  <c r="L1141" i="1" s="1"/>
  <c r="K1140" i="1"/>
  <c r="L1140" i="1" s="1"/>
  <c r="K1139" i="1"/>
  <c r="L1139" i="1" s="1"/>
  <c r="K1138" i="1"/>
  <c r="L1138" i="1" s="1"/>
  <c r="K1137" i="1"/>
  <c r="L1137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K1041" i="1"/>
  <c r="L1041" i="1" s="1"/>
  <c r="K1040" i="1"/>
  <c r="L1040" i="1" s="1"/>
  <c r="K1039" i="1"/>
  <c r="L1039" i="1" s="1"/>
  <c r="K1038" i="1"/>
  <c r="L1038" i="1" s="1"/>
  <c r="K1037" i="1"/>
  <c r="L1037" i="1" s="1"/>
  <c r="K1036" i="1"/>
  <c r="L1036" i="1" s="1"/>
  <c r="K1035" i="1"/>
  <c r="L1035" i="1" s="1"/>
  <c r="K1034" i="1"/>
  <c r="L1034" i="1" s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K1026" i="1"/>
  <c r="L1026" i="1" s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K1019" i="1"/>
  <c r="L1019" i="1" s="1"/>
  <c r="K1018" i="1"/>
  <c r="L1018" i="1" s="1"/>
  <c r="K1017" i="1"/>
  <c r="L1017" i="1" s="1"/>
  <c r="K1016" i="1"/>
  <c r="L1016" i="1" s="1"/>
  <c r="K1015" i="1"/>
  <c r="L1015" i="1" s="1"/>
  <c r="K1014" i="1"/>
  <c r="L1014" i="1" s="1"/>
  <c r="K1013" i="1"/>
  <c r="L1013" i="1" s="1"/>
  <c r="K1012" i="1"/>
  <c r="L1012" i="1" s="1"/>
  <c r="K1011" i="1"/>
  <c r="L1011" i="1" s="1"/>
  <c r="K1010" i="1"/>
  <c r="L1010" i="1" s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K1002" i="1"/>
  <c r="K1001" i="1"/>
  <c r="L1001" i="1" s="1"/>
  <c r="K1000" i="1"/>
  <c r="L1000" i="1" s="1"/>
  <c r="K999" i="1"/>
  <c r="L999" i="1" s="1"/>
  <c r="K998" i="1"/>
  <c r="L998" i="1" s="1"/>
  <c r="K997" i="1"/>
  <c r="L997" i="1" s="1"/>
  <c r="K996" i="1"/>
  <c r="L996" i="1" s="1"/>
  <c r="K995" i="1"/>
  <c r="L995" i="1" s="1"/>
  <c r="K994" i="1"/>
  <c r="L994" i="1" s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K962" i="1"/>
  <c r="L962" i="1" s="1"/>
  <c r="K961" i="1"/>
  <c r="L961" i="1" s="1"/>
  <c r="K960" i="1"/>
  <c r="L960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2" i="1"/>
  <c r="L952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9" i="1"/>
  <c r="L939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21" i="1"/>
  <c r="L921" i="1" s="1"/>
  <c r="K920" i="1"/>
  <c r="L920" i="1" s="1"/>
  <c r="K919" i="1"/>
  <c r="L919" i="1" s="1"/>
  <c r="K918" i="1"/>
  <c r="L918" i="1" s="1"/>
  <c r="K917" i="1"/>
  <c r="L917" i="1" s="1"/>
  <c r="K916" i="1"/>
  <c r="L916" i="1" s="1"/>
  <c r="K915" i="1"/>
  <c r="L915" i="1" s="1"/>
  <c r="K914" i="1"/>
  <c r="L914" i="1" s="1"/>
  <c r="K913" i="1"/>
  <c r="L913" i="1" s="1"/>
  <c r="K912" i="1"/>
  <c r="L912" i="1" s="1"/>
  <c r="K911" i="1"/>
  <c r="L911" i="1" s="1"/>
  <c r="K910" i="1"/>
  <c r="L910" i="1" s="1"/>
  <c r="K909" i="1"/>
  <c r="L909" i="1" s="1"/>
  <c r="K908" i="1"/>
  <c r="L908" i="1" s="1"/>
  <c r="K907" i="1"/>
  <c r="L907" i="1" s="1"/>
  <c r="K906" i="1"/>
  <c r="L906" i="1" s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K897" i="1"/>
  <c r="L897" i="1" s="1"/>
  <c r="K896" i="1"/>
  <c r="L896" i="1" s="1"/>
  <c r="K895" i="1"/>
  <c r="L895" i="1" s="1"/>
  <c r="K894" i="1"/>
  <c r="L894" i="1" s="1"/>
  <c r="K893" i="1"/>
  <c r="L893" i="1" s="1"/>
  <c r="K892" i="1"/>
  <c r="L892" i="1" s="1"/>
  <c r="K891" i="1"/>
  <c r="L891" i="1" s="1"/>
  <c r="K890" i="1"/>
  <c r="L890" i="1" s="1"/>
  <c r="K889" i="1"/>
  <c r="L889" i="1" s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K881" i="1"/>
  <c r="L881" i="1" s="1"/>
  <c r="K880" i="1"/>
  <c r="L880" i="1" s="1"/>
  <c r="K879" i="1"/>
  <c r="L879" i="1" s="1"/>
  <c r="K878" i="1"/>
  <c r="L878" i="1" s="1"/>
  <c r="K877" i="1"/>
  <c r="L877" i="1" s="1"/>
  <c r="K876" i="1"/>
  <c r="L876" i="1" s="1"/>
  <c r="K875" i="1"/>
  <c r="L875" i="1" s="1"/>
  <c r="K874" i="1"/>
  <c r="L874" i="1" s="1"/>
  <c r="K873" i="1"/>
  <c r="L873" i="1" s="1"/>
  <c r="K872" i="1"/>
  <c r="L872" i="1" s="1"/>
  <c r="K871" i="1"/>
  <c r="L871" i="1" s="1"/>
  <c r="K870" i="1"/>
  <c r="L870" i="1" s="1"/>
  <c r="K869" i="1"/>
  <c r="L869" i="1" s="1"/>
  <c r="K868" i="1"/>
  <c r="L868" i="1" s="1"/>
  <c r="K867" i="1"/>
  <c r="L867" i="1" s="1"/>
  <c r="K866" i="1"/>
  <c r="L866" i="1" s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K858" i="1"/>
  <c r="L858" i="1" s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K850" i="1"/>
  <c r="L850" i="1" s="1"/>
  <c r="K849" i="1"/>
  <c r="L849" i="1" s="1"/>
  <c r="K848" i="1"/>
  <c r="L848" i="1" s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K841" i="1"/>
  <c r="L841" i="1" s="1"/>
  <c r="K840" i="1"/>
  <c r="L840" i="1" s="1"/>
  <c r="K839" i="1"/>
  <c r="L839" i="1" s="1"/>
  <c r="K838" i="1"/>
  <c r="L838" i="1" s="1"/>
  <c r="K837" i="1"/>
  <c r="L837" i="1" s="1"/>
  <c r="K836" i="1"/>
  <c r="L836" i="1" s="1"/>
  <c r="K835" i="1"/>
  <c r="L835" i="1" s="1"/>
  <c r="K834" i="1"/>
  <c r="L834" i="1" s="1"/>
  <c r="K833" i="1"/>
  <c r="L833" i="1" s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812" i="1"/>
  <c r="L812" i="1" s="1"/>
  <c r="K811" i="1"/>
  <c r="L811" i="1" s="1"/>
  <c r="K810" i="1"/>
  <c r="L810" i="1" s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K802" i="1"/>
  <c r="L802" i="1" s="1"/>
  <c r="K801" i="1"/>
  <c r="L801" i="1" s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K746" i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2" i="1"/>
  <c r="L2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57" i="1"/>
  <c r="L457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26" i="1"/>
  <c r="L426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K425" i="1"/>
  <c r="L425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67" i="1"/>
  <c r="L367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36" i="1"/>
  <c r="L336" i="1" s="1"/>
  <c r="K335" i="1"/>
  <c r="L335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06" i="1"/>
  <c r="L306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275" i="1"/>
  <c r="L27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45" i="1"/>
  <c r="L245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14" i="1"/>
  <c r="L214" i="1" s="1"/>
  <c r="K213" i="1"/>
  <c r="L21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183" i="1"/>
  <c r="L18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53" i="1"/>
  <c r="L153" i="1" s="1"/>
  <c r="K152" i="1"/>
  <c r="L15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22" i="1"/>
  <c r="L12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92" i="1"/>
  <c r="K91" i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K88" i="1"/>
  <c r="K89" i="1"/>
  <c r="K90" i="1"/>
  <c r="K61" i="1"/>
  <c r="L61" i="1" s="1"/>
  <c r="K60" i="1"/>
  <c r="L60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33" i="1"/>
  <c r="L33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H415" i="1" s="1"/>
  <c r="AG416" i="1"/>
  <c r="AH416" i="1" s="1"/>
  <c r="AG417" i="1"/>
  <c r="AH417" i="1" s="1"/>
  <c r="AG418" i="1"/>
  <c r="AH418" i="1" s="1"/>
  <c r="AG419" i="1"/>
  <c r="AH419" i="1" s="1"/>
  <c r="AG420" i="1"/>
  <c r="AH420" i="1" s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H442" i="1" s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H463" i="1" s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74" i="1"/>
  <c r="AH474" i="1" s="1"/>
  <c r="AG475" i="1"/>
  <c r="AH475" i="1" s="1"/>
  <c r="AG476" i="1"/>
  <c r="AH476" i="1" s="1"/>
  <c r="AG477" i="1"/>
  <c r="AH477" i="1" s="1"/>
  <c r="AG478" i="1"/>
  <c r="AH478" i="1" s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398" i="1"/>
  <c r="AH398" i="1" s="1"/>
  <c r="AG336" i="1"/>
  <c r="AH336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H391" i="1" s="1"/>
  <c r="AG392" i="1"/>
  <c r="AH392" i="1" s="1"/>
  <c r="AG393" i="1"/>
  <c r="AH393" i="1" s="1"/>
  <c r="AG394" i="1"/>
  <c r="AH394" i="1" s="1"/>
  <c r="AG395" i="1"/>
  <c r="AH395" i="1" s="1"/>
  <c r="AG396" i="1"/>
  <c r="AH396" i="1" s="1"/>
  <c r="AG397" i="1"/>
  <c r="AH397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H355" i="1" s="1"/>
  <c r="AG356" i="1"/>
  <c r="AH356" i="1" s="1"/>
  <c r="AG357" i="1"/>
  <c r="AH357" i="1" s="1"/>
  <c r="AG358" i="1"/>
  <c r="AH358" i="1" s="1"/>
  <c r="AG359" i="1"/>
  <c r="AH359" i="1" s="1"/>
  <c r="AG360" i="1"/>
  <c r="AH360" i="1" s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34" i="1"/>
  <c r="AH334" i="1" s="1"/>
  <c r="AG335" i="1"/>
  <c r="AH33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H283" i="1" s="1"/>
  <c r="AG284" i="1"/>
  <c r="AH284" i="1" s="1"/>
  <c r="AG285" i="1"/>
  <c r="AH285" i="1" s="1"/>
  <c r="AG286" i="1"/>
  <c r="AH286" i="1" s="1"/>
  <c r="AG287" i="1"/>
  <c r="AH287" i="1" s="1"/>
  <c r="AG288" i="1"/>
  <c r="AH288" i="1" s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H319" i="1" s="1"/>
  <c r="AG320" i="1"/>
  <c r="AH320" i="1" s="1"/>
  <c r="AG321" i="1"/>
  <c r="AH321" i="1" s="1"/>
  <c r="AG322" i="1"/>
  <c r="AH322" i="1" s="1"/>
  <c r="AG323" i="1"/>
  <c r="AH323" i="1" s="1"/>
  <c r="AG324" i="1"/>
  <c r="AH324" i="1" s="1"/>
  <c r="AG325" i="1"/>
  <c r="AH325" i="1" s="1"/>
  <c r="AG275" i="1"/>
  <c r="AH275" i="1" s="1"/>
  <c r="AG214" i="1"/>
  <c r="AH214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51" i="1"/>
  <c r="AH251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13" i="1"/>
  <c r="AH21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H211" i="1" s="1"/>
  <c r="AG212" i="1"/>
  <c r="AH212" i="1" s="1"/>
  <c r="AG153" i="1"/>
  <c r="AH153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H115" i="1" s="1"/>
  <c r="AG116" i="1"/>
  <c r="AH116" i="1" s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H127" i="1" s="1"/>
  <c r="AG128" i="1"/>
  <c r="AH128" i="1" s="1"/>
  <c r="AG92" i="1"/>
  <c r="AH92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H79" i="1" s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33" i="1"/>
  <c r="AH33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4" i="1"/>
  <c r="AH4" i="1" s="1"/>
  <c r="AG3" i="1"/>
  <c r="AH3" i="1" s="1"/>
  <c r="AG2" i="1"/>
  <c r="AH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U50" i="1" s="1"/>
  <c r="V50" i="1" s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U106" i="1" s="1"/>
  <c r="V106" i="1" s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U162" i="1" s="1"/>
  <c r="V162" i="1" s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U186" i="1" s="1"/>
  <c r="V186" i="1" s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U594" i="1" s="1"/>
  <c r="V594" i="1" s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U722" i="1" s="1"/>
  <c r="V722" i="1" s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2" i="1"/>
  <c r="P20" i="1"/>
  <c r="U20" i="1" s="1"/>
  <c r="V20" i="1" s="1"/>
  <c r="P21" i="1"/>
  <c r="P22" i="1"/>
  <c r="U22" i="1" s="1"/>
  <c r="V22" i="1" s="1"/>
  <c r="P23" i="1"/>
  <c r="U23" i="1" s="1"/>
  <c r="V23" i="1" s="1"/>
  <c r="P24" i="1"/>
  <c r="U24" i="1" s="1"/>
  <c r="V24" i="1" s="1"/>
  <c r="P25" i="1"/>
  <c r="U25" i="1" s="1"/>
  <c r="V25" i="1" s="1"/>
  <c r="P26" i="1"/>
  <c r="P27" i="1"/>
  <c r="U27" i="1" s="1"/>
  <c r="V27" i="1" s="1"/>
  <c r="P28" i="1"/>
  <c r="U28" i="1" s="1"/>
  <c r="V28" i="1" s="1"/>
  <c r="P29" i="1"/>
  <c r="U29" i="1" s="1"/>
  <c r="V29" i="1" s="1"/>
  <c r="P30" i="1"/>
  <c r="U30" i="1" s="1"/>
  <c r="V30" i="1" s="1"/>
  <c r="P31" i="1"/>
  <c r="U31" i="1" s="1"/>
  <c r="V31" i="1" s="1"/>
  <c r="P32" i="1"/>
  <c r="U32" i="1" s="1"/>
  <c r="V32" i="1" s="1"/>
  <c r="P33" i="1"/>
  <c r="U33" i="1" s="1"/>
  <c r="V33" i="1" s="1"/>
  <c r="P34" i="1"/>
  <c r="P35" i="1"/>
  <c r="U35" i="1" s="1"/>
  <c r="V35" i="1" s="1"/>
  <c r="P36" i="1"/>
  <c r="U36" i="1" s="1"/>
  <c r="V36" i="1" s="1"/>
  <c r="P37" i="1"/>
  <c r="U37" i="1" s="1"/>
  <c r="V37" i="1" s="1"/>
  <c r="P38" i="1"/>
  <c r="U38" i="1" s="1"/>
  <c r="V38" i="1" s="1"/>
  <c r="P39" i="1"/>
  <c r="U39" i="1" s="1"/>
  <c r="P40" i="1"/>
  <c r="U40" i="1" s="1"/>
  <c r="V40" i="1" s="1"/>
  <c r="P41" i="1"/>
  <c r="U41" i="1" s="1"/>
  <c r="V41" i="1" s="1"/>
  <c r="P42" i="1"/>
  <c r="P43" i="1"/>
  <c r="U43" i="1" s="1"/>
  <c r="V43" i="1" s="1"/>
  <c r="P44" i="1"/>
  <c r="U44" i="1" s="1"/>
  <c r="V44" i="1" s="1"/>
  <c r="P45" i="1"/>
  <c r="U45" i="1" s="1"/>
  <c r="V45" i="1" s="1"/>
  <c r="P46" i="1"/>
  <c r="U46" i="1" s="1"/>
  <c r="V46" i="1" s="1"/>
  <c r="P47" i="1"/>
  <c r="U47" i="1" s="1"/>
  <c r="V47" i="1" s="1"/>
  <c r="P48" i="1"/>
  <c r="U48" i="1" s="1"/>
  <c r="V48" i="1" s="1"/>
  <c r="P49" i="1"/>
  <c r="U49" i="1" s="1"/>
  <c r="V49" i="1" s="1"/>
  <c r="P50" i="1"/>
  <c r="P51" i="1"/>
  <c r="U51" i="1" s="1"/>
  <c r="V51" i="1" s="1"/>
  <c r="P52" i="1"/>
  <c r="U52" i="1" s="1"/>
  <c r="V52" i="1" s="1"/>
  <c r="P53" i="1"/>
  <c r="U53" i="1" s="1"/>
  <c r="V53" i="1" s="1"/>
  <c r="P54" i="1"/>
  <c r="U54" i="1" s="1"/>
  <c r="V54" i="1" s="1"/>
  <c r="P55" i="1"/>
  <c r="U55" i="1" s="1"/>
  <c r="V55" i="1" s="1"/>
  <c r="P56" i="1"/>
  <c r="U56" i="1" s="1"/>
  <c r="V56" i="1" s="1"/>
  <c r="P57" i="1"/>
  <c r="U57" i="1" s="1"/>
  <c r="V57" i="1" s="1"/>
  <c r="P58" i="1"/>
  <c r="P59" i="1"/>
  <c r="U59" i="1" s="1"/>
  <c r="V59" i="1" s="1"/>
  <c r="P60" i="1"/>
  <c r="U60" i="1" s="1"/>
  <c r="V60" i="1" s="1"/>
  <c r="P61" i="1"/>
  <c r="U61" i="1" s="1"/>
  <c r="V61" i="1" s="1"/>
  <c r="P62" i="1"/>
  <c r="U62" i="1" s="1"/>
  <c r="V62" i="1" s="1"/>
  <c r="P63" i="1"/>
  <c r="U63" i="1" s="1"/>
  <c r="V63" i="1" s="1"/>
  <c r="P64" i="1"/>
  <c r="U64" i="1" s="1"/>
  <c r="V64" i="1" s="1"/>
  <c r="P65" i="1"/>
  <c r="U65" i="1" s="1"/>
  <c r="V65" i="1" s="1"/>
  <c r="P66" i="1"/>
  <c r="P67" i="1"/>
  <c r="P68" i="1"/>
  <c r="U68" i="1" s="1"/>
  <c r="V68" i="1" s="1"/>
  <c r="P69" i="1"/>
  <c r="U69" i="1" s="1"/>
  <c r="V69" i="1" s="1"/>
  <c r="P70" i="1"/>
  <c r="U70" i="1" s="1"/>
  <c r="V70" i="1" s="1"/>
  <c r="P71" i="1"/>
  <c r="U71" i="1" s="1"/>
  <c r="V71" i="1" s="1"/>
  <c r="P72" i="1"/>
  <c r="U72" i="1" s="1"/>
  <c r="V72" i="1" s="1"/>
  <c r="P73" i="1"/>
  <c r="U73" i="1" s="1"/>
  <c r="V73" i="1" s="1"/>
  <c r="P74" i="1"/>
  <c r="P75" i="1"/>
  <c r="P76" i="1"/>
  <c r="U76" i="1" s="1"/>
  <c r="V76" i="1" s="1"/>
  <c r="P77" i="1"/>
  <c r="U77" i="1" s="1"/>
  <c r="V77" i="1" s="1"/>
  <c r="P78" i="1"/>
  <c r="U78" i="1" s="1"/>
  <c r="V78" i="1" s="1"/>
  <c r="P79" i="1"/>
  <c r="U79" i="1" s="1"/>
  <c r="V79" i="1" s="1"/>
  <c r="P80" i="1"/>
  <c r="U80" i="1" s="1"/>
  <c r="V80" i="1" s="1"/>
  <c r="P81" i="1"/>
  <c r="U81" i="1" s="1"/>
  <c r="V81" i="1" s="1"/>
  <c r="P82" i="1"/>
  <c r="P83" i="1"/>
  <c r="P84" i="1"/>
  <c r="U84" i="1" s="1"/>
  <c r="V84" i="1" s="1"/>
  <c r="P85" i="1"/>
  <c r="U85" i="1" s="1"/>
  <c r="V85" i="1" s="1"/>
  <c r="P86" i="1"/>
  <c r="U86" i="1" s="1"/>
  <c r="P87" i="1"/>
  <c r="U87" i="1" s="1"/>
  <c r="V87" i="1" s="1"/>
  <c r="P88" i="1"/>
  <c r="U88" i="1" s="1"/>
  <c r="V88" i="1" s="1"/>
  <c r="P89" i="1"/>
  <c r="U89" i="1" s="1"/>
  <c r="V89" i="1" s="1"/>
  <c r="P90" i="1"/>
  <c r="P91" i="1"/>
  <c r="U91" i="1" s="1"/>
  <c r="V91" i="1" s="1"/>
  <c r="U92" i="1"/>
  <c r="V92" i="1" s="1"/>
  <c r="P93" i="1"/>
  <c r="U93" i="1" s="1"/>
  <c r="V93" i="1" s="1"/>
  <c r="P94" i="1"/>
  <c r="U94" i="1" s="1"/>
  <c r="V94" i="1" s="1"/>
  <c r="P95" i="1"/>
  <c r="U95" i="1" s="1"/>
  <c r="V95" i="1" s="1"/>
  <c r="P96" i="1"/>
  <c r="U96" i="1" s="1"/>
  <c r="V96" i="1" s="1"/>
  <c r="P97" i="1"/>
  <c r="U97" i="1" s="1"/>
  <c r="V97" i="1" s="1"/>
  <c r="P98" i="1"/>
  <c r="P99" i="1"/>
  <c r="U99" i="1" s="1"/>
  <c r="V99" i="1" s="1"/>
  <c r="P100" i="1"/>
  <c r="U100" i="1" s="1"/>
  <c r="V100" i="1" s="1"/>
  <c r="P101" i="1"/>
  <c r="U101" i="1" s="1"/>
  <c r="V101" i="1" s="1"/>
  <c r="P102" i="1"/>
  <c r="U102" i="1" s="1"/>
  <c r="V102" i="1" s="1"/>
  <c r="P103" i="1"/>
  <c r="U103" i="1" s="1"/>
  <c r="V103" i="1" s="1"/>
  <c r="P104" i="1"/>
  <c r="U104" i="1" s="1"/>
  <c r="V104" i="1" s="1"/>
  <c r="P105" i="1"/>
  <c r="U105" i="1" s="1"/>
  <c r="V105" i="1" s="1"/>
  <c r="P106" i="1"/>
  <c r="P107" i="1"/>
  <c r="U107" i="1" s="1"/>
  <c r="V107" i="1" s="1"/>
  <c r="P108" i="1"/>
  <c r="U108" i="1" s="1"/>
  <c r="V108" i="1" s="1"/>
  <c r="P109" i="1"/>
  <c r="U109" i="1" s="1"/>
  <c r="V109" i="1" s="1"/>
  <c r="P110" i="1"/>
  <c r="U110" i="1" s="1"/>
  <c r="V110" i="1" s="1"/>
  <c r="P111" i="1"/>
  <c r="U111" i="1" s="1"/>
  <c r="V111" i="1" s="1"/>
  <c r="P112" i="1"/>
  <c r="P113" i="1"/>
  <c r="U113" i="1" s="1"/>
  <c r="V113" i="1" s="1"/>
  <c r="P114" i="1"/>
  <c r="P115" i="1"/>
  <c r="U115" i="1" s="1"/>
  <c r="V115" i="1" s="1"/>
  <c r="P116" i="1"/>
  <c r="U116" i="1" s="1"/>
  <c r="V116" i="1" s="1"/>
  <c r="P117" i="1"/>
  <c r="U117" i="1" s="1"/>
  <c r="V117" i="1" s="1"/>
  <c r="P118" i="1"/>
  <c r="U118" i="1" s="1"/>
  <c r="V118" i="1" s="1"/>
  <c r="P119" i="1"/>
  <c r="U119" i="1" s="1"/>
  <c r="V119" i="1" s="1"/>
  <c r="P120" i="1"/>
  <c r="U120" i="1" s="1"/>
  <c r="V120" i="1" s="1"/>
  <c r="P121" i="1"/>
  <c r="U121" i="1" s="1"/>
  <c r="V121" i="1" s="1"/>
  <c r="P122" i="1"/>
  <c r="P123" i="1"/>
  <c r="P124" i="1"/>
  <c r="U124" i="1" s="1"/>
  <c r="V124" i="1" s="1"/>
  <c r="P125" i="1"/>
  <c r="U125" i="1" s="1"/>
  <c r="V125" i="1" s="1"/>
  <c r="P126" i="1"/>
  <c r="U126" i="1" s="1"/>
  <c r="V126" i="1" s="1"/>
  <c r="P127" i="1"/>
  <c r="U127" i="1" s="1"/>
  <c r="V127" i="1" s="1"/>
  <c r="P128" i="1"/>
  <c r="U128" i="1" s="1"/>
  <c r="V128" i="1" s="1"/>
  <c r="P129" i="1"/>
  <c r="U129" i="1" s="1"/>
  <c r="V129" i="1" s="1"/>
  <c r="P130" i="1"/>
  <c r="P131" i="1"/>
  <c r="P132" i="1"/>
  <c r="U132" i="1" s="1"/>
  <c r="V132" i="1" s="1"/>
  <c r="P133" i="1"/>
  <c r="U133" i="1" s="1"/>
  <c r="V133" i="1" s="1"/>
  <c r="P134" i="1"/>
  <c r="U134" i="1" s="1"/>
  <c r="V134" i="1" s="1"/>
  <c r="P135" i="1"/>
  <c r="U135" i="1" s="1"/>
  <c r="V135" i="1" s="1"/>
  <c r="P136" i="1"/>
  <c r="U136" i="1" s="1"/>
  <c r="V136" i="1" s="1"/>
  <c r="P137" i="1"/>
  <c r="U137" i="1" s="1"/>
  <c r="V137" i="1" s="1"/>
  <c r="P138" i="1"/>
  <c r="P139" i="1"/>
  <c r="P140" i="1"/>
  <c r="U140" i="1" s="1"/>
  <c r="V140" i="1" s="1"/>
  <c r="P141" i="1"/>
  <c r="U141" i="1" s="1"/>
  <c r="V141" i="1" s="1"/>
  <c r="P142" i="1"/>
  <c r="U142" i="1" s="1"/>
  <c r="V142" i="1" s="1"/>
  <c r="P143" i="1"/>
  <c r="U143" i="1" s="1"/>
  <c r="V143" i="1" s="1"/>
  <c r="P144" i="1"/>
  <c r="U144" i="1" s="1"/>
  <c r="V144" i="1" s="1"/>
  <c r="P145" i="1"/>
  <c r="U145" i="1" s="1"/>
  <c r="V145" i="1" s="1"/>
  <c r="P146" i="1"/>
  <c r="P147" i="1"/>
  <c r="P148" i="1"/>
  <c r="U148" i="1" s="1"/>
  <c r="V148" i="1" s="1"/>
  <c r="P149" i="1"/>
  <c r="U149" i="1" s="1"/>
  <c r="V149" i="1" s="1"/>
  <c r="P150" i="1"/>
  <c r="U150" i="1" s="1"/>
  <c r="V150" i="1" s="1"/>
  <c r="P151" i="1"/>
  <c r="U151" i="1" s="1"/>
  <c r="V151" i="1" s="1"/>
  <c r="P152" i="1"/>
  <c r="U152" i="1" s="1"/>
  <c r="V152" i="1" s="1"/>
  <c r="P153" i="1"/>
  <c r="U153" i="1" s="1"/>
  <c r="V153" i="1" s="1"/>
  <c r="P154" i="1"/>
  <c r="P155" i="1"/>
  <c r="U155" i="1" s="1"/>
  <c r="V155" i="1" s="1"/>
  <c r="P156" i="1"/>
  <c r="U156" i="1" s="1"/>
  <c r="V156" i="1" s="1"/>
  <c r="P157" i="1"/>
  <c r="U157" i="1" s="1"/>
  <c r="V157" i="1" s="1"/>
  <c r="P158" i="1"/>
  <c r="U158" i="1" s="1"/>
  <c r="V158" i="1" s="1"/>
  <c r="P159" i="1"/>
  <c r="U159" i="1" s="1"/>
  <c r="V159" i="1" s="1"/>
  <c r="P160" i="1"/>
  <c r="U160" i="1" s="1"/>
  <c r="V160" i="1" s="1"/>
  <c r="P161" i="1"/>
  <c r="U161" i="1" s="1"/>
  <c r="V161" i="1" s="1"/>
  <c r="P162" i="1"/>
  <c r="P163" i="1"/>
  <c r="U163" i="1" s="1"/>
  <c r="V163" i="1" s="1"/>
  <c r="P164" i="1"/>
  <c r="U164" i="1" s="1"/>
  <c r="V164" i="1" s="1"/>
  <c r="P165" i="1"/>
  <c r="U165" i="1" s="1"/>
  <c r="V165" i="1" s="1"/>
  <c r="P166" i="1"/>
  <c r="U166" i="1" s="1"/>
  <c r="V166" i="1" s="1"/>
  <c r="P167" i="1"/>
  <c r="U167" i="1" s="1"/>
  <c r="V167" i="1" s="1"/>
  <c r="P168" i="1"/>
  <c r="U168" i="1" s="1"/>
  <c r="V168" i="1" s="1"/>
  <c r="P169" i="1"/>
  <c r="U169" i="1" s="1"/>
  <c r="V169" i="1" s="1"/>
  <c r="P170" i="1"/>
  <c r="P171" i="1"/>
  <c r="U171" i="1" s="1"/>
  <c r="V171" i="1" s="1"/>
  <c r="P172" i="1"/>
  <c r="U172" i="1" s="1"/>
  <c r="V172" i="1" s="1"/>
  <c r="P173" i="1"/>
  <c r="U173" i="1" s="1"/>
  <c r="V173" i="1" s="1"/>
  <c r="P174" i="1"/>
  <c r="U174" i="1" s="1"/>
  <c r="V174" i="1" s="1"/>
  <c r="P175" i="1"/>
  <c r="U175" i="1" s="1"/>
  <c r="V175" i="1" s="1"/>
  <c r="P176" i="1"/>
  <c r="U176" i="1" s="1"/>
  <c r="V176" i="1" s="1"/>
  <c r="P177" i="1"/>
  <c r="U177" i="1" s="1"/>
  <c r="V177" i="1" s="1"/>
  <c r="P178" i="1"/>
  <c r="P179" i="1"/>
  <c r="U179" i="1" s="1"/>
  <c r="V179" i="1" s="1"/>
  <c r="P180" i="1"/>
  <c r="U180" i="1" s="1"/>
  <c r="V180" i="1" s="1"/>
  <c r="P181" i="1"/>
  <c r="U181" i="1" s="1"/>
  <c r="V181" i="1" s="1"/>
  <c r="P182" i="1"/>
  <c r="U182" i="1" s="1"/>
  <c r="V182" i="1" s="1"/>
  <c r="P183" i="1"/>
  <c r="U183" i="1" s="1"/>
  <c r="V183" i="1" s="1"/>
  <c r="P184" i="1"/>
  <c r="U184" i="1" s="1"/>
  <c r="V184" i="1" s="1"/>
  <c r="P185" i="1"/>
  <c r="U185" i="1" s="1"/>
  <c r="V185" i="1" s="1"/>
  <c r="P186" i="1"/>
  <c r="P187" i="1"/>
  <c r="P188" i="1"/>
  <c r="U188" i="1" s="1"/>
  <c r="V188" i="1" s="1"/>
  <c r="P189" i="1"/>
  <c r="U189" i="1" s="1"/>
  <c r="V189" i="1" s="1"/>
  <c r="P190" i="1"/>
  <c r="U190" i="1" s="1"/>
  <c r="V190" i="1" s="1"/>
  <c r="P191" i="1"/>
  <c r="U191" i="1" s="1"/>
  <c r="V191" i="1" s="1"/>
  <c r="P192" i="1"/>
  <c r="U192" i="1" s="1"/>
  <c r="V192" i="1" s="1"/>
  <c r="P193" i="1"/>
  <c r="U193" i="1" s="1"/>
  <c r="V193" i="1" s="1"/>
  <c r="P194" i="1"/>
  <c r="P195" i="1"/>
  <c r="P196" i="1"/>
  <c r="U196" i="1" s="1"/>
  <c r="V196" i="1" s="1"/>
  <c r="P197" i="1"/>
  <c r="U197" i="1" s="1"/>
  <c r="V197" i="1" s="1"/>
  <c r="P198" i="1"/>
  <c r="U198" i="1" s="1"/>
  <c r="V198" i="1" s="1"/>
  <c r="P199" i="1"/>
  <c r="U199" i="1" s="1"/>
  <c r="V199" i="1" s="1"/>
  <c r="P200" i="1"/>
  <c r="U200" i="1" s="1"/>
  <c r="V200" i="1" s="1"/>
  <c r="P201" i="1"/>
  <c r="U201" i="1" s="1"/>
  <c r="V201" i="1" s="1"/>
  <c r="P202" i="1"/>
  <c r="P203" i="1"/>
  <c r="P204" i="1"/>
  <c r="U204" i="1" s="1"/>
  <c r="V204" i="1" s="1"/>
  <c r="P205" i="1"/>
  <c r="U205" i="1" s="1"/>
  <c r="V205" i="1" s="1"/>
  <c r="P206" i="1"/>
  <c r="U206" i="1" s="1"/>
  <c r="V206" i="1" s="1"/>
  <c r="P207" i="1"/>
  <c r="U207" i="1" s="1"/>
  <c r="V207" i="1" s="1"/>
  <c r="P208" i="1"/>
  <c r="U208" i="1" s="1"/>
  <c r="V208" i="1" s="1"/>
  <c r="P209" i="1"/>
  <c r="U209" i="1" s="1"/>
  <c r="V209" i="1" s="1"/>
  <c r="P210" i="1"/>
  <c r="P211" i="1"/>
  <c r="P212" i="1"/>
  <c r="U212" i="1" s="1"/>
  <c r="V212" i="1" s="1"/>
  <c r="P213" i="1"/>
  <c r="U213" i="1" s="1"/>
  <c r="V213" i="1" s="1"/>
  <c r="P214" i="1"/>
  <c r="U214" i="1" s="1"/>
  <c r="V214" i="1" s="1"/>
  <c r="P215" i="1"/>
  <c r="U215" i="1" s="1"/>
  <c r="V215" i="1" s="1"/>
  <c r="P216" i="1"/>
  <c r="U216" i="1" s="1"/>
  <c r="V216" i="1" s="1"/>
  <c r="P217" i="1"/>
  <c r="U217" i="1" s="1"/>
  <c r="V217" i="1" s="1"/>
  <c r="P218" i="1"/>
  <c r="P219" i="1"/>
  <c r="P220" i="1"/>
  <c r="U220" i="1" s="1"/>
  <c r="V220" i="1" s="1"/>
  <c r="P221" i="1"/>
  <c r="U221" i="1" s="1"/>
  <c r="V221" i="1" s="1"/>
  <c r="P222" i="1"/>
  <c r="U222" i="1" s="1"/>
  <c r="V222" i="1" s="1"/>
  <c r="P223" i="1"/>
  <c r="P224" i="1"/>
  <c r="U224" i="1" s="1"/>
  <c r="V224" i="1" s="1"/>
  <c r="P225" i="1"/>
  <c r="U225" i="1" s="1"/>
  <c r="V225" i="1" s="1"/>
  <c r="P226" i="1"/>
  <c r="P227" i="1"/>
  <c r="P228" i="1"/>
  <c r="U228" i="1" s="1"/>
  <c r="V228" i="1" s="1"/>
  <c r="P229" i="1"/>
  <c r="U229" i="1" s="1"/>
  <c r="V229" i="1" s="1"/>
  <c r="P230" i="1"/>
  <c r="U230" i="1" s="1"/>
  <c r="V230" i="1" s="1"/>
  <c r="P231" i="1"/>
  <c r="U231" i="1" s="1"/>
  <c r="V231" i="1" s="1"/>
  <c r="P232" i="1"/>
  <c r="U232" i="1" s="1"/>
  <c r="V232" i="1" s="1"/>
  <c r="P233" i="1"/>
  <c r="U233" i="1" s="1"/>
  <c r="V233" i="1" s="1"/>
  <c r="P234" i="1"/>
  <c r="P235" i="1"/>
  <c r="P236" i="1"/>
  <c r="U236" i="1" s="1"/>
  <c r="V236" i="1" s="1"/>
  <c r="P237" i="1"/>
  <c r="U237" i="1" s="1"/>
  <c r="V237" i="1" s="1"/>
  <c r="P238" i="1"/>
  <c r="U238" i="1" s="1"/>
  <c r="V238" i="1" s="1"/>
  <c r="P239" i="1"/>
  <c r="U239" i="1" s="1"/>
  <c r="V239" i="1" s="1"/>
  <c r="P240" i="1"/>
  <c r="U240" i="1" s="1"/>
  <c r="V240" i="1" s="1"/>
  <c r="P241" i="1"/>
  <c r="U241" i="1" s="1"/>
  <c r="V241" i="1" s="1"/>
  <c r="P242" i="1"/>
  <c r="P243" i="1"/>
  <c r="P244" i="1"/>
  <c r="U244" i="1" s="1"/>
  <c r="V244" i="1" s="1"/>
  <c r="P245" i="1"/>
  <c r="U245" i="1" s="1"/>
  <c r="V245" i="1" s="1"/>
  <c r="P246" i="1"/>
  <c r="U246" i="1" s="1"/>
  <c r="V246" i="1" s="1"/>
  <c r="P247" i="1"/>
  <c r="U247" i="1" s="1"/>
  <c r="V247" i="1" s="1"/>
  <c r="P248" i="1"/>
  <c r="U248" i="1" s="1"/>
  <c r="V248" i="1" s="1"/>
  <c r="P249" i="1"/>
  <c r="U249" i="1" s="1"/>
  <c r="V249" i="1" s="1"/>
  <c r="P250" i="1"/>
  <c r="P251" i="1"/>
  <c r="P252" i="1"/>
  <c r="U252" i="1" s="1"/>
  <c r="V252" i="1" s="1"/>
  <c r="P253" i="1"/>
  <c r="U253" i="1" s="1"/>
  <c r="V253" i="1" s="1"/>
  <c r="P254" i="1"/>
  <c r="U254" i="1" s="1"/>
  <c r="V254" i="1" s="1"/>
  <c r="P255" i="1"/>
  <c r="U255" i="1" s="1"/>
  <c r="V255" i="1" s="1"/>
  <c r="P256" i="1"/>
  <c r="U256" i="1" s="1"/>
  <c r="V256" i="1" s="1"/>
  <c r="P257" i="1"/>
  <c r="U257" i="1" s="1"/>
  <c r="V257" i="1" s="1"/>
  <c r="P258" i="1"/>
  <c r="P259" i="1"/>
  <c r="P260" i="1"/>
  <c r="U260" i="1" s="1"/>
  <c r="V260" i="1" s="1"/>
  <c r="P261" i="1"/>
  <c r="U261" i="1" s="1"/>
  <c r="V261" i="1" s="1"/>
  <c r="P262" i="1"/>
  <c r="U262" i="1" s="1"/>
  <c r="V262" i="1" s="1"/>
  <c r="P263" i="1"/>
  <c r="U263" i="1" s="1"/>
  <c r="V263" i="1" s="1"/>
  <c r="P264" i="1"/>
  <c r="U264" i="1" s="1"/>
  <c r="V264" i="1" s="1"/>
  <c r="P265" i="1"/>
  <c r="U265" i="1" s="1"/>
  <c r="V265" i="1" s="1"/>
  <c r="P266" i="1"/>
  <c r="P267" i="1"/>
  <c r="P268" i="1"/>
  <c r="U268" i="1" s="1"/>
  <c r="V268" i="1" s="1"/>
  <c r="P269" i="1"/>
  <c r="U269" i="1" s="1"/>
  <c r="V269" i="1" s="1"/>
  <c r="P270" i="1"/>
  <c r="U270" i="1" s="1"/>
  <c r="V270" i="1" s="1"/>
  <c r="P271" i="1"/>
  <c r="U271" i="1" s="1"/>
  <c r="V271" i="1" s="1"/>
  <c r="P272" i="1"/>
  <c r="U272" i="1" s="1"/>
  <c r="V272" i="1" s="1"/>
  <c r="P273" i="1"/>
  <c r="U273" i="1" s="1"/>
  <c r="V273" i="1" s="1"/>
  <c r="P274" i="1"/>
  <c r="P275" i="1"/>
  <c r="U275" i="1" s="1"/>
  <c r="V275" i="1" s="1"/>
  <c r="P276" i="1"/>
  <c r="U276" i="1" s="1"/>
  <c r="V276" i="1" s="1"/>
  <c r="P277" i="1"/>
  <c r="U277" i="1" s="1"/>
  <c r="V277" i="1" s="1"/>
  <c r="P278" i="1"/>
  <c r="U278" i="1" s="1"/>
  <c r="V278" i="1" s="1"/>
  <c r="P279" i="1"/>
  <c r="U279" i="1" s="1"/>
  <c r="V279" i="1" s="1"/>
  <c r="P280" i="1"/>
  <c r="U280" i="1" s="1"/>
  <c r="V280" i="1" s="1"/>
  <c r="P281" i="1"/>
  <c r="U281" i="1" s="1"/>
  <c r="V281" i="1" s="1"/>
  <c r="P282" i="1"/>
  <c r="P283" i="1"/>
  <c r="U283" i="1" s="1"/>
  <c r="V283" i="1" s="1"/>
  <c r="P284" i="1"/>
  <c r="U284" i="1" s="1"/>
  <c r="V284" i="1" s="1"/>
  <c r="P285" i="1"/>
  <c r="U285" i="1" s="1"/>
  <c r="V285" i="1" s="1"/>
  <c r="P286" i="1"/>
  <c r="U286" i="1" s="1"/>
  <c r="V286" i="1" s="1"/>
  <c r="P287" i="1"/>
  <c r="U287" i="1" s="1"/>
  <c r="V287" i="1" s="1"/>
  <c r="P288" i="1"/>
  <c r="U288" i="1" s="1"/>
  <c r="V288" i="1" s="1"/>
  <c r="P289" i="1"/>
  <c r="U289" i="1" s="1"/>
  <c r="V289" i="1" s="1"/>
  <c r="P290" i="1"/>
  <c r="P291" i="1"/>
  <c r="U291" i="1" s="1"/>
  <c r="V291" i="1" s="1"/>
  <c r="P292" i="1"/>
  <c r="U292" i="1" s="1"/>
  <c r="V292" i="1" s="1"/>
  <c r="P293" i="1"/>
  <c r="U293" i="1" s="1"/>
  <c r="V293" i="1" s="1"/>
  <c r="P294" i="1"/>
  <c r="U294" i="1" s="1"/>
  <c r="V294" i="1" s="1"/>
  <c r="P295" i="1"/>
  <c r="U295" i="1" s="1"/>
  <c r="V295" i="1" s="1"/>
  <c r="P296" i="1"/>
  <c r="U296" i="1" s="1"/>
  <c r="V296" i="1" s="1"/>
  <c r="P297" i="1"/>
  <c r="U297" i="1" s="1"/>
  <c r="V297" i="1" s="1"/>
  <c r="P298" i="1"/>
  <c r="P299" i="1"/>
  <c r="U299" i="1" s="1"/>
  <c r="V299" i="1" s="1"/>
  <c r="P300" i="1"/>
  <c r="U300" i="1" s="1"/>
  <c r="V300" i="1" s="1"/>
  <c r="P301" i="1"/>
  <c r="U301" i="1" s="1"/>
  <c r="V301" i="1" s="1"/>
  <c r="P302" i="1"/>
  <c r="U302" i="1" s="1"/>
  <c r="V302" i="1" s="1"/>
  <c r="P303" i="1"/>
  <c r="U303" i="1" s="1"/>
  <c r="V303" i="1" s="1"/>
  <c r="P304" i="1"/>
  <c r="U304" i="1" s="1"/>
  <c r="V304" i="1" s="1"/>
  <c r="P305" i="1"/>
  <c r="U305" i="1" s="1"/>
  <c r="V305" i="1" s="1"/>
  <c r="P306" i="1"/>
  <c r="P307" i="1"/>
  <c r="U307" i="1" s="1"/>
  <c r="V307" i="1" s="1"/>
  <c r="P308" i="1"/>
  <c r="U308" i="1" s="1"/>
  <c r="V308" i="1" s="1"/>
  <c r="P309" i="1"/>
  <c r="U309" i="1" s="1"/>
  <c r="V309" i="1" s="1"/>
  <c r="P310" i="1"/>
  <c r="U310" i="1" s="1"/>
  <c r="V310" i="1" s="1"/>
  <c r="P311" i="1"/>
  <c r="U311" i="1" s="1"/>
  <c r="V311" i="1" s="1"/>
  <c r="P312" i="1"/>
  <c r="U312" i="1" s="1"/>
  <c r="V312" i="1" s="1"/>
  <c r="P313" i="1"/>
  <c r="U313" i="1" s="1"/>
  <c r="V313" i="1" s="1"/>
  <c r="P314" i="1"/>
  <c r="P315" i="1"/>
  <c r="U315" i="1" s="1"/>
  <c r="V315" i="1" s="1"/>
  <c r="P316" i="1"/>
  <c r="U316" i="1" s="1"/>
  <c r="V316" i="1" s="1"/>
  <c r="P317" i="1"/>
  <c r="U317" i="1" s="1"/>
  <c r="V317" i="1" s="1"/>
  <c r="P318" i="1"/>
  <c r="U318" i="1" s="1"/>
  <c r="V318" i="1" s="1"/>
  <c r="P319" i="1"/>
  <c r="U319" i="1" s="1"/>
  <c r="V319" i="1" s="1"/>
  <c r="P320" i="1"/>
  <c r="U320" i="1" s="1"/>
  <c r="V320" i="1" s="1"/>
  <c r="P321" i="1"/>
  <c r="U321" i="1" s="1"/>
  <c r="V321" i="1" s="1"/>
  <c r="P322" i="1"/>
  <c r="P323" i="1"/>
  <c r="U323" i="1" s="1"/>
  <c r="V323" i="1" s="1"/>
  <c r="P324" i="1"/>
  <c r="U324" i="1" s="1"/>
  <c r="V324" i="1" s="1"/>
  <c r="P325" i="1"/>
  <c r="U325" i="1" s="1"/>
  <c r="V325" i="1" s="1"/>
  <c r="P326" i="1"/>
  <c r="U326" i="1" s="1"/>
  <c r="V326" i="1" s="1"/>
  <c r="P327" i="1"/>
  <c r="U327" i="1" s="1"/>
  <c r="V327" i="1" s="1"/>
  <c r="P328" i="1"/>
  <c r="U328" i="1" s="1"/>
  <c r="V328" i="1" s="1"/>
  <c r="P329" i="1"/>
  <c r="U329" i="1" s="1"/>
  <c r="V329" i="1" s="1"/>
  <c r="P330" i="1"/>
  <c r="P331" i="1"/>
  <c r="U331" i="1" s="1"/>
  <c r="V331" i="1" s="1"/>
  <c r="P332" i="1"/>
  <c r="U332" i="1" s="1"/>
  <c r="V332" i="1" s="1"/>
  <c r="P333" i="1"/>
  <c r="U333" i="1" s="1"/>
  <c r="V333" i="1" s="1"/>
  <c r="P334" i="1"/>
  <c r="U334" i="1" s="1"/>
  <c r="V334" i="1" s="1"/>
  <c r="P335" i="1"/>
  <c r="U335" i="1" s="1"/>
  <c r="V335" i="1" s="1"/>
  <c r="P336" i="1"/>
  <c r="U336" i="1" s="1"/>
  <c r="V336" i="1" s="1"/>
  <c r="P337" i="1"/>
  <c r="U337" i="1" s="1"/>
  <c r="V337" i="1" s="1"/>
  <c r="P338" i="1"/>
  <c r="P339" i="1"/>
  <c r="U339" i="1" s="1"/>
  <c r="V339" i="1" s="1"/>
  <c r="P340" i="1"/>
  <c r="U340" i="1" s="1"/>
  <c r="V340" i="1" s="1"/>
  <c r="P341" i="1"/>
  <c r="U341" i="1" s="1"/>
  <c r="V341" i="1" s="1"/>
  <c r="P342" i="1"/>
  <c r="U342" i="1" s="1"/>
  <c r="V342" i="1" s="1"/>
  <c r="P343" i="1"/>
  <c r="U343" i="1" s="1"/>
  <c r="V343" i="1" s="1"/>
  <c r="P344" i="1"/>
  <c r="U344" i="1" s="1"/>
  <c r="V344" i="1" s="1"/>
  <c r="P345" i="1"/>
  <c r="U345" i="1" s="1"/>
  <c r="V345" i="1" s="1"/>
  <c r="P346" i="1"/>
  <c r="P347" i="1"/>
  <c r="U347" i="1" s="1"/>
  <c r="V347" i="1" s="1"/>
  <c r="P348" i="1"/>
  <c r="U348" i="1" s="1"/>
  <c r="V348" i="1" s="1"/>
  <c r="P349" i="1"/>
  <c r="U349" i="1" s="1"/>
  <c r="V349" i="1" s="1"/>
  <c r="P350" i="1"/>
  <c r="U350" i="1" s="1"/>
  <c r="V350" i="1" s="1"/>
  <c r="P351" i="1"/>
  <c r="U351" i="1" s="1"/>
  <c r="V351" i="1" s="1"/>
  <c r="P352" i="1"/>
  <c r="U352" i="1" s="1"/>
  <c r="V352" i="1" s="1"/>
  <c r="P353" i="1"/>
  <c r="U353" i="1" s="1"/>
  <c r="V353" i="1" s="1"/>
  <c r="P354" i="1"/>
  <c r="P355" i="1"/>
  <c r="U355" i="1" s="1"/>
  <c r="V355" i="1" s="1"/>
  <c r="P356" i="1"/>
  <c r="U356" i="1" s="1"/>
  <c r="V356" i="1" s="1"/>
  <c r="P357" i="1"/>
  <c r="U357" i="1" s="1"/>
  <c r="V357" i="1" s="1"/>
  <c r="P358" i="1"/>
  <c r="U358" i="1" s="1"/>
  <c r="V358" i="1" s="1"/>
  <c r="P359" i="1"/>
  <c r="U359" i="1" s="1"/>
  <c r="V359" i="1" s="1"/>
  <c r="P360" i="1"/>
  <c r="U360" i="1" s="1"/>
  <c r="V360" i="1" s="1"/>
  <c r="P361" i="1"/>
  <c r="U361" i="1" s="1"/>
  <c r="V361" i="1" s="1"/>
  <c r="P362" i="1"/>
  <c r="P363" i="1"/>
  <c r="U363" i="1" s="1"/>
  <c r="V363" i="1" s="1"/>
  <c r="P364" i="1"/>
  <c r="U364" i="1" s="1"/>
  <c r="V364" i="1" s="1"/>
  <c r="P365" i="1"/>
  <c r="U365" i="1" s="1"/>
  <c r="V365" i="1" s="1"/>
  <c r="P366" i="1"/>
  <c r="U366" i="1" s="1"/>
  <c r="V366" i="1" s="1"/>
  <c r="P367" i="1"/>
  <c r="U367" i="1" s="1"/>
  <c r="V367" i="1" s="1"/>
  <c r="P368" i="1"/>
  <c r="U368" i="1" s="1"/>
  <c r="V368" i="1" s="1"/>
  <c r="P369" i="1"/>
  <c r="U369" i="1" s="1"/>
  <c r="V369" i="1" s="1"/>
  <c r="P370" i="1"/>
  <c r="P371" i="1"/>
  <c r="U371" i="1" s="1"/>
  <c r="V371" i="1" s="1"/>
  <c r="P372" i="1"/>
  <c r="U372" i="1" s="1"/>
  <c r="V372" i="1" s="1"/>
  <c r="P373" i="1"/>
  <c r="U373" i="1" s="1"/>
  <c r="V373" i="1" s="1"/>
  <c r="P374" i="1"/>
  <c r="U374" i="1" s="1"/>
  <c r="V374" i="1" s="1"/>
  <c r="P375" i="1"/>
  <c r="U375" i="1" s="1"/>
  <c r="V375" i="1" s="1"/>
  <c r="P376" i="1"/>
  <c r="U376" i="1" s="1"/>
  <c r="V376" i="1" s="1"/>
  <c r="P377" i="1"/>
  <c r="U377" i="1" s="1"/>
  <c r="V377" i="1" s="1"/>
  <c r="P378" i="1"/>
  <c r="P379" i="1"/>
  <c r="U379" i="1" s="1"/>
  <c r="V379" i="1" s="1"/>
  <c r="P380" i="1"/>
  <c r="U380" i="1" s="1"/>
  <c r="V380" i="1" s="1"/>
  <c r="P381" i="1"/>
  <c r="U381" i="1" s="1"/>
  <c r="V381" i="1" s="1"/>
  <c r="P382" i="1"/>
  <c r="U382" i="1" s="1"/>
  <c r="V382" i="1" s="1"/>
  <c r="P383" i="1"/>
  <c r="U383" i="1" s="1"/>
  <c r="V383" i="1" s="1"/>
  <c r="P384" i="1"/>
  <c r="U384" i="1" s="1"/>
  <c r="V384" i="1" s="1"/>
  <c r="P385" i="1"/>
  <c r="U385" i="1" s="1"/>
  <c r="V385" i="1" s="1"/>
  <c r="P386" i="1"/>
  <c r="P387" i="1"/>
  <c r="U387" i="1" s="1"/>
  <c r="V387" i="1" s="1"/>
  <c r="P388" i="1"/>
  <c r="U388" i="1" s="1"/>
  <c r="V388" i="1" s="1"/>
  <c r="P389" i="1"/>
  <c r="U389" i="1" s="1"/>
  <c r="V389" i="1" s="1"/>
  <c r="P390" i="1"/>
  <c r="U390" i="1" s="1"/>
  <c r="V390" i="1" s="1"/>
  <c r="P391" i="1"/>
  <c r="U391" i="1" s="1"/>
  <c r="V391" i="1" s="1"/>
  <c r="P392" i="1"/>
  <c r="U392" i="1" s="1"/>
  <c r="V392" i="1" s="1"/>
  <c r="P393" i="1"/>
  <c r="U393" i="1" s="1"/>
  <c r="V393" i="1" s="1"/>
  <c r="P394" i="1"/>
  <c r="P395" i="1"/>
  <c r="U395" i="1" s="1"/>
  <c r="V395" i="1" s="1"/>
  <c r="P396" i="1"/>
  <c r="U396" i="1" s="1"/>
  <c r="V396" i="1" s="1"/>
  <c r="P397" i="1"/>
  <c r="U397" i="1" s="1"/>
  <c r="V397" i="1" s="1"/>
  <c r="P398" i="1"/>
  <c r="U398" i="1" s="1"/>
  <c r="V398" i="1" s="1"/>
  <c r="P399" i="1"/>
  <c r="U399" i="1" s="1"/>
  <c r="V399" i="1" s="1"/>
  <c r="P400" i="1"/>
  <c r="U400" i="1" s="1"/>
  <c r="V400" i="1" s="1"/>
  <c r="P401" i="1"/>
  <c r="U401" i="1" s="1"/>
  <c r="V401" i="1" s="1"/>
  <c r="P402" i="1"/>
  <c r="P403" i="1"/>
  <c r="U403" i="1" s="1"/>
  <c r="V403" i="1" s="1"/>
  <c r="P404" i="1"/>
  <c r="U404" i="1" s="1"/>
  <c r="V404" i="1" s="1"/>
  <c r="P405" i="1"/>
  <c r="U405" i="1" s="1"/>
  <c r="V405" i="1" s="1"/>
  <c r="P406" i="1"/>
  <c r="U406" i="1" s="1"/>
  <c r="V406" i="1" s="1"/>
  <c r="P407" i="1"/>
  <c r="U407" i="1" s="1"/>
  <c r="V407" i="1" s="1"/>
  <c r="P408" i="1"/>
  <c r="U408" i="1" s="1"/>
  <c r="V408" i="1" s="1"/>
  <c r="P409" i="1"/>
  <c r="U409" i="1" s="1"/>
  <c r="V409" i="1" s="1"/>
  <c r="P410" i="1"/>
  <c r="P411" i="1"/>
  <c r="U411" i="1" s="1"/>
  <c r="V411" i="1" s="1"/>
  <c r="P412" i="1"/>
  <c r="U412" i="1" s="1"/>
  <c r="V412" i="1" s="1"/>
  <c r="P413" i="1"/>
  <c r="U413" i="1" s="1"/>
  <c r="V413" i="1" s="1"/>
  <c r="P414" i="1"/>
  <c r="U414" i="1" s="1"/>
  <c r="V414" i="1" s="1"/>
  <c r="P415" i="1"/>
  <c r="U415" i="1" s="1"/>
  <c r="V415" i="1" s="1"/>
  <c r="P416" i="1"/>
  <c r="U416" i="1" s="1"/>
  <c r="V416" i="1" s="1"/>
  <c r="P417" i="1"/>
  <c r="U417" i="1" s="1"/>
  <c r="V417" i="1" s="1"/>
  <c r="P418" i="1"/>
  <c r="P419" i="1"/>
  <c r="U419" i="1" s="1"/>
  <c r="V419" i="1" s="1"/>
  <c r="P420" i="1"/>
  <c r="U420" i="1" s="1"/>
  <c r="V420" i="1" s="1"/>
  <c r="P421" i="1"/>
  <c r="U421" i="1" s="1"/>
  <c r="V421" i="1" s="1"/>
  <c r="P422" i="1"/>
  <c r="U422" i="1" s="1"/>
  <c r="V422" i="1" s="1"/>
  <c r="P423" i="1"/>
  <c r="U423" i="1" s="1"/>
  <c r="V423" i="1" s="1"/>
  <c r="P424" i="1"/>
  <c r="U424" i="1" s="1"/>
  <c r="V424" i="1" s="1"/>
  <c r="P425" i="1"/>
  <c r="U425" i="1" s="1"/>
  <c r="V425" i="1" s="1"/>
  <c r="P426" i="1"/>
  <c r="P427" i="1"/>
  <c r="U427" i="1" s="1"/>
  <c r="V427" i="1" s="1"/>
  <c r="P428" i="1"/>
  <c r="U428" i="1" s="1"/>
  <c r="V428" i="1" s="1"/>
  <c r="P429" i="1"/>
  <c r="U429" i="1" s="1"/>
  <c r="V429" i="1" s="1"/>
  <c r="P430" i="1"/>
  <c r="U430" i="1" s="1"/>
  <c r="V430" i="1" s="1"/>
  <c r="P431" i="1"/>
  <c r="U431" i="1" s="1"/>
  <c r="V431" i="1" s="1"/>
  <c r="P432" i="1"/>
  <c r="U432" i="1" s="1"/>
  <c r="V432" i="1" s="1"/>
  <c r="P433" i="1"/>
  <c r="U433" i="1" s="1"/>
  <c r="V433" i="1" s="1"/>
  <c r="P434" i="1"/>
  <c r="P435" i="1"/>
  <c r="U435" i="1" s="1"/>
  <c r="V435" i="1" s="1"/>
  <c r="P436" i="1"/>
  <c r="U436" i="1" s="1"/>
  <c r="V436" i="1" s="1"/>
  <c r="P437" i="1"/>
  <c r="U437" i="1" s="1"/>
  <c r="V437" i="1" s="1"/>
  <c r="P438" i="1"/>
  <c r="U438" i="1" s="1"/>
  <c r="V438" i="1" s="1"/>
  <c r="P439" i="1"/>
  <c r="U439" i="1" s="1"/>
  <c r="V439" i="1" s="1"/>
  <c r="P440" i="1"/>
  <c r="U440" i="1" s="1"/>
  <c r="V440" i="1" s="1"/>
  <c r="P441" i="1"/>
  <c r="U441" i="1" s="1"/>
  <c r="V441" i="1" s="1"/>
  <c r="P442" i="1"/>
  <c r="P443" i="1"/>
  <c r="U443" i="1" s="1"/>
  <c r="V443" i="1" s="1"/>
  <c r="P444" i="1"/>
  <c r="U444" i="1" s="1"/>
  <c r="V444" i="1" s="1"/>
  <c r="P445" i="1"/>
  <c r="U445" i="1" s="1"/>
  <c r="V445" i="1" s="1"/>
  <c r="P446" i="1"/>
  <c r="U446" i="1" s="1"/>
  <c r="V446" i="1" s="1"/>
  <c r="P447" i="1"/>
  <c r="U447" i="1" s="1"/>
  <c r="V447" i="1" s="1"/>
  <c r="P448" i="1"/>
  <c r="U448" i="1" s="1"/>
  <c r="V448" i="1" s="1"/>
  <c r="P449" i="1"/>
  <c r="U449" i="1" s="1"/>
  <c r="V449" i="1" s="1"/>
  <c r="P450" i="1"/>
  <c r="P451" i="1"/>
  <c r="U451" i="1" s="1"/>
  <c r="V451" i="1" s="1"/>
  <c r="P452" i="1"/>
  <c r="U452" i="1" s="1"/>
  <c r="V452" i="1" s="1"/>
  <c r="P453" i="1"/>
  <c r="U453" i="1" s="1"/>
  <c r="V453" i="1" s="1"/>
  <c r="P454" i="1"/>
  <c r="U454" i="1" s="1"/>
  <c r="V454" i="1" s="1"/>
  <c r="P455" i="1"/>
  <c r="U455" i="1" s="1"/>
  <c r="V455" i="1" s="1"/>
  <c r="P456" i="1"/>
  <c r="U456" i="1" s="1"/>
  <c r="V456" i="1" s="1"/>
  <c r="P457" i="1"/>
  <c r="U457" i="1" s="1"/>
  <c r="V457" i="1" s="1"/>
  <c r="P458" i="1"/>
  <c r="P459" i="1"/>
  <c r="U459" i="1" s="1"/>
  <c r="V459" i="1" s="1"/>
  <c r="P460" i="1"/>
  <c r="U460" i="1" s="1"/>
  <c r="V460" i="1" s="1"/>
  <c r="P461" i="1"/>
  <c r="U461" i="1" s="1"/>
  <c r="V461" i="1" s="1"/>
  <c r="P462" i="1"/>
  <c r="U462" i="1" s="1"/>
  <c r="V462" i="1" s="1"/>
  <c r="P463" i="1"/>
  <c r="U463" i="1" s="1"/>
  <c r="V463" i="1" s="1"/>
  <c r="P464" i="1"/>
  <c r="U464" i="1" s="1"/>
  <c r="V464" i="1" s="1"/>
  <c r="P465" i="1"/>
  <c r="U465" i="1" s="1"/>
  <c r="V465" i="1" s="1"/>
  <c r="P466" i="1"/>
  <c r="P467" i="1"/>
  <c r="U467" i="1" s="1"/>
  <c r="V467" i="1" s="1"/>
  <c r="P468" i="1"/>
  <c r="U468" i="1" s="1"/>
  <c r="V468" i="1" s="1"/>
  <c r="P469" i="1"/>
  <c r="U469" i="1" s="1"/>
  <c r="V469" i="1" s="1"/>
  <c r="P470" i="1"/>
  <c r="U470" i="1" s="1"/>
  <c r="V470" i="1" s="1"/>
  <c r="P471" i="1"/>
  <c r="U471" i="1" s="1"/>
  <c r="V471" i="1" s="1"/>
  <c r="P472" i="1"/>
  <c r="U472" i="1" s="1"/>
  <c r="V472" i="1" s="1"/>
  <c r="P473" i="1"/>
  <c r="U473" i="1" s="1"/>
  <c r="V473" i="1" s="1"/>
  <c r="P474" i="1"/>
  <c r="P475" i="1"/>
  <c r="U475" i="1" s="1"/>
  <c r="V475" i="1" s="1"/>
  <c r="P476" i="1"/>
  <c r="U476" i="1" s="1"/>
  <c r="V476" i="1" s="1"/>
  <c r="P477" i="1"/>
  <c r="U477" i="1" s="1"/>
  <c r="V477" i="1" s="1"/>
  <c r="P478" i="1"/>
  <c r="P479" i="1"/>
  <c r="U479" i="1" s="1"/>
  <c r="V479" i="1" s="1"/>
  <c r="P480" i="1"/>
  <c r="U480" i="1" s="1"/>
  <c r="V480" i="1" s="1"/>
  <c r="P481" i="1"/>
  <c r="U481" i="1" s="1"/>
  <c r="V481" i="1" s="1"/>
  <c r="P482" i="1"/>
  <c r="P483" i="1"/>
  <c r="U483" i="1" s="1"/>
  <c r="V483" i="1" s="1"/>
  <c r="P484" i="1"/>
  <c r="U484" i="1" s="1"/>
  <c r="V484" i="1" s="1"/>
  <c r="P485" i="1"/>
  <c r="U485" i="1" s="1"/>
  <c r="V485" i="1" s="1"/>
  <c r="P486" i="1"/>
  <c r="U486" i="1" s="1"/>
  <c r="V486" i="1" s="1"/>
  <c r="P487" i="1"/>
  <c r="U487" i="1" s="1"/>
  <c r="V487" i="1" s="1"/>
  <c r="P488" i="1"/>
  <c r="U488" i="1" s="1"/>
  <c r="V488" i="1" s="1"/>
  <c r="P489" i="1"/>
  <c r="U489" i="1" s="1"/>
  <c r="V489" i="1" s="1"/>
  <c r="P490" i="1"/>
  <c r="P491" i="1"/>
  <c r="U491" i="1" s="1"/>
  <c r="V491" i="1" s="1"/>
  <c r="P492" i="1"/>
  <c r="U492" i="1" s="1"/>
  <c r="V492" i="1" s="1"/>
  <c r="P493" i="1"/>
  <c r="U493" i="1" s="1"/>
  <c r="V493" i="1" s="1"/>
  <c r="P494" i="1"/>
  <c r="U494" i="1" s="1"/>
  <c r="V494" i="1" s="1"/>
  <c r="P495" i="1"/>
  <c r="U495" i="1" s="1"/>
  <c r="V495" i="1" s="1"/>
  <c r="P496" i="1"/>
  <c r="U496" i="1" s="1"/>
  <c r="V496" i="1" s="1"/>
  <c r="P497" i="1"/>
  <c r="U497" i="1" s="1"/>
  <c r="V497" i="1" s="1"/>
  <c r="P498" i="1"/>
  <c r="P499" i="1"/>
  <c r="U499" i="1" s="1"/>
  <c r="V499" i="1" s="1"/>
  <c r="P500" i="1"/>
  <c r="U500" i="1" s="1"/>
  <c r="V500" i="1" s="1"/>
  <c r="P501" i="1"/>
  <c r="U501" i="1" s="1"/>
  <c r="V501" i="1" s="1"/>
  <c r="P502" i="1"/>
  <c r="U502" i="1" s="1"/>
  <c r="V502" i="1" s="1"/>
  <c r="P503" i="1"/>
  <c r="U503" i="1" s="1"/>
  <c r="V503" i="1" s="1"/>
  <c r="P504" i="1"/>
  <c r="U504" i="1" s="1"/>
  <c r="V504" i="1" s="1"/>
  <c r="P505" i="1"/>
  <c r="U505" i="1" s="1"/>
  <c r="V505" i="1" s="1"/>
  <c r="P506" i="1"/>
  <c r="P507" i="1"/>
  <c r="U507" i="1" s="1"/>
  <c r="V507" i="1" s="1"/>
  <c r="P508" i="1"/>
  <c r="U508" i="1" s="1"/>
  <c r="V508" i="1" s="1"/>
  <c r="P509" i="1"/>
  <c r="U509" i="1" s="1"/>
  <c r="V509" i="1" s="1"/>
  <c r="P510" i="1"/>
  <c r="U510" i="1" s="1"/>
  <c r="V510" i="1" s="1"/>
  <c r="P511" i="1"/>
  <c r="U511" i="1" s="1"/>
  <c r="V511" i="1" s="1"/>
  <c r="P512" i="1"/>
  <c r="U512" i="1" s="1"/>
  <c r="V512" i="1" s="1"/>
  <c r="P513" i="1"/>
  <c r="U513" i="1" s="1"/>
  <c r="V513" i="1" s="1"/>
  <c r="P514" i="1"/>
  <c r="P515" i="1"/>
  <c r="U515" i="1" s="1"/>
  <c r="V515" i="1" s="1"/>
  <c r="P516" i="1"/>
  <c r="U516" i="1" s="1"/>
  <c r="V516" i="1" s="1"/>
  <c r="P517" i="1"/>
  <c r="U517" i="1" s="1"/>
  <c r="V517" i="1" s="1"/>
  <c r="P518" i="1"/>
  <c r="U518" i="1" s="1"/>
  <c r="V518" i="1" s="1"/>
  <c r="P519" i="1"/>
  <c r="U519" i="1" s="1"/>
  <c r="V519" i="1" s="1"/>
  <c r="P520" i="1"/>
  <c r="U520" i="1" s="1"/>
  <c r="V520" i="1" s="1"/>
  <c r="P521" i="1"/>
  <c r="U521" i="1" s="1"/>
  <c r="V521" i="1" s="1"/>
  <c r="P522" i="1"/>
  <c r="P523" i="1"/>
  <c r="U523" i="1" s="1"/>
  <c r="V523" i="1" s="1"/>
  <c r="P524" i="1"/>
  <c r="U524" i="1" s="1"/>
  <c r="V524" i="1" s="1"/>
  <c r="P525" i="1"/>
  <c r="U525" i="1" s="1"/>
  <c r="V525" i="1" s="1"/>
  <c r="P526" i="1"/>
  <c r="U526" i="1" s="1"/>
  <c r="V526" i="1" s="1"/>
  <c r="P527" i="1"/>
  <c r="U527" i="1" s="1"/>
  <c r="V527" i="1" s="1"/>
  <c r="P528" i="1"/>
  <c r="U528" i="1" s="1"/>
  <c r="V528" i="1" s="1"/>
  <c r="P529" i="1"/>
  <c r="U529" i="1" s="1"/>
  <c r="V529" i="1" s="1"/>
  <c r="P530" i="1"/>
  <c r="P531" i="1"/>
  <c r="U531" i="1" s="1"/>
  <c r="V531" i="1" s="1"/>
  <c r="P532" i="1"/>
  <c r="U532" i="1" s="1"/>
  <c r="V532" i="1" s="1"/>
  <c r="P533" i="1"/>
  <c r="U533" i="1" s="1"/>
  <c r="V533" i="1" s="1"/>
  <c r="P534" i="1"/>
  <c r="U534" i="1" s="1"/>
  <c r="V534" i="1" s="1"/>
  <c r="P535" i="1"/>
  <c r="U535" i="1" s="1"/>
  <c r="V535" i="1" s="1"/>
  <c r="P536" i="1"/>
  <c r="U536" i="1" s="1"/>
  <c r="V536" i="1" s="1"/>
  <c r="P537" i="1"/>
  <c r="U537" i="1" s="1"/>
  <c r="V537" i="1" s="1"/>
  <c r="P538" i="1"/>
  <c r="P539" i="1"/>
  <c r="U539" i="1" s="1"/>
  <c r="V539" i="1" s="1"/>
  <c r="P540" i="1"/>
  <c r="U540" i="1" s="1"/>
  <c r="V540" i="1" s="1"/>
  <c r="P541" i="1"/>
  <c r="U541" i="1" s="1"/>
  <c r="V541" i="1" s="1"/>
  <c r="P542" i="1"/>
  <c r="U542" i="1" s="1"/>
  <c r="V542" i="1" s="1"/>
  <c r="P543" i="1"/>
  <c r="U543" i="1" s="1"/>
  <c r="V543" i="1" s="1"/>
  <c r="P544" i="1"/>
  <c r="U544" i="1" s="1"/>
  <c r="V544" i="1" s="1"/>
  <c r="P545" i="1"/>
  <c r="U545" i="1" s="1"/>
  <c r="V545" i="1" s="1"/>
  <c r="P546" i="1"/>
  <c r="P547" i="1"/>
  <c r="U547" i="1" s="1"/>
  <c r="V547" i="1" s="1"/>
  <c r="P548" i="1"/>
  <c r="U548" i="1" s="1"/>
  <c r="V548" i="1" s="1"/>
  <c r="P549" i="1"/>
  <c r="U549" i="1" s="1"/>
  <c r="V549" i="1" s="1"/>
  <c r="P550" i="1"/>
  <c r="U550" i="1" s="1"/>
  <c r="V550" i="1" s="1"/>
  <c r="P551" i="1"/>
  <c r="U551" i="1" s="1"/>
  <c r="V551" i="1" s="1"/>
  <c r="P552" i="1"/>
  <c r="U552" i="1" s="1"/>
  <c r="V552" i="1" s="1"/>
  <c r="P553" i="1"/>
  <c r="U553" i="1" s="1"/>
  <c r="V553" i="1" s="1"/>
  <c r="P554" i="1"/>
  <c r="P555" i="1"/>
  <c r="U555" i="1" s="1"/>
  <c r="V555" i="1" s="1"/>
  <c r="P556" i="1"/>
  <c r="U556" i="1" s="1"/>
  <c r="V556" i="1" s="1"/>
  <c r="P557" i="1"/>
  <c r="U557" i="1" s="1"/>
  <c r="V557" i="1" s="1"/>
  <c r="P558" i="1"/>
  <c r="U558" i="1" s="1"/>
  <c r="V558" i="1" s="1"/>
  <c r="P559" i="1"/>
  <c r="U559" i="1" s="1"/>
  <c r="V559" i="1" s="1"/>
  <c r="P560" i="1"/>
  <c r="U560" i="1" s="1"/>
  <c r="V560" i="1" s="1"/>
  <c r="P561" i="1"/>
  <c r="U561" i="1" s="1"/>
  <c r="V561" i="1" s="1"/>
  <c r="P562" i="1"/>
  <c r="P563" i="1"/>
  <c r="U563" i="1" s="1"/>
  <c r="V563" i="1" s="1"/>
  <c r="P564" i="1"/>
  <c r="U564" i="1" s="1"/>
  <c r="V564" i="1" s="1"/>
  <c r="P565" i="1"/>
  <c r="U565" i="1" s="1"/>
  <c r="V565" i="1" s="1"/>
  <c r="P566" i="1"/>
  <c r="U566" i="1" s="1"/>
  <c r="V566" i="1" s="1"/>
  <c r="P567" i="1"/>
  <c r="U567" i="1" s="1"/>
  <c r="V567" i="1" s="1"/>
  <c r="P568" i="1"/>
  <c r="U568" i="1" s="1"/>
  <c r="V568" i="1" s="1"/>
  <c r="P569" i="1"/>
  <c r="U569" i="1" s="1"/>
  <c r="V569" i="1" s="1"/>
  <c r="P570" i="1"/>
  <c r="P571" i="1"/>
  <c r="U571" i="1" s="1"/>
  <c r="V571" i="1" s="1"/>
  <c r="P572" i="1"/>
  <c r="U572" i="1" s="1"/>
  <c r="V572" i="1" s="1"/>
  <c r="P573" i="1"/>
  <c r="U573" i="1" s="1"/>
  <c r="V573" i="1" s="1"/>
  <c r="P574" i="1"/>
  <c r="U574" i="1" s="1"/>
  <c r="V574" i="1" s="1"/>
  <c r="P575" i="1"/>
  <c r="U575" i="1" s="1"/>
  <c r="V575" i="1" s="1"/>
  <c r="P576" i="1"/>
  <c r="U576" i="1" s="1"/>
  <c r="V576" i="1" s="1"/>
  <c r="P577" i="1"/>
  <c r="U577" i="1" s="1"/>
  <c r="V577" i="1" s="1"/>
  <c r="P578" i="1"/>
  <c r="P579" i="1"/>
  <c r="U579" i="1" s="1"/>
  <c r="V579" i="1" s="1"/>
  <c r="P580" i="1"/>
  <c r="U580" i="1" s="1"/>
  <c r="V580" i="1" s="1"/>
  <c r="P581" i="1"/>
  <c r="U581" i="1" s="1"/>
  <c r="V581" i="1" s="1"/>
  <c r="P582" i="1"/>
  <c r="U582" i="1" s="1"/>
  <c r="V582" i="1" s="1"/>
  <c r="P583" i="1"/>
  <c r="U583" i="1" s="1"/>
  <c r="V583" i="1" s="1"/>
  <c r="P584" i="1"/>
  <c r="U584" i="1" s="1"/>
  <c r="V584" i="1" s="1"/>
  <c r="P585" i="1"/>
  <c r="U585" i="1" s="1"/>
  <c r="V585" i="1" s="1"/>
  <c r="P586" i="1"/>
  <c r="P587" i="1"/>
  <c r="U587" i="1" s="1"/>
  <c r="V587" i="1" s="1"/>
  <c r="P588" i="1"/>
  <c r="U588" i="1" s="1"/>
  <c r="V588" i="1" s="1"/>
  <c r="P589" i="1"/>
  <c r="U589" i="1" s="1"/>
  <c r="V589" i="1" s="1"/>
  <c r="P590" i="1"/>
  <c r="U590" i="1" s="1"/>
  <c r="V590" i="1" s="1"/>
  <c r="P591" i="1"/>
  <c r="U591" i="1" s="1"/>
  <c r="V591" i="1" s="1"/>
  <c r="P592" i="1"/>
  <c r="U592" i="1" s="1"/>
  <c r="V592" i="1" s="1"/>
  <c r="P593" i="1"/>
  <c r="U593" i="1" s="1"/>
  <c r="V593" i="1" s="1"/>
  <c r="P594" i="1"/>
  <c r="P595" i="1"/>
  <c r="U595" i="1" s="1"/>
  <c r="V595" i="1" s="1"/>
  <c r="P596" i="1"/>
  <c r="U596" i="1" s="1"/>
  <c r="V596" i="1" s="1"/>
  <c r="P597" i="1"/>
  <c r="U597" i="1" s="1"/>
  <c r="V597" i="1" s="1"/>
  <c r="P598" i="1"/>
  <c r="U598" i="1" s="1"/>
  <c r="V598" i="1" s="1"/>
  <c r="P599" i="1"/>
  <c r="U599" i="1" s="1"/>
  <c r="V599" i="1" s="1"/>
  <c r="P600" i="1"/>
  <c r="U600" i="1" s="1"/>
  <c r="V600" i="1" s="1"/>
  <c r="P601" i="1"/>
  <c r="U601" i="1" s="1"/>
  <c r="V601" i="1" s="1"/>
  <c r="P602" i="1"/>
  <c r="P603" i="1"/>
  <c r="U603" i="1" s="1"/>
  <c r="V603" i="1" s="1"/>
  <c r="P604" i="1"/>
  <c r="U604" i="1" s="1"/>
  <c r="V604" i="1" s="1"/>
  <c r="P605" i="1"/>
  <c r="U605" i="1" s="1"/>
  <c r="V605" i="1" s="1"/>
  <c r="P606" i="1"/>
  <c r="U606" i="1" s="1"/>
  <c r="V606" i="1" s="1"/>
  <c r="P607" i="1"/>
  <c r="U607" i="1" s="1"/>
  <c r="V607" i="1" s="1"/>
  <c r="P608" i="1"/>
  <c r="U608" i="1" s="1"/>
  <c r="V608" i="1" s="1"/>
  <c r="P609" i="1"/>
  <c r="U609" i="1" s="1"/>
  <c r="V609" i="1" s="1"/>
  <c r="P610" i="1"/>
  <c r="P611" i="1"/>
  <c r="U611" i="1" s="1"/>
  <c r="V611" i="1" s="1"/>
  <c r="P612" i="1"/>
  <c r="U612" i="1" s="1"/>
  <c r="V612" i="1" s="1"/>
  <c r="P613" i="1"/>
  <c r="U613" i="1" s="1"/>
  <c r="V613" i="1" s="1"/>
  <c r="P614" i="1"/>
  <c r="U614" i="1" s="1"/>
  <c r="V614" i="1" s="1"/>
  <c r="P615" i="1"/>
  <c r="U615" i="1" s="1"/>
  <c r="V615" i="1" s="1"/>
  <c r="P616" i="1"/>
  <c r="U616" i="1" s="1"/>
  <c r="V616" i="1" s="1"/>
  <c r="P617" i="1"/>
  <c r="U617" i="1" s="1"/>
  <c r="V617" i="1" s="1"/>
  <c r="P618" i="1"/>
  <c r="P619" i="1"/>
  <c r="U619" i="1" s="1"/>
  <c r="V619" i="1" s="1"/>
  <c r="P620" i="1"/>
  <c r="U620" i="1" s="1"/>
  <c r="V620" i="1" s="1"/>
  <c r="P621" i="1"/>
  <c r="U621" i="1" s="1"/>
  <c r="V621" i="1" s="1"/>
  <c r="P622" i="1"/>
  <c r="U622" i="1" s="1"/>
  <c r="V622" i="1" s="1"/>
  <c r="P623" i="1"/>
  <c r="U623" i="1" s="1"/>
  <c r="V623" i="1" s="1"/>
  <c r="P624" i="1"/>
  <c r="U624" i="1" s="1"/>
  <c r="V624" i="1" s="1"/>
  <c r="P625" i="1"/>
  <c r="U625" i="1" s="1"/>
  <c r="V625" i="1" s="1"/>
  <c r="P626" i="1"/>
  <c r="P627" i="1"/>
  <c r="U627" i="1" s="1"/>
  <c r="V627" i="1" s="1"/>
  <c r="P628" i="1"/>
  <c r="U628" i="1" s="1"/>
  <c r="V628" i="1" s="1"/>
  <c r="P629" i="1"/>
  <c r="U629" i="1" s="1"/>
  <c r="V629" i="1" s="1"/>
  <c r="P630" i="1"/>
  <c r="U630" i="1" s="1"/>
  <c r="V630" i="1" s="1"/>
  <c r="P631" i="1"/>
  <c r="U631" i="1" s="1"/>
  <c r="V631" i="1" s="1"/>
  <c r="P632" i="1"/>
  <c r="U632" i="1" s="1"/>
  <c r="V632" i="1" s="1"/>
  <c r="P633" i="1"/>
  <c r="U633" i="1" s="1"/>
  <c r="V633" i="1" s="1"/>
  <c r="P634" i="1"/>
  <c r="P635" i="1"/>
  <c r="U635" i="1" s="1"/>
  <c r="V635" i="1" s="1"/>
  <c r="P636" i="1"/>
  <c r="U636" i="1" s="1"/>
  <c r="V636" i="1" s="1"/>
  <c r="P637" i="1"/>
  <c r="U637" i="1" s="1"/>
  <c r="V637" i="1" s="1"/>
  <c r="P638" i="1"/>
  <c r="U638" i="1" s="1"/>
  <c r="V638" i="1" s="1"/>
  <c r="P639" i="1"/>
  <c r="U639" i="1" s="1"/>
  <c r="V639" i="1" s="1"/>
  <c r="P640" i="1"/>
  <c r="U640" i="1" s="1"/>
  <c r="V640" i="1" s="1"/>
  <c r="P641" i="1"/>
  <c r="U641" i="1" s="1"/>
  <c r="V641" i="1" s="1"/>
  <c r="P642" i="1"/>
  <c r="P643" i="1"/>
  <c r="U643" i="1" s="1"/>
  <c r="V643" i="1" s="1"/>
  <c r="P644" i="1"/>
  <c r="U644" i="1" s="1"/>
  <c r="V644" i="1" s="1"/>
  <c r="P645" i="1"/>
  <c r="U645" i="1" s="1"/>
  <c r="V645" i="1" s="1"/>
  <c r="P646" i="1"/>
  <c r="U646" i="1" s="1"/>
  <c r="V646" i="1" s="1"/>
  <c r="P647" i="1"/>
  <c r="U647" i="1" s="1"/>
  <c r="V647" i="1" s="1"/>
  <c r="P648" i="1"/>
  <c r="U648" i="1" s="1"/>
  <c r="V648" i="1" s="1"/>
  <c r="P649" i="1"/>
  <c r="U649" i="1" s="1"/>
  <c r="V649" i="1" s="1"/>
  <c r="P650" i="1"/>
  <c r="P651" i="1"/>
  <c r="U651" i="1" s="1"/>
  <c r="V651" i="1" s="1"/>
  <c r="P652" i="1"/>
  <c r="U652" i="1" s="1"/>
  <c r="V652" i="1" s="1"/>
  <c r="P653" i="1"/>
  <c r="U653" i="1" s="1"/>
  <c r="V653" i="1" s="1"/>
  <c r="P654" i="1"/>
  <c r="U654" i="1" s="1"/>
  <c r="V654" i="1" s="1"/>
  <c r="P655" i="1"/>
  <c r="U655" i="1" s="1"/>
  <c r="V655" i="1" s="1"/>
  <c r="P656" i="1"/>
  <c r="U656" i="1" s="1"/>
  <c r="V656" i="1" s="1"/>
  <c r="P657" i="1"/>
  <c r="U657" i="1" s="1"/>
  <c r="V657" i="1" s="1"/>
  <c r="P658" i="1"/>
  <c r="P659" i="1"/>
  <c r="U659" i="1" s="1"/>
  <c r="V659" i="1" s="1"/>
  <c r="P660" i="1"/>
  <c r="U660" i="1" s="1"/>
  <c r="V660" i="1" s="1"/>
  <c r="P661" i="1"/>
  <c r="U661" i="1" s="1"/>
  <c r="V661" i="1" s="1"/>
  <c r="P662" i="1"/>
  <c r="U662" i="1" s="1"/>
  <c r="V662" i="1" s="1"/>
  <c r="P663" i="1"/>
  <c r="U663" i="1" s="1"/>
  <c r="V663" i="1" s="1"/>
  <c r="P664" i="1"/>
  <c r="U664" i="1" s="1"/>
  <c r="V664" i="1" s="1"/>
  <c r="P665" i="1"/>
  <c r="U665" i="1" s="1"/>
  <c r="V665" i="1" s="1"/>
  <c r="P666" i="1"/>
  <c r="P667" i="1"/>
  <c r="U667" i="1" s="1"/>
  <c r="V667" i="1" s="1"/>
  <c r="P668" i="1"/>
  <c r="U668" i="1" s="1"/>
  <c r="V668" i="1" s="1"/>
  <c r="P669" i="1"/>
  <c r="U669" i="1" s="1"/>
  <c r="V669" i="1" s="1"/>
  <c r="P670" i="1"/>
  <c r="U670" i="1" s="1"/>
  <c r="V670" i="1" s="1"/>
  <c r="P671" i="1"/>
  <c r="U671" i="1" s="1"/>
  <c r="V671" i="1" s="1"/>
  <c r="P672" i="1"/>
  <c r="U672" i="1" s="1"/>
  <c r="V672" i="1" s="1"/>
  <c r="P673" i="1"/>
  <c r="U673" i="1" s="1"/>
  <c r="V673" i="1" s="1"/>
  <c r="P674" i="1"/>
  <c r="P675" i="1"/>
  <c r="U675" i="1" s="1"/>
  <c r="V675" i="1" s="1"/>
  <c r="P676" i="1"/>
  <c r="U676" i="1" s="1"/>
  <c r="P677" i="1"/>
  <c r="U677" i="1" s="1"/>
  <c r="V677" i="1" s="1"/>
  <c r="P678" i="1"/>
  <c r="U678" i="1" s="1"/>
  <c r="V678" i="1" s="1"/>
  <c r="P679" i="1"/>
  <c r="P680" i="1"/>
  <c r="U680" i="1" s="1"/>
  <c r="V680" i="1" s="1"/>
  <c r="P681" i="1"/>
  <c r="U681" i="1" s="1"/>
  <c r="V681" i="1" s="1"/>
  <c r="P682" i="1"/>
  <c r="P683" i="1"/>
  <c r="U683" i="1" s="1"/>
  <c r="V683" i="1" s="1"/>
  <c r="P684" i="1"/>
  <c r="U684" i="1" s="1"/>
  <c r="V684" i="1" s="1"/>
  <c r="P685" i="1"/>
  <c r="U685" i="1" s="1"/>
  <c r="V685" i="1" s="1"/>
  <c r="P686" i="1"/>
  <c r="U686" i="1" s="1"/>
  <c r="V686" i="1" s="1"/>
  <c r="P687" i="1"/>
  <c r="U687" i="1" s="1"/>
  <c r="V687" i="1" s="1"/>
  <c r="P688" i="1"/>
  <c r="U688" i="1" s="1"/>
  <c r="V688" i="1" s="1"/>
  <c r="P689" i="1"/>
  <c r="U689" i="1" s="1"/>
  <c r="V689" i="1" s="1"/>
  <c r="P690" i="1"/>
  <c r="P691" i="1"/>
  <c r="U691" i="1" s="1"/>
  <c r="V691" i="1" s="1"/>
  <c r="P692" i="1"/>
  <c r="U692" i="1" s="1"/>
  <c r="V692" i="1" s="1"/>
  <c r="P693" i="1"/>
  <c r="U693" i="1" s="1"/>
  <c r="V693" i="1" s="1"/>
  <c r="P694" i="1"/>
  <c r="U694" i="1" s="1"/>
  <c r="V694" i="1" s="1"/>
  <c r="P695" i="1"/>
  <c r="U695" i="1" s="1"/>
  <c r="V695" i="1" s="1"/>
  <c r="P696" i="1"/>
  <c r="U696" i="1" s="1"/>
  <c r="V696" i="1" s="1"/>
  <c r="P697" i="1"/>
  <c r="U697" i="1" s="1"/>
  <c r="V697" i="1" s="1"/>
  <c r="P698" i="1"/>
  <c r="P699" i="1"/>
  <c r="U699" i="1" s="1"/>
  <c r="V699" i="1" s="1"/>
  <c r="P700" i="1"/>
  <c r="U700" i="1" s="1"/>
  <c r="V700" i="1" s="1"/>
  <c r="P701" i="1"/>
  <c r="U701" i="1" s="1"/>
  <c r="V701" i="1" s="1"/>
  <c r="P702" i="1"/>
  <c r="U702" i="1" s="1"/>
  <c r="V702" i="1" s="1"/>
  <c r="P703" i="1"/>
  <c r="U703" i="1" s="1"/>
  <c r="V703" i="1" s="1"/>
  <c r="P704" i="1"/>
  <c r="U704" i="1" s="1"/>
  <c r="V704" i="1" s="1"/>
  <c r="P705" i="1"/>
  <c r="U705" i="1" s="1"/>
  <c r="V705" i="1" s="1"/>
  <c r="P706" i="1"/>
  <c r="P707" i="1"/>
  <c r="U707" i="1" s="1"/>
  <c r="V707" i="1" s="1"/>
  <c r="P708" i="1"/>
  <c r="U708" i="1" s="1"/>
  <c r="V708" i="1" s="1"/>
  <c r="P709" i="1"/>
  <c r="U709" i="1" s="1"/>
  <c r="V709" i="1" s="1"/>
  <c r="P710" i="1"/>
  <c r="U710" i="1" s="1"/>
  <c r="V710" i="1" s="1"/>
  <c r="P711" i="1"/>
  <c r="U711" i="1" s="1"/>
  <c r="V711" i="1" s="1"/>
  <c r="P712" i="1"/>
  <c r="U712" i="1" s="1"/>
  <c r="V712" i="1" s="1"/>
  <c r="P713" i="1"/>
  <c r="U713" i="1" s="1"/>
  <c r="V713" i="1" s="1"/>
  <c r="P714" i="1"/>
  <c r="P715" i="1"/>
  <c r="U715" i="1" s="1"/>
  <c r="V715" i="1" s="1"/>
  <c r="P716" i="1"/>
  <c r="U716" i="1" s="1"/>
  <c r="V716" i="1" s="1"/>
  <c r="P717" i="1"/>
  <c r="U717" i="1" s="1"/>
  <c r="V717" i="1" s="1"/>
  <c r="P718" i="1"/>
  <c r="U718" i="1" s="1"/>
  <c r="V718" i="1" s="1"/>
  <c r="P719" i="1"/>
  <c r="U719" i="1" s="1"/>
  <c r="V719" i="1" s="1"/>
  <c r="P720" i="1"/>
  <c r="U720" i="1" s="1"/>
  <c r="V720" i="1" s="1"/>
  <c r="P721" i="1"/>
  <c r="U721" i="1" s="1"/>
  <c r="V721" i="1" s="1"/>
  <c r="P722" i="1"/>
  <c r="P723" i="1"/>
  <c r="U723" i="1" s="1"/>
  <c r="V723" i="1" s="1"/>
  <c r="P724" i="1"/>
  <c r="U724" i="1" s="1"/>
  <c r="V724" i="1" s="1"/>
  <c r="P725" i="1"/>
  <c r="U725" i="1" s="1"/>
  <c r="V725" i="1" s="1"/>
  <c r="P726" i="1"/>
  <c r="U726" i="1" s="1"/>
  <c r="V726" i="1" s="1"/>
  <c r="P727" i="1"/>
  <c r="U727" i="1" s="1"/>
  <c r="V727" i="1" s="1"/>
  <c r="P728" i="1"/>
  <c r="U728" i="1" s="1"/>
  <c r="V728" i="1" s="1"/>
  <c r="P729" i="1"/>
  <c r="U729" i="1" s="1"/>
  <c r="V729" i="1" s="1"/>
  <c r="P730" i="1"/>
  <c r="P731" i="1"/>
  <c r="U731" i="1" s="1"/>
  <c r="V731" i="1" s="1"/>
  <c r="P732" i="1"/>
  <c r="U732" i="1" s="1"/>
  <c r="V732" i="1" s="1"/>
  <c r="P733" i="1"/>
  <c r="U733" i="1" s="1"/>
  <c r="V733" i="1" s="1"/>
  <c r="P734" i="1"/>
  <c r="U734" i="1" s="1"/>
  <c r="V734" i="1" s="1"/>
  <c r="P735" i="1"/>
  <c r="U735" i="1" s="1"/>
  <c r="V735" i="1" s="1"/>
  <c r="P736" i="1"/>
  <c r="U736" i="1" s="1"/>
  <c r="V736" i="1" s="1"/>
  <c r="P737" i="1"/>
  <c r="U737" i="1" s="1"/>
  <c r="V737" i="1" s="1"/>
  <c r="P738" i="1"/>
  <c r="P739" i="1"/>
  <c r="U739" i="1" s="1"/>
  <c r="V739" i="1" s="1"/>
  <c r="P740" i="1"/>
  <c r="U740" i="1" s="1"/>
  <c r="V740" i="1" s="1"/>
  <c r="P741" i="1"/>
  <c r="U741" i="1" s="1"/>
  <c r="V741" i="1" s="1"/>
  <c r="P742" i="1"/>
  <c r="U742" i="1" s="1"/>
  <c r="V742" i="1" s="1"/>
  <c r="P743" i="1"/>
  <c r="U743" i="1" s="1"/>
  <c r="V743" i="1" s="1"/>
  <c r="P744" i="1"/>
  <c r="U744" i="1" s="1"/>
  <c r="V744" i="1" s="1"/>
  <c r="P745" i="1"/>
  <c r="U745" i="1" s="1"/>
  <c r="V745" i="1" s="1"/>
  <c r="P746" i="1"/>
  <c r="P747" i="1"/>
  <c r="U747" i="1" s="1"/>
  <c r="V747" i="1" s="1"/>
  <c r="P748" i="1"/>
  <c r="U748" i="1" s="1"/>
  <c r="V748" i="1" s="1"/>
  <c r="P749" i="1"/>
  <c r="U749" i="1" s="1"/>
  <c r="V749" i="1" s="1"/>
  <c r="P750" i="1"/>
  <c r="U750" i="1" s="1"/>
  <c r="V750" i="1" s="1"/>
  <c r="P751" i="1"/>
  <c r="U751" i="1" s="1"/>
  <c r="V751" i="1" s="1"/>
  <c r="P752" i="1"/>
  <c r="U752" i="1" s="1"/>
  <c r="V752" i="1" s="1"/>
  <c r="P753" i="1"/>
  <c r="U753" i="1" s="1"/>
  <c r="V753" i="1" s="1"/>
  <c r="P754" i="1"/>
  <c r="P755" i="1"/>
  <c r="U755" i="1" s="1"/>
  <c r="V755" i="1" s="1"/>
  <c r="P756" i="1"/>
  <c r="U756" i="1" s="1"/>
  <c r="V756" i="1" s="1"/>
  <c r="P757" i="1"/>
  <c r="U757" i="1" s="1"/>
  <c r="V757" i="1" s="1"/>
  <c r="P758" i="1"/>
  <c r="U758" i="1" s="1"/>
  <c r="V758" i="1" s="1"/>
  <c r="P759" i="1"/>
  <c r="U759" i="1" s="1"/>
  <c r="V759" i="1" s="1"/>
  <c r="P760" i="1"/>
  <c r="U760" i="1" s="1"/>
  <c r="V760" i="1" s="1"/>
  <c r="P761" i="1"/>
  <c r="U761" i="1" s="1"/>
  <c r="V761" i="1" s="1"/>
  <c r="P762" i="1"/>
  <c r="P763" i="1"/>
  <c r="U763" i="1" s="1"/>
  <c r="V763" i="1" s="1"/>
  <c r="P764" i="1"/>
  <c r="U764" i="1" s="1"/>
  <c r="V764" i="1" s="1"/>
  <c r="P765" i="1"/>
  <c r="U765" i="1" s="1"/>
  <c r="V765" i="1" s="1"/>
  <c r="P766" i="1"/>
  <c r="U766" i="1" s="1"/>
  <c r="V766" i="1" s="1"/>
  <c r="P767" i="1"/>
  <c r="U767" i="1" s="1"/>
  <c r="V767" i="1" s="1"/>
  <c r="P768" i="1"/>
  <c r="U768" i="1" s="1"/>
  <c r="V768" i="1" s="1"/>
  <c r="P769" i="1"/>
  <c r="U769" i="1" s="1"/>
  <c r="V769" i="1" s="1"/>
  <c r="P770" i="1"/>
  <c r="P771" i="1"/>
  <c r="U771" i="1" s="1"/>
  <c r="V771" i="1" s="1"/>
  <c r="P772" i="1"/>
  <c r="U772" i="1" s="1"/>
  <c r="V772" i="1" s="1"/>
  <c r="P773" i="1"/>
  <c r="U773" i="1" s="1"/>
  <c r="V773" i="1" s="1"/>
  <c r="P774" i="1"/>
  <c r="U774" i="1" s="1"/>
  <c r="V774" i="1" s="1"/>
  <c r="P775" i="1"/>
  <c r="U775" i="1" s="1"/>
  <c r="V775" i="1" s="1"/>
  <c r="P776" i="1"/>
  <c r="U776" i="1" s="1"/>
  <c r="V776" i="1" s="1"/>
  <c r="P777" i="1"/>
  <c r="U777" i="1" s="1"/>
  <c r="V777" i="1" s="1"/>
  <c r="P778" i="1"/>
  <c r="P779" i="1"/>
  <c r="U779" i="1" s="1"/>
  <c r="V779" i="1" s="1"/>
  <c r="P780" i="1"/>
  <c r="U780" i="1" s="1"/>
  <c r="V780" i="1" s="1"/>
  <c r="P781" i="1"/>
  <c r="U781" i="1" s="1"/>
  <c r="V781" i="1" s="1"/>
  <c r="P782" i="1"/>
  <c r="U782" i="1" s="1"/>
  <c r="V782" i="1" s="1"/>
  <c r="P783" i="1"/>
  <c r="U783" i="1" s="1"/>
  <c r="V783" i="1" s="1"/>
  <c r="P784" i="1"/>
  <c r="U784" i="1" s="1"/>
  <c r="V784" i="1" s="1"/>
  <c r="P785" i="1"/>
  <c r="U785" i="1" s="1"/>
  <c r="V785" i="1" s="1"/>
  <c r="P786" i="1"/>
  <c r="P787" i="1"/>
  <c r="U787" i="1" s="1"/>
  <c r="V787" i="1" s="1"/>
  <c r="P788" i="1"/>
  <c r="U788" i="1" s="1"/>
  <c r="V788" i="1" s="1"/>
  <c r="P789" i="1"/>
  <c r="U789" i="1" s="1"/>
  <c r="V789" i="1" s="1"/>
  <c r="P790" i="1"/>
  <c r="U790" i="1" s="1"/>
  <c r="V790" i="1" s="1"/>
  <c r="P791" i="1"/>
  <c r="U791" i="1" s="1"/>
  <c r="V791" i="1" s="1"/>
  <c r="P792" i="1"/>
  <c r="U792" i="1" s="1"/>
  <c r="V792" i="1" s="1"/>
  <c r="P793" i="1"/>
  <c r="U793" i="1" s="1"/>
  <c r="V793" i="1" s="1"/>
  <c r="P794" i="1"/>
  <c r="P795" i="1"/>
  <c r="U795" i="1" s="1"/>
  <c r="V795" i="1" s="1"/>
  <c r="P796" i="1"/>
  <c r="U796" i="1" s="1"/>
  <c r="V796" i="1" s="1"/>
  <c r="P797" i="1"/>
  <c r="U797" i="1" s="1"/>
  <c r="V797" i="1" s="1"/>
  <c r="P798" i="1"/>
  <c r="U798" i="1" s="1"/>
  <c r="V798" i="1" s="1"/>
  <c r="P799" i="1"/>
  <c r="U799" i="1" s="1"/>
  <c r="V799" i="1" s="1"/>
  <c r="P800" i="1"/>
  <c r="U800" i="1" s="1"/>
  <c r="V800" i="1" s="1"/>
  <c r="P801" i="1"/>
  <c r="U801" i="1" s="1"/>
  <c r="V801" i="1" s="1"/>
  <c r="P802" i="1"/>
  <c r="P803" i="1"/>
  <c r="U803" i="1" s="1"/>
  <c r="V803" i="1" s="1"/>
  <c r="P804" i="1"/>
  <c r="U804" i="1" s="1"/>
  <c r="V804" i="1" s="1"/>
  <c r="P805" i="1"/>
  <c r="U805" i="1" s="1"/>
  <c r="V805" i="1" s="1"/>
  <c r="P806" i="1"/>
  <c r="U806" i="1" s="1"/>
  <c r="V806" i="1" s="1"/>
  <c r="P807" i="1"/>
  <c r="U807" i="1" s="1"/>
  <c r="V807" i="1" s="1"/>
  <c r="P808" i="1"/>
  <c r="U808" i="1" s="1"/>
  <c r="V808" i="1" s="1"/>
  <c r="P809" i="1"/>
  <c r="U809" i="1" s="1"/>
  <c r="V809" i="1" s="1"/>
  <c r="P810" i="1"/>
  <c r="P811" i="1"/>
  <c r="U811" i="1" s="1"/>
  <c r="V811" i="1" s="1"/>
  <c r="P812" i="1"/>
  <c r="U812" i="1" s="1"/>
  <c r="V812" i="1" s="1"/>
  <c r="P813" i="1"/>
  <c r="U813" i="1" s="1"/>
  <c r="V813" i="1" s="1"/>
  <c r="P814" i="1"/>
  <c r="U814" i="1" s="1"/>
  <c r="V814" i="1" s="1"/>
  <c r="P815" i="1"/>
  <c r="U815" i="1" s="1"/>
  <c r="V815" i="1" s="1"/>
  <c r="P816" i="1"/>
  <c r="U816" i="1" s="1"/>
  <c r="V816" i="1" s="1"/>
  <c r="P817" i="1"/>
  <c r="U817" i="1" s="1"/>
  <c r="V817" i="1" s="1"/>
  <c r="P818" i="1"/>
  <c r="P819" i="1"/>
  <c r="U819" i="1" s="1"/>
  <c r="V819" i="1" s="1"/>
  <c r="P820" i="1"/>
  <c r="U820" i="1" s="1"/>
  <c r="V820" i="1" s="1"/>
  <c r="P821" i="1"/>
  <c r="U821" i="1" s="1"/>
  <c r="V821" i="1" s="1"/>
  <c r="P822" i="1"/>
  <c r="U822" i="1" s="1"/>
  <c r="V822" i="1" s="1"/>
  <c r="P823" i="1"/>
  <c r="U823" i="1" s="1"/>
  <c r="V823" i="1" s="1"/>
  <c r="P824" i="1"/>
  <c r="U824" i="1" s="1"/>
  <c r="V824" i="1" s="1"/>
  <c r="P825" i="1"/>
  <c r="U825" i="1" s="1"/>
  <c r="V825" i="1" s="1"/>
  <c r="P826" i="1"/>
  <c r="P827" i="1"/>
  <c r="U827" i="1" s="1"/>
  <c r="V827" i="1" s="1"/>
  <c r="P828" i="1"/>
  <c r="U828" i="1" s="1"/>
  <c r="V828" i="1" s="1"/>
  <c r="P829" i="1"/>
  <c r="U829" i="1" s="1"/>
  <c r="V829" i="1" s="1"/>
  <c r="P830" i="1"/>
  <c r="U830" i="1" s="1"/>
  <c r="V830" i="1" s="1"/>
  <c r="P831" i="1"/>
  <c r="U831" i="1" s="1"/>
  <c r="V831" i="1" s="1"/>
  <c r="P832" i="1"/>
  <c r="U832" i="1" s="1"/>
  <c r="V832" i="1" s="1"/>
  <c r="P833" i="1"/>
  <c r="U833" i="1" s="1"/>
  <c r="V833" i="1" s="1"/>
  <c r="P834" i="1"/>
  <c r="P835" i="1"/>
  <c r="U835" i="1" s="1"/>
  <c r="V835" i="1" s="1"/>
  <c r="P836" i="1"/>
  <c r="U836" i="1" s="1"/>
  <c r="V836" i="1" s="1"/>
  <c r="P837" i="1"/>
  <c r="U837" i="1" s="1"/>
  <c r="V837" i="1" s="1"/>
  <c r="P838" i="1"/>
  <c r="U838" i="1" s="1"/>
  <c r="V838" i="1" s="1"/>
  <c r="P839" i="1"/>
  <c r="U839" i="1" s="1"/>
  <c r="V839" i="1" s="1"/>
  <c r="P840" i="1"/>
  <c r="U840" i="1" s="1"/>
  <c r="V840" i="1" s="1"/>
  <c r="P841" i="1"/>
  <c r="U841" i="1" s="1"/>
  <c r="V841" i="1" s="1"/>
  <c r="P842" i="1"/>
  <c r="P843" i="1"/>
  <c r="U843" i="1" s="1"/>
  <c r="V843" i="1" s="1"/>
  <c r="P844" i="1"/>
  <c r="U844" i="1" s="1"/>
  <c r="V844" i="1" s="1"/>
  <c r="P845" i="1"/>
  <c r="U845" i="1" s="1"/>
  <c r="V845" i="1" s="1"/>
  <c r="P846" i="1"/>
  <c r="U846" i="1" s="1"/>
  <c r="V846" i="1" s="1"/>
  <c r="P847" i="1"/>
  <c r="U847" i="1" s="1"/>
  <c r="V847" i="1" s="1"/>
  <c r="P848" i="1"/>
  <c r="U848" i="1" s="1"/>
  <c r="V848" i="1" s="1"/>
  <c r="P849" i="1"/>
  <c r="U849" i="1" s="1"/>
  <c r="V849" i="1" s="1"/>
  <c r="P850" i="1"/>
  <c r="P851" i="1"/>
  <c r="U851" i="1" s="1"/>
  <c r="V851" i="1" s="1"/>
  <c r="P852" i="1"/>
  <c r="U852" i="1" s="1"/>
  <c r="V852" i="1" s="1"/>
  <c r="P853" i="1"/>
  <c r="U853" i="1" s="1"/>
  <c r="V853" i="1" s="1"/>
  <c r="P854" i="1"/>
  <c r="U854" i="1" s="1"/>
  <c r="V854" i="1" s="1"/>
  <c r="P855" i="1"/>
  <c r="U855" i="1" s="1"/>
  <c r="V855" i="1" s="1"/>
  <c r="P856" i="1"/>
  <c r="U856" i="1" s="1"/>
  <c r="V856" i="1" s="1"/>
  <c r="P857" i="1"/>
  <c r="U857" i="1" s="1"/>
  <c r="V857" i="1" s="1"/>
  <c r="P858" i="1"/>
  <c r="P859" i="1"/>
  <c r="U859" i="1" s="1"/>
  <c r="V859" i="1" s="1"/>
  <c r="P860" i="1"/>
  <c r="U860" i="1" s="1"/>
  <c r="V860" i="1" s="1"/>
  <c r="P861" i="1"/>
  <c r="U861" i="1" s="1"/>
  <c r="V861" i="1" s="1"/>
  <c r="P862" i="1"/>
  <c r="U862" i="1" s="1"/>
  <c r="V862" i="1" s="1"/>
  <c r="P863" i="1"/>
  <c r="U863" i="1" s="1"/>
  <c r="V863" i="1" s="1"/>
  <c r="P864" i="1"/>
  <c r="U864" i="1" s="1"/>
  <c r="V864" i="1" s="1"/>
  <c r="P865" i="1"/>
  <c r="U865" i="1" s="1"/>
  <c r="V865" i="1" s="1"/>
  <c r="P866" i="1"/>
  <c r="P867" i="1"/>
  <c r="U867" i="1" s="1"/>
  <c r="V867" i="1" s="1"/>
  <c r="P868" i="1"/>
  <c r="U868" i="1" s="1"/>
  <c r="V868" i="1" s="1"/>
  <c r="P869" i="1"/>
  <c r="U869" i="1" s="1"/>
  <c r="V869" i="1" s="1"/>
  <c r="P870" i="1"/>
  <c r="U870" i="1" s="1"/>
  <c r="V870" i="1" s="1"/>
  <c r="P871" i="1"/>
  <c r="U871" i="1" s="1"/>
  <c r="V871" i="1" s="1"/>
  <c r="P872" i="1"/>
  <c r="U872" i="1" s="1"/>
  <c r="V872" i="1" s="1"/>
  <c r="P873" i="1"/>
  <c r="U873" i="1" s="1"/>
  <c r="V873" i="1" s="1"/>
  <c r="P874" i="1"/>
  <c r="P875" i="1"/>
  <c r="U875" i="1" s="1"/>
  <c r="V875" i="1" s="1"/>
  <c r="P876" i="1"/>
  <c r="U876" i="1" s="1"/>
  <c r="V876" i="1" s="1"/>
  <c r="P877" i="1"/>
  <c r="U877" i="1" s="1"/>
  <c r="V877" i="1" s="1"/>
  <c r="P878" i="1"/>
  <c r="U878" i="1" s="1"/>
  <c r="V878" i="1" s="1"/>
  <c r="P879" i="1"/>
  <c r="U879" i="1" s="1"/>
  <c r="V879" i="1" s="1"/>
  <c r="P880" i="1"/>
  <c r="U880" i="1" s="1"/>
  <c r="V880" i="1" s="1"/>
  <c r="P881" i="1"/>
  <c r="U881" i="1" s="1"/>
  <c r="V881" i="1" s="1"/>
  <c r="P882" i="1"/>
  <c r="P883" i="1"/>
  <c r="U883" i="1" s="1"/>
  <c r="V883" i="1" s="1"/>
  <c r="P884" i="1"/>
  <c r="U884" i="1" s="1"/>
  <c r="V884" i="1" s="1"/>
  <c r="P885" i="1"/>
  <c r="U885" i="1" s="1"/>
  <c r="V885" i="1" s="1"/>
  <c r="P886" i="1"/>
  <c r="U886" i="1" s="1"/>
  <c r="V886" i="1" s="1"/>
  <c r="P887" i="1"/>
  <c r="U887" i="1" s="1"/>
  <c r="V887" i="1" s="1"/>
  <c r="P888" i="1"/>
  <c r="U888" i="1" s="1"/>
  <c r="V888" i="1" s="1"/>
  <c r="P889" i="1"/>
  <c r="U889" i="1" s="1"/>
  <c r="V889" i="1" s="1"/>
  <c r="P890" i="1"/>
  <c r="P891" i="1"/>
  <c r="U891" i="1" s="1"/>
  <c r="V891" i="1" s="1"/>
  <c r="P892" i="1"/>
  <c r="U892" i="1" s="1"/>
  <c r="V892" i="1" s="1"/>
  <c r="P893" i="1"/>
  <c r="U893" i="1" s="1"/>
  <c r="V893" i="1" s="1"/>
  <c r="P894" i="1"/>
  <c r="U894" i="1" s="1"/>
  <c r="V894" i="1" s="1"/>
  <c r="P895" i="1"/>
  <c r="U895" i="1" s="1"/>
  <c r="V895" i="1" s="1"/>
  <c r="P896" i="1"/>
  <c r="U896" i="1" s="1"/>
  <c r="V896" i="1" s="1"/>
  <c r="P897" i="1"/>
  <c r="U897" i="1" s="1"/>
  <c r="V897" i="1" s="1"/>
  <c r="P898" i="1"/>
  <c r="P899" i="1"/>
  <c r="U899" i="1" s="1"/>
  <c r="V899" i="1" s="1"/>
  <c r="P900" i="1"/>
  <c r="U900" i="1" s="1"/>
  <c r="V900" i="1" s="1"/>
  <c r="P901" i="1"/>
  <c r="U901" i="1" s="1"/>
  <c r="V901" i="1" s="1"/>
  <c r="P902" i="1"/>
  <c r="U902" i="1" s="1"/>
  <c r="V902" i="1" s="1"/>
  <c r="P903" i="1"/>
  <c r="U903" i="1" s="1"/>
  <c r="V903" i="1" s="1"/>
  <c r="P904" i="1"/>
  <c r="U904" i="1" s="1"/>
  <c r="V904" i="1" s="1"/>
  <c r="P905" i="1"/>
  <c r="U905" i="1" s="1"/>
  <c r="V905" i="1" s="1"/>
  <c r="P906" i="1"/>
  <c r="P907" i="1"/>
  <c r="U907" i="1" s="1"/>
  <c r="V907" i="1" s="1"/>
  <c r="P908" i="1"/>
  <c r="U908" i="1" s="1"/>
  <c r="V908" i="1" s="1"/>
  <c r="P909" i="1"/>
  <c r="U909" i="1" s="1"/>
  <c r="V909" i="1" s="1"/>
  <c r="P910" i="1"/>
  <c r="U910" i="1" s="1"/>
  <c r="V910" i="1" s="1"/>
  <c r="P911" i="1"/>
  <c r="U911" i="1" s="1"/>
  <c r="V911" i="1" s="1"/>
  <c r="P912" i="1"/>
  <c r="U912" i="1" s="1"/>
  <c r="V912" i="1" s="1"/>
  <c r="P913" i="1"/>
  <c r="U913" i="1" s="1"/>
  <c r="V913" i="1" s="1"/>
  <c r="P914" i="1"/>
  <c r="P915" i="1"/>
  <c r="U915" i="1" s="1"/>
  <c r="V915" i="1" s="1"/>
  <c r="P916" i="1"/>
  <c r="U916" i="1" s="1"/>
  <c r="V916" i="1" s="1"/>
  <c r="P917" i="1"/>
  <c r="U917" i="1" s="1"/>
  <c r="V917" i="1" s="1"/>
  <c r="P918" i="1"/>
  <c r="U918" i="1" s="1"/>
  <c r="V918" i="1" s="1"/>
  <c r="P919" i="1"/>
  <c r="U919" i="1" s="1"/>
  <c r="V919" i="1" s="1"/>
  <c r="P920" i="1"/>
  <c r="U920" i="1" s="1"/>
  <c r="V920" i="1" s="1"/>
  <c r="P921" i="1"/>
  <c r="U921" i="1" s="1"/>
  <c r="V921" i="1" s="1"/>
  <c r="P922" i="1"/>
  <c r="P923" i="1"/>
  <c r="U923" i="1" s="1"/>
  <c r="V923" i="1" s="1"/>
  <c r="P924" i="1"/>
  <c r="U924" i="1" s="1"/>
  <c r="V924" i="1" s="1"/>
  <c r="P925" i="1"/>
  <c r="U925" i="1" s="1"/>
  <c r="V925" i="1" s="1"/>
  <c r="P926" i="1"/>
  <c r="U926" i="1" s="1"/>
  <c r="V926" i="1" s="1"/>
  <c r="P927" i="1"/>
  <c r="U927" i="1" s="1"/>
  <c r="V927" i="1" s="1"/>
  <c r="P928" i="1"/>
  <c r="U928" i="1" s="1"/>
  <c r="V928" i="1" s="1"/>
  <c r="P929" i="1"/>
  <c r="U929" i="1" s="1"/>
  <c r="V929" i="1" s="1"/>
  <c r="P930" i="1"/>
  <c r="P931" i="1"/>
  <c r="U931" i="1" s="1"/>
  <c r="V931" i="1" s="1"/>
  <c r="P932" i="1"/>
  <c r="U932" i="1" s="1"/>
  <c r="V932" i="1" s="1"/>
  <c r="P933" i="1"/>
  <c r="U933" i="1" s="1"/>
  <c r="V933" i="1" s="1"/>
  <c r="P934" i="1"/>
  <c r="U934" i="1" s="1"/>
  <c r="V934" i="1" s="1"/>
  <c r="P935" i="1"/>
  <c r="U935" i="1" s="1"/>
  <c r="V935" i="1" s="1"/>
  <c r="P936" i="1"/>
  <c r="U936" i="1" s="1"/>
  <c r="V936" i="1" s="1"/>
  <c r="P937" i="1"/>
  <c r="U937" i="1" s="1"/>
  <c r="V937" i="1" s="1"/>
  <c r="P938" i="1"/>
  <c r="P939" i="1"/>
  <c r="U939" i="1" s="1"/>
  <c r="V939" i="1" s="1"/>
  <c r="P940" i="1"/>
  <c r="U940" i="1" s="1"/>
  <c r="V940" i="1" s="1"/>
  <c r="P941" i="1"/>
  <c r="U941" i="1" s="1"/>
  <c r="V941" i="1" s="1"/>
  <c r="P942" i="1"/>
  <c r="U942" i="1" s="1"/>
  <c r="V942" i="1" s="1"/>
  <c r="P943" i="1"/>
  <c r="U943" i="1" s="1"/>
  <c r="V943" i="1" s="1"/>
  <c r="P944" i="1"/>
  <c r="U944" i="1" s="1"/>
  <c r="V944" i="1" s="1"/>
  <c r="P945" i="1"/>
  <c r="U945" i="1" s="1"/>
  <c r="V945" i="1" s="1"/>
  <c r="P946" i="1"/>
  <c r="P947" i="1"/>
  <c r="U947" i="1" s="1"/>
  <c r="V947" i="1" s="1"/>
  <c r="P948" i="1"/>
  <c r="U948" i="1" s="1"/>
  <c r="V948" i="1" s="1"/>
  <c r="P949" i="1"/>
  <c r="U949" i="1" s="1"/>
  <c r="V949" i="1" s="1"/>
  <c r="P950" i="1"/>
  <c r="U950" i="1" s="1"/>
  <c r="V950" i="1" s="1"/>
  <c r="P951" i="1"/>
  <c r="U951" i="1" s="1"/>
  <c r="V951" i="1" s="1"/>
  <c r="P952" i="1"/>
  <c r="U952" i="1" s="1"/>
  <c r="V952" i="1" s="1"/>
  <c r="P953" i="1"/>
  <c r="U953" i="1" s="1"/>
  <c r="V953" i="1" s="1"/>
  <c r="P954" i="1"/>
  <c r="P955" i="1"/>
  <c r="U955" i="1" s="1"/>
  <c r="V955" i="1" s="1"/>
  <c r="P956" i="1"/>
  <c r="U956" i="1" s="1"/>
  <c r="V956" i="1" s="1"/>
  <c r="P957" i="1"/>
  <c r="U957" i="1" s="1"/>
  <c r="V957" i="1" s="1"/>
  <c r="P958" i="1"/>
  <c r="U958" i="1" s="1"/>
  <c r="V958" i="1" s="1"/>
  <c r="P959" i="1"/>
  <c r="U959" i="1" s="1"/>
  <c r="V959" i="1" s="1"/>
  <c r="P960" i="1"/>
  <c r="U960" i="1" s="1"/>
  <c r="V960" i="1" s="1"/>
  <c r="P961" i="1"/>
  <c r="U961" i="1" s="1"/>
  <c r="V961" i="1" s="1"/>
  <c r="P962" i="1"/>
  <c r="P963" i="1"/>
  <c r="U963" i="1" s="1"/>
  <c r="V963" i="1" s="1"/>
  <c r="P964" i="1"/>
  <c r="U964" i="1" s="1"/>
  <c r="V964" i="1" s="1"/>
  <c r="P965" i="1"/>
  <c r="U965" i="1" s="1"/>
  <c r="V965" i="1" s="1"/>
  <c r="P966" i="1"/>
  <c r="U966" i="1" s="1"/>
  <c r="V966" i="1" s="1"/>
  <c r="P967" i="1"/>
  <c r="U967" i="1" s="1"/>
  <c r="V967" i="1" s="1"/>
  <c r="P968" i="1"/>
  <c r="U968" i="1" s="1"/>
  <c r="V968" i="1" s="1"/>
  <c r="P969" i="1"/>
  <c r="U969" i="1" s="1"/>
  <c r="V969" i="1" s="1"/>
  <c r="P970" i="1"/>
  <c r="P971" i="1"/>
  <c r="U971" i="1" s="1"/>
  <c r="V971" i="1" s="1"/>
  <c r="P19" i="1"/>
  <c r="U19" i="1" s="1"/>
  <c r="V19" i="1" s="1"/>
  <c r="P16" i="1"/>
  <c r="U16" i="1" s="1"/>
  <c r="V16" i="1" s="1"/>
  <c r="P17" i="1"/>
  <c r="U17" i="1" s="1"/>
  <c r="V17" i="1" s="1"/>
  <c r="P18" i="1"/>
  <c r="P13" i="1"/>
  <c r="U13" i="1" s="1"/>
  <c r="V13" i="1" s="1"/>
  <c r="P14" i="1"/>
  <c r="U14" i="1" s="1"/>
  <c r="V14" i="1" s="1"/>
  <c r="P15" i="1"/>
  <c r="U15" i="1" s="1"/>
  <c r="V15" i="1" s="1"/>
  <c r="P11" i="1"/>
  <c r="U11" i="1" s="1"/>
  <c r="V11" i="1" s="1"/>
  <c r="P12" i="1"/>
  <c r="U12" i="1" s="1"/>
  <c r="V12" i="1" s="1"/>
  <c r="P8" i="1"/>
  <c r="U8" i="1" s="1"/>
  <c r="V8" i="1" s="1"/>
  <c r="P9" i="1"/>
  <c r="U9" i="1" s="1"/>
  <c r="V9" i="1" s="1"/>
  <c r="P10" i="1"/>
  <c r="P6" i="1"/>
  <c r="U6" i="1" s="1"/>
  <c r="V6" i="1" s="1"/>
  <c r="P7" i="1"/>
  <c r="U7" i="1" s="1"/>
  <c r="V7" i="1" s="1"/>
  <c r="P4" i="1"/>
  <c r="U4" i="1" s="1"/>
  <c r="V4" i="1" s="1"/>
  <c r="P5" i="1"/>
  <c r="U5" i="1" s="1"/>
  <c r="V5" i="1" s="1"/>
  <c r="P3" i="1"/>
  <c r="U3" i="1" s="1"/>
  <c r="V3" i="1" s="1"/>
  <c r="P2" i="1"/>
  <c r="U2" i="1" s="1"/>
  <c r="V2" i="1" s="1"/>
  <c r="G88" i="1"/>
  <c r="G89" i="1"/>
  <c r="G90" i="1"/>
  <c r="G91" i="1"/>
  <c r="G92" i="1"/>
  <c r="G87" i="1"/>
  <c r="U112" i="1" l="1"/>
  <c r="V112" i="1" s="1"/>
  <c r="L88" i="1"/>
  <c r="U10" i="1"/>
  <c r="V10" i="1" s="1"/>
  <c r="U18" i="1"/>
  <c r="V18" i="1" s="1"/>
  <c r="U970" i="1"/>
  <c r="V970" i="1" s="1"/>
  <c r="U962" i="1"/>
  <c r="V962" i="1" s="1"/>
  <c r="U954" i="1"/>
  <c r="V954" i="1" s="1"/>
  <c r="U946" i="1"/>
  <c r="V946" i="1" s="1"/>
  <c r="U938" i="1"/>
  <c r="V938" i="1" s="1"/>
  <c r="U930" i="1"/>
  <c r="V930" i="1" s="1"/>
  <c r="U922" i="1"/>
  <c r="V922" i="1" s="1"/>
  <c r="U914" i="1"/>
  <c r="V914" i="1" s="1"/>
  <c r="U906" i="1"/>
  <c r="V906" i="1" s="1"/>
  <c r="U898" i="1"/>
  <c r="V898" i="1" s="1"/>
  <c r="U890" i="1"/>
  <c r="V890" i="1" s="1"/>
  <c r="U882" i="1"/>
  <c r="V882" i="1" s="1"/>
  <c r="U874" i="1"/>
  <c r="V874" i="1" s="1"/>
  <c r="U866" i="1"/>
  <c r="V866" i="1" s="1"/>
  <c r="U858" i="1"/>
  <c r="V858" i="1" s="1"/>
  <c r="U850" i="1"/>
  <c r="V850" i="1" s="1"/>
  <c r="U842" i="1"/>
  <c r="V842" i="1" s="1"/>
  <c r="U834" i="1"/>
  <c r="V834" i="1" s="1"/>
  <c r="U826" i="1"/>
  <c r="V826" i="1" s="1"/>
  <c r="U818" i="1"/>
  <c r="V818" i="1" s="1"/>
  <c r="U810" i="1"/>
  <c r="V810" i="1" s="1"/>
  <c r="U802" i="1"/>
  <c r="V802" i="1" s="1"/>
  <c r="U794" i="1"/>
  <c r="V794" i="1" s="1"/>
  <c r="U786" i="1"/>
  <c r="V786" i="1" s="1"/>
  <c r="U778" i="1"/>
  <c r="V778" i="1" s="1"/>
  <c r="U770" i="1"/>
  <c r="V770" i="1" s="1"/>
  <c r="U762" i="1"/>
  <c r="V762" i="1" s="1"/>
  <c r="U754" i="1"/>
  <c r="V754" i="1" s="1"/>
  <c r="U746" i="1"/>
  <c r="V746" i="1" s="1"/>
  <c r="U738" i="1"/>
  <c r="V738" i="1" s="1"/>
  <c r="U730" i="1"/>
  <c r="V730" i="1" s="1"/>
  <c r="U714" i="1"/>
  <c r="V714" i="1" s="1"/>
  <c r="U706" i="1"/>
  <c r="V706" i="1" s="1"/>
  <c r="U698" i="1"/>
  <c r="V698" i="1" s="1"/>
  <c r="U690" i="1"/>
  <c r="V690" i="1" s="1"/>
  <c r="U658" i="1"/>
  <c r="V658" i="1" s="1"/>
  <c r="U626" i="1"/>
  <c r="V626" i="1" s="1"/>
  <c r="U562" i="1"/>
  <c r="V562" i="1" s="1"/>
  <c r="U530" i="1"/>
  <c r="V530" i="1" s="1"/>
  <c r="U498" i="1"/>
  <c r="V498" i="1" s="1"/>
  <c r="U458" i="1"/>
  <c r="V458" i="1" s="1"/>
  <c r="U402" i="1"/>
  <c r="V402" i="1" s="1"/>
  <c r="U354" i="1"/>
  <c r="V354" i="1" s="1"/>
  <c r="U330" i="1"/>
  <c r="V330" i="1" s="1"/>
  <c r="U322" i="1"/>
  <c r="V322" i="1" s="1"/>
  <c r="U298" i="1"/>
  <c r="V298" i="1" s="1"/>
  <c r="U290" i="1"/>
  <c r="V290" i="1" s="1"/>
  <c r="U210" i="1"/>
  <c r="V210" i="1" s="1"/>
  <c r="U202" i="1"/>
  <c r="V202" i="1" s="1"/>
  <c r="U194" i="1"/>
  <c r="V194" i="1" s="1"/>
  <c r="U178" i="1"/>
  <c r="V178" i="1" s="1"/>
  <c r="U170" i="1"/>
  <c r="V170" i="1" s="1"/>
  <c r="U154" i="1"/>
  <c r="V154" i="1" s="1"/>
  <c r="U114" i="1"/>
  <c r="V114" i="1" s="1"/>
  <c r="U98" i="1"/>
  <c r="U58" i="1"/>
  <c r="V58" i="1" s="1"/>
  <c r="U42" i="1"/>
  <c r="V42" i="1" s="1"/>
  <c r="U34" i="1"/>
  <c r="V34" i="1" s="1"/>
  <c r="U26" i="1"/>
  <c r="V26" i="1" s="1"/>
  <c r="U682" i="1"/>
  <c r="V682" i="1" s="1"/>
  <c r="U674" i="1"/>
  <c r="V674" i="1" s="1"/>
  <c r="U666" i="1"/>
  <c r="V666" i="1" s="1"/>
  <c r="U650" i="1"/>
  <c r="V650" i="1" s="1"/>
  <c r="U642" i="1"/>
  <c r="V642" i="1" s="1"/>
  <c r="U634" i="1"/>
  <c r="V634" i="1" s="1"/>
  <c r="U618" i="1"/>
  <c r="V618" i="1" s="1"/>
  <c r="U610" i="1"/>
  <c r="V610" i="1" s="1"/>
  <c r="U602" i="1"/>
  <c r="V602" i="1" s="1"/>
  <c r="U586" i="1"/>
  <c r="V586" i="1" s="1"/>
  <c r="U578" i="1"/>
  <c r="V578" i="1" s="1"/>
  <c r="U570" i="1"/>
  <c r="V570" i="1" s="1"/>
  <c r="U554" i="1"/>
  <c r="V554" i="1" s="1"/>
  <c r="U546" i="1"/>
  <c r="V546" i="1" s="1"/>
  <c r="U538" i="1"/>
  <c r="V538" i="1" s="1"/>
  <c r="U522" i="1"/>
  <c r="V522" i="1" s="1"/>
  <c r="U514" i="1"/>
  <c r="V514" i="1" s="1"/>
  <c r="U506" i="1"/>
  <c r="V506" i="1" s="1"/>
  <c r="U490" i="1"/>
  <c r="V490" i="1" s="1"/>
  <c r="U482" i="1"/>
  <c r="V482" i="1" s="1"/>
  <c r="U474" i="1"/>
  <c r="V474" i="1" s="1"/>
  <c r="U466" i="1"/>
  <c r="V466" i="1" s="1"/>
  <c r="U450" i="1"/>
  <c r="V450" i="1" s="1"/>
  <c r="U442" i="1"/>
  <c r="V442" i="1" s="1"/>
  <c r="U434" i="1"/>
  <c r="V434" i="1" s="1"/>
  <c r="U426" i="1"/>
  <c r="V426" i="1" s="1"/>
  <c r="U418" i="1"/>
  <c r="V418" i="1" s="1"/>
  <c r="U410" i="1"/>
  <c r="V410" i="1" s="1"/>
  <c r="U394" i="1"/>
  <c r="V394" i="1" s="1"/>
  <c r="U386" i="1"/>
  <c r="V386" i="1" s="1"/>
  <c r="U378" i="1"/>
  <c r="V378" i="1" s="1"/>
  <c r="U370" i="1"/>
  <c r="V370" i="1" s="1"/>
  <c r="U362" i="1"/>
  <c r="V362" i="1" s="1"/>
  <c r="U346" i="1"/>
  <c r="V346" i="1" s="1"/>
  <c r="U338" i="1"/>
  <c r="V338" i="1" s="1"/>
  <c r="U314" i="1"/>
  <c r="V314" i="1" s="1"/>
  <c r="U306" i="1"/>
  <c r="V306" i="1" s="1"/>
  <c r="U282" i="1"/>
  <c r="V282" i="1" s="1"/>
  <c r="U274" i="1"/>
  <c r="V274" i="1" s="1"/>
  <c r="U266" i="1"/>
  <c r="V266" i="1" s="1"/>
  <c r="U258" i="1"/>
  <c r="V258" i="1" s="1"/>
  <c r="U250" i="1"/>
  <c r="V250" i="1" s="1"/>
  <c r="U242" i="1"/>
  <c r="V242" i="1" s="1"/>
  <c r="U234" i="1"/>
  <c r="V234" i="1" s="1"/>
  <c r="U226" i="1"/>
  <c r="V226" i="1" s="1"/>
  <c r="U218" i="1"/>
  <c r="V218" i="1" s="1"/>
  <c r="U146" i="1"/>
  <c r="V146" i="1" s="1"/>
  <c r="U138" i="1"/>
  <c r="V138" i="1" s="1"/>
  <c r="U130" i="1"/>
  <c r="V130" i="1" s="1"/>
  <c r="U122" i="1"/>
  <c r="V122" i="1" s="1"/>
  <c r="U90" i="1"/>
  <c r="V90" i="1" s="1"/>
  <c r="U82" i="1"/>
  <c r="V82" i="1" s="1"/>
  <c r="U74" i="1"/>
  <c r="V74" i="1" s="1"/>
  <c r="U66" i="1"/>
  <c r="V66" i="1" s="1"/>
  <c r="U267" i="1"/>
  <c r="V267" i="1" s="1"/>
  <c r="U259" i="1"/>
  <c r="V259" i="1" s="1"/>
  <c r="U251" i="1"/>
  <c r="V251" i="1" s="1"/>
  <c r="U243" i="1"/>
  <c r="V243" i="1" s="1"/>
  <c r="U235" i="1"/>
  <c r="V235" i="1" s="1"/>
  <c r="U227" i="1"/>
  <c r="V227" i="1" s="1"/>
  <c r="U219" i="1"/>
  <c r="V219" i="1" s="1"/>
  <c r="U211" i="1"/>
  <c r="V211" i="1" s="1"/>
  <c r="U203" i="1"/>
  <c r="V203" i="1" s="1"/>
  <c r="U195" i="1"/>
  <c r="V195" i="1" s="1"/>
  <c r="U187" i="1"/>
  <c r="V187" i="1" s="1"/>
  <c r="U147" i="1"/>
  <c r="V147" i="1" s="1"/>
  <c r="U139" i="1"/>
  <c r="V139" i="1" s="1"/>
  <c r="U131" i="1"/>
  <c r="V131" i="1" s="1"/>
  <c r="U123" i="1"/>
  <c r="V123" i="1" s="1"/>
  <c r="U83" i="1"/>
  <c r="V83" i="1" s="1"/>
  <c r="U75" i="1"/>
  <c r="V75" i="1" s="1"/>
  <c r="U67" i="1"/>
  <c r="V67" i="1" s="1"/>
  <c r="L90" i="1"/>
  <c r="L87" i="1"/>
  <c r="L91" i="1"/>
  <c r="L89" i="1"/>
  <c r="L92" i="1"/>
</calcChain>
</file>

<file path=xl/sharedStrings.xml><?xml version="1.0" encoding="utf-8"?>
<sst xmlns="http://schemas.openxmlformats.org/spreadsheetml/2006/main" count="2945" uniqueCount="41">
  <si>
    <t>BG</t>
  </si>
  <si>
    <t>MZ</t>
  </si>
  <si>
    <t>BO</t>
  </si>
  <si>
    <t>mines</t>
  </si>
  <si>
    <t>date</t>
  </si>
  <si>
    <t>gasoil</t>
  </si>
  <si>
    <t>explosif</t>
  </si>
  <si>
    <t>criblage</t>
  </si>
  <si>
    <t>vol_saute</t>
  </si>
  <si>
    <t>UC</t>
  </si>
  <si>
    <t>UL</t>
  </si>
  <si>
    <t>US</t>
  </si>
  <si>
    <t>phases_uc_us</t>
  </si>
  <si>
    <t>electricite_mine</t>
  </si>
  <si>
    <t>eau_mines</t>
  </si>
  <si>
    <t>production_mines</t>
  </si>
  <si>
    <t>electricite_ul</t>
  </si>
  <si>
    <t>prod_ul</t>
  </si>
  <si>
    <t>electricite_uc_us</t>
  </si>
  <si>
    <t>temperature</t>
  </si>
  <si>
    <t>fuel</t>
  </si>
  <si>
    <t>gaz</t>
  </si>
  <si>
    <t>gazoline</t>
  </si>
  <si>
    <t>production_uc_us</t>
  </si>
  <si>
    <t>phase_ul</t>
  </si>
  <si>
    <t>amine</t>
  </si>
  <si>
    <t>ester</t>
  </si>
  <si>
    <t>barrage</t>
  </si>
  <si>
    <t>step</t>
  </si>
  <si>
    <t>exhaure</t>
  </si>
  <si>
    <t>acp</t>
  </si>
  <si>
    <t>floculant</t>
  </si>
  <si>
    <t>fuel_litres</t>
  </si>
  <si>
    <t>gazoline_litres</t>
  </si>
  <si>
    <t>cout_total_mines</t>
  </si>
  <si>
    <t>cout_total_ul</t>
  </si>
  <si>
    <t>cout_unitaire_ul</t>
  </si>
  <si>
    <t>cout_unitaire_mines</t>
  </si>
  <si>
    <t>cout_total_uc_us</t>
  </si>
  <si>
    <t>cout_unitaire_uc_us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</si>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</sst>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7" borderId="0" xfId="0" applyFill="1"/>
    <xf numFmtId="0" fontId="0" fillId="7" borderId="1" xfId="0" applyFill="1" applyBorder="1"/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2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1" xfId="0" applyNumberForma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7" borderId="0" xfId="0" applyNumberForma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8F44-9098-4B8B-A43F-BDBD9AEC9095}">
  <dimension ref="A1:AH1456"/>
  <sheetViews>
    <sheetView tabSelected="1" topLeftCell="N58" zoomScale="70" zoomScaleNormal="76" workbookViewId="0">
      <selection activeCell="AD22" sqref="AD22"/>
    </sheetView>
  </sheetViews>
  <sheetFormatPr baseColWidth="10" defaultRowHeight="15" x14ac:dyDescent="0.25"/>
  <cols>
    <col min="1" max="1" width="6.42578125" bestFit="1" customWidth="1"/>
    <col min="2" max="2" width="13.7109375" style="4" customWidth="1"/>
    <col min="4" max="4" width="15.5703125" bestFit="1" customWidth="1"/>
    <col min="7" max="7" width="17.28515625" bestFit="1" customWidth="1"/>
    <col min="9" max="9" width="10.5703125" customWidth="1"/>
    <col min="10" max="10" width="13.5703125" bestFit="1" customWidth="1"/>
    <col min="11" max="11" width="16.85546875" customWidth="1"/>
    <col min="12" max="12" width="19.42578125" bestFit="1" customWidth="1"/>
    <col min="13" max="13" width="13.140625" bestFit="1" customWidth="1"/>
    <col min="14" max="14" width="15.140625" bestFit="1" customWidth="1"/>
    <col min="19" max="19" width="14" bestFit="1" customWidth="1"/>
    <col min="20" max="20" width="16.85546875" bestFit="1" customWidth="1"/>
    <col min="21" max="21" width="16.85546875" customWidth="1"/>
    <col min="22" max="22" width="19" bestFit="1" customWidth="1"/>
    <col min="24" max="24" width="12.7109375" bestFit="1" customWidth="1"/>
    <col min="25" max="25" width="12.7109375" style="11" bestFit="1" customWidth="1"/>
    <col min="26" max="26" width="13.7109375" style="11" customWidth="1"/>
    <col min="30" max="30" width="12.7109375" bestFit="1" customWidth="1"/>
    <col min="31" max="31" width="12.5703125" bestFit="1" customWidth="1"/>
    <col min="32" max="32" width="11.42578125" style="11"/>
    <col min="33" max="33" width="13.140625" style="11" customWidth="1"/>
    <col min="34" max="34" width="15.5703125" bestFit="1" customWidth="1"/>
  </cols>
  <sheetData>
    <row r="1" spans="1:34" x14ac:dyDescent="0.25">
      <c r="A1" s="12" t="s">
        <v>3</v>
      </c>
      <c r="B1" s="6" t="s">
        <v>4</v>
      </c>
      <c r="C1" s="6" t="s">
        <v>5</v>
      </c>
      <c r="D1" s="6" t="s">
        <v>13</v>
      </c>
      <c r="E1" s="6" t="s">
        <v>6</v>
      </c>
      <c r="F1" s="6" t="s">
        <v>14</v>
      </c>
      <c r="G1" s="6" t="s">
        <v>15</v>
      </c>
      <c r="H1" s="6" t="s">
        <v>7</v>
      </c>
      <c r="I1" s="6" t="s">
        <v>8</v>
      </c>
      <c r="J1" s="6" t="s">
        <v>19</v>
      </c>
      <c r="K1" s="6" t="s">
        <v>34</v>
      </c>
      <c r="L1" s="6" t="s">
        <v>37</v>
      </c>
      <c r="M1" s="12" t="s">
        <v>12</v>
      </c>
      <c r="N1" s="6" t="s">
        <v>18</v>
      </c>
      <c r="O1" s="6" t="s">
        <v>20</v>
      </c>
      <c r="P1" s="6" t="s">
        <v>32</v>
      </c>
      <c r="Q1" s="6" t="s">
        <v>21</v>
      </c>
      <c r="R1" s="6" t="s">
        <v>22</v>
      </c>
      <c r="S1" s="6" t="s">
        <v>33</v>
      </c>
      <c r="T1" s="6" t="s">
        <v>23</v>
      </c>
      <c r="U1" s="6" t="s">
        <v>38</v>
      </c>
      <c r="V1" s="6" t="s">
        <v>39</v>
      </c>
      <c r="W1" s="6" t="s">
        <v>24</v>
      </c>
      <c r="X1" s="6" t="s">
        <v>16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17</v>
      </c>
      <c r="AG1" s="6" t="s">
        <v>35</v>
      </c>
      <c r="AH1" s="22" t="s">
        <v>36</v>
      </c>
    </row>
    <row r="2" spans="1:34" x14ac:dyDescent="0.25">
      <c r="A2" s="13" t="s">
        <v>0</v>
      </c>
      <c r="B2" s="19">
        <v>45658</v>
      </c>
      <c r="C2" s="7">
        <v>17654</v>
      </c>
      <c r="D2" s="7">
        <v>46071</v>
      </c>
      <c r="E2" s="7">
        <v>0</v>
      </c>
      <c r="F2" s="7">
        <v>0</v>
      </c>
      <c r="G2" s="7">
        <v>8108</v>
      </c>
      <c r="H2" s="7">
        <v>6360</v>
      </c>
      <c r="I2" s="7">
        <v>0</v>
      </c>
      <c r="J2" s="2">
        <v>17.75</v>
      </c>
      <c r="K2" s="23">
        <f>C2*8.012+D2*0.58+E2*6.7+F2*5</f>
        <v>168165.02799999999</v>
      </c>
      <c r="L2" s="23">
        <f t="shared" ref="L2:L8" si="0">K2/G2</f>
        <v>20.740629995066598</v>
      </c>
      <c r="M2" s="13" t="s">
        <v>9</v>
      </c>
      <c r="N2" s="7">
        <v>113704</v>
      </c>
      <c r="O2" s="7">
        <v>68863</v>
      </c>
      <c r="P2" s="7">
        <f t="shared" ref="P2:P65" si="1">O2/0.88</f>
        <v>78253.409090909088</v>
      </c>
      <c r="Q2" s="7">
        <v>0</v>
      </c>
      <c r="R2" s="7">
        <v>0</v>
      </c>
      <c r="S2" s="7">
        <f>R2/0.75</f>
        <v>0</v>
      </c>
      <c r="T2" s="7">
        <v>5766</v>
      </c>
      <c r="U2" s="7">
        <f>N2*0.58+P2*5.822+Q2*4.2+S2*9.12</f>
        <v>521539.66772727272</v>
      </c>
      <c r="V2" s="7">
        <f>U2/T2</f>
        <v>90.450861555198188</v>
      </c>
      <c r="W2" s="14" t="s">
        <v>10</v>
      </c>
      <c r="X2" s="7">
        <v>156010</v>
      </c>
      <c r="Y2" s="7">
        <v>1184909.0909090908</v>
      </c>
      <c r="Z2" s="7">
        <v>1195909.0909090908</v>
      </c>
      <c r="AA2" s="7">
        <v>5650</v>
      </c>
      <c r="AB2" s="7">
        <v>4192</v>
      </c>
      <c r="AC2" s="7">
        <v>944</v>
      </c>
      <c r="AD2" s="7">
        <v>1300040.28</v>
      </c>
      <c r="AE2" s="7">
        <v>100000</v>
      </c>
      <c r="AF2" s="7">
        <v>12301.540062904358</v>
      </c>
      <c r="AG2" s="7">
        <f>X2*0.58+Y2*0.0285+Z2*0.032+AA2*3+AB2*5+AD2*0.015+AE2*0.045</f>
        <v>224435.40419999999</v>
      </c>
      <c r="AH2" s="1">
        <f>AG2/AF2</f>
        <v>18.244496465673539</v>
      </c>
    </row>
    <row r="3" spans="1:34" x14ac:dyDescent="0.25">
      <c r="A3" s="13" t="s">
        <v>0</v>
      </c>
      <c r="B3" s="19">
        <v>45659</v>
      </c>
      <c r="C3" s="7">
        <v>17035</v>
      </c>
      <c r="D3" s="7">
        <v>47168</v>
      </c>
      <c r="E3" s="7">
        <v>20300</v>
      </c>
      <c r="F3" s="7">
        <v>2274</v>
      </c>
      <c r="G3" s="7">
        <v>11043</v>
      </c>
      <c r="H3" s="7">
        <v>7587</v>
      </c>
      <c r="I3" s="7">
        <v>88511</v>
      </c>
      <c r="J3" s="2">
        <v>19.5</v>
      </c>
      <c r="K3" s="23">
        <f>C3*8.012+D3*0.58+E3*6.7+F3*5</f>
        <v>311221.86</v>
      </c>
      <c r="L3" s="23">
        <f t="shared" si="0"/>
        <v>28.182727519695735</v>
      </c>
      <c r="M3" s="13" t="s">
        <v>9</v>
      </c>
      <c r="N3" s="7">
        <v>116996</v>
      </c>
      <c r="O3" s="7">
        <v>62939</v>
      </c>
      <c r="P3" s="7">
        <f t="shared" si="1"/>
        <v>71521.590909090912</v>
      </c>
      <c r="Q3" s="7">
        <v>2600</v>
      </c>
      <c r="R3" s="7">
        <v>0</v>
      </c>
      <c r="S3" s="7">
        <f t="shared" ref="S3:S66" si="2">R3/0.75</f>
        <v>0</v>
      </c>
      <c r="T3" s="7">
        <v>5332</v>
      </c>
      <c r="U3" s="7">
        <f t="shared" ref="U3:U32" si="3">N3*0.58+P3*5.822+Q3*4.2+S3*9.12</f>
        <v>495176.38227272726</v>
      </c>
      <c r="V3" s="7">
        <f t="shared" ref="V3:V66" si="4">U3/T3</f>
        <v>92.868788873354703</v>
      </c>
      <c r="W3" s="14" t="s">
        <v>10</v>
      </c>
      <c r="X3" s="7">
        <v>97600</v>
      </c>
      <c r="Y3" s="7">
        <v>590272.72727272729</v>
      </c>
      <c r="Z3" s="7">
        <v>596545.45454545447</v>
      </c>
      <c r="AA3" s="7">
        <v>5409</v>
      </c>
      <c r="AB3" s="7">
        <v>4079</v>
      </c>
      <c r="AC3" s="7">
        <v>0</v>
      </c>
      <c r="AD3" s="7">
        <v>651891.24</v>
      </c>
      <c r="AE3" s="7">
        <v>50000</v>
      </c>
      <c r="AF3" s="7">
        <v>6211.6809745788596</v>
      </c>
      <c r="AG3" s="7">
        <f>X3*0.58+Y3*0.0285+Z3*0.032+AA3*3+AB3*5+AD3*0.015+AE3*0.045</f>
        <v>141170.59587272725</v>
      </c>
      <c r="AH3" s="1">
        <f t="shared" ref="AH3:AH66" si="5">AG3/AF3</f>
        <v>22.726633330086361</v>
      </c>
    </row>
    <row r="4" spans="1:34" x14ac:dyDescent="0.25">
      <c r="A4" s="13" t="s">
        <v>0</v>
      </c>
      <c r="B4" s="19">
        <v>45660</v>
      </c>
      <c r="C4" s="7">
        <v>16189</v>
      </c>
      <c r="D4" s="7">
        <v>43194</v>
      </c>
      <c r="E4" s="7">
        <v>26600</v>
      </c>
      <c r="F4" s="7">
        <v>0</v>
      </c>
      <c r="G4" s="7">
        <v>6365</v>
      </c>
      <c r="H4" s="7">
        <v>7953</v>
      </c>
      <c r="I4" s="7">
        <v>110833</v>
      </c>
      <c r="J4" s="2">
        <v>18.54999923706055</v>
      </c>
      <c r="K4" s="23">
        <f t="shared" ref="K4:K32" si="6">C4*8.012+D4*0.58+E4*6.7+F4*5</f>
        <v>332978.788</v>
      </c>
      <c r="L4" s="23">
        <f t="shared" si="0"/>
        <v>52.314027965435976</v>
      </c>
      <c r="M4" s="13" t="s">
        <v>9</v>
      </c>
      <c r="N4" s="7">
        <v>126870</v>
      </c>
      <c r="O4" s="7">
        <v>73397</v>
      </c>
      <c r="P4" s="7">
        <f t="shared" si="1"/>
        <v>83405.681818181823</v>
      </c>
      <c r="Q4" s="7">
        <v>14400</v>
      </c>
      <c r="R4" s="7">
        <v>0</v>
      </c>
      <c r="S4" s="7">
        <f t="shared" si="2"/>
        <v>0</v>
      </c>
      <c r="T4" s="7">
        <v>7701</v>
      </c>
      <c r="U4" s="7">
        <f t="shared" si="3"/>
        <v>619652.47954545461</v>
      </c>
      <c r="V4" s="7">
        <f t="shared" si="4"/>
        <v>80.463898136015402</v>
      </c>
      <c r="W4" s="14" t="s">
        <v>10</v>
      </c>
      <c r="X4" s="7">
        <v>153170</v>
      </c>
      <c r="Y4" s="7">
        <v>1141545.4545454546</v>
      </c>
      <c r="Z4" s="7">
        <v>1156000</v>
      </c>
      <c r="AA4" s="7">
        <v>5391</v>
      </c>
      <c r="AB4" s="7">
        <v>3867</v>
      </c>
      <c r="AC4" s="7">
        <v>1144</v>
      </c>
      <c r="AD4" s="7">
        <v>1267536.6000000001</v>
      </c>
      <c r="AE4" s="7">
        <v>62500</v>
      </c>
      <c r="AF4" s="7">
        <v>12184.927925109863</v>
      </c>
      <c r="AG4" s="7">
        <f>X4*0.58+Y4*0.0285+Z4*0.032+AA4*3+AB4*5+AD4*0.015+AE4*0.045</f>
        <v>215698.19445454545</v>
      </c>
      <c r="AH4" s="1">
        <f t="shared" si="5"/>
        <v>17.702049267771983</v>
      </c>
    </row>
    <row r="5" spans="1:34" x14ac:dyDescent="0.25">
      <c r="A5" s="13" t="s">
        <v>0</v>
      </c>
      <c r="B5" s="19">
        <v>45661</v>
      </c>
      <c r="C5" s="7">
        <v>16256</v>
      </c>
      <c r="D5" s="7">
        <v>35175</v>
      </c>
      <c r="E5" s="7">
        <v>31400</v>
      </c>
      <c r="F5" s="7">
        <v>0</v>
      </c>
      <c r="G5" s="7">
        <v>11909</v>
      </c>
      <c r="H5" s="7">
        <v>6131</v>
      </c>
      <c r="I5" s="7">
        <v>128750</v>
      </c>
      <c r="J5" s="2">
        <v>19.39999961853027</v>
      </c>
      <c r="K5" s="23">
        <f t="shared" si="6"/>
        <v>361024.57200000004</v>
      </c>
      <c r="L5" s="23">
        <f t="shared" si="0"/>
        <v>30.315271811235203</v>
      </c>
      <c r="M5" s="13" t="s">
        <v>9</v>
      </c>
      <c r="N5" s="7">
        <v>127302</v>
      </c>
      <c r="O5" s="7">
        <v>74654</v>
      </c>
      <c r="P5" s="7">
        <f t="shared" si="1"/>
        <v>84834.090909090912</v>
      </c>
      <c r="Q5" s="7">
        <v>14400</v>
      </c>
      <c r="R5" s="7">
        <v>0</v>
      </c>
      <c r="S5" s="7">
        <f t="shared" si="2"/>
        <v>0</v>
      </c>
      <c r="T5" s="7">
        <v>7792</v>
      </c>
      <c r="U5" s="7">
        <f t="shared" si="3"/>
        <v>628219.2372727273</v>
      </c>
      <c r="V5" s="7">
        <f t="shared" si="4"/>
        <v>80.623618746499915</v>
      </c>
      <c r="W5" s="14" t="s">
        <v>10</v>
      </c>
      <c r="X5" s="7">
        <v>151190</v>
      </c>
      <c r="Y5" s="7">
        <v>1280727.2727272727</v>
      </c>
      <c r="Z5" s="7">
        <v>1269181.8181818181</v>
      </c>
      <c r="AA5" s="7">
        <v>5401</v>
      </c>
      <c r="AB5" s="7">
        <v>4001</v>
      </c>
      <c r="AC5" s="7">
        <v>1126</v>
      </c>
      <c r="AD5" s="7">
        <v>1405677.24</v>
      </c>
      <c r="AE5" s="7">
        <v>112500</v>
      </c>
      <c r="AF5" s="7">
        <v>13381.996041107177</v>
      </c>
      <c r="AG5" s="7">
        <f t="shared" ref="AG5:AG32" si="7">X5*0.58+Y5*0.0285+Z5*0.032+AA5*3+AB5*5+AD5*0.015+AE5*0.045</f>
        <v>227160.40405454545</v>
      </c>
      <c r="AH5" s="1">
        <f t="shared" si="5"/>
        <v>16.975076315726593</v>
      </c>
    </row>
    <row r="6" spans="1:34" x14ac:dyDescent="0.25">
      <c r="A6" s="13" t="s">
        <v>0</v>
      </c>
      <c r="B6" s="19">
        <v>45662</v>
      </c>
      <c r="C6" s="8">
        <v>10106</v>
      </c>
      <c r="D6" s="8">
        <v>38340</v>
      </c>
      <c r="E6" s="8">
        <v>0</v>
      </c>
      <c r="F6" s="8">
        <v>0</v>
      </c>
      <c r="G6" s="8">
        <v>10335</v>
      </c>
      <c r="H6" s="8">
        <v>6988</v>
      </c>
      <c r="I6" s="8">
        <v>0</v>
      </c>
      <c r="J6" s="2">
        <v>17.60000038146973</v>
      </c>
      <c r="K6" s="23">
        <f t="shared" si="6"/>
        <v>103206.47200000001</v>
      </c>
      <c r="L6" s="23">
        <f t="shared" si="0"/>
        <v>9.9861124334784712</v>
      </c>
      <c r="M6" s="13" t="s">
        <v>9</v>
      </c>
      <c r="N6" s="8">
        <v>128232</v>
      </c>
      <c r="O6" s="8">
        <v>70334</v>
      </c>
      <c r="P6" s="7">
        <f t="shared" si="1"/>
        <v>79925</v>
      </c>
      <c r="Q6" s="8">
        <v>9000</v>
      </c>
      <c r="R6" s="8">
        <v>0</v>
      </c>
      <c r="S6" s="7">
        <f t="shared" si="2"/>
        <v>0</v>
      </c>
      <c r="T6" s="8">
        <v>7196</v>
      </c>
      <c r="U6" s="7">
        <f t="shared" si="3"/>
        <v>577497.90999999992</v>
      </c>
      <c r="V6" s="7">
        <f t="shared" si="4"/>
        <v>80.252627848804877</v>
      </c>
      <c r="W6" s="14" t="s">
        <v>10</v>
      </c>
      <c r="X6" s="8">
        <v>150450</v>
      </c>
      <c r="Y6" s="8">
        <v>1195454.5454545454</v>
      </c>
      <c r="Z6" s="8">
        <v>1212000</v>
      </c>
      <c r="AA6" s="8">
        <v>5404</v>
      </c>
      <c r="AB6" s="8">
        <v>4014</v>
      </c>
      <c r="AC6" s="8">
        <v>1049</v>
      </c>
      <c r="AD6" s="8">
        <v>1318537.44</v>
      </c>
      <c r="AE6" s="8">
        <v>100000.00000000001</v>
      </c>
      <c r="AF6" s="8">
        <v>12433.150127410889</v>
      </c>
      <c r="AG6" s="7">
        <f t="shared" si="7"/>
        <v>220675.51614545452</v>
      </c>
      <c r="AH6" s="1">
        <f t="shared" si="5"/>
        <v>17.748962562507764</v>
      </c>
    </row>
    <row r="7" spans="1:34" x14ac:dyDescent="0.25">
      <c r="A7" s="13" t="s">
        <v>0</v>
      </c>
      <c r="B7" s="19">
        <v>45663</v>
      </c>
      <c r="C7" s="7">
        <v>15519</v>
      </c>
      <c r="D7" s="7">
        <v>42290</v>
      </c>
      <c r="E7" s="7">
        <v>12500</v>
      </c>
      <c r="F7" s="7">
        <v>0</v>
      </c>
      <c r="G7" s="7">
        <v>11655</v>
      </c>
      <c r="H7" s="7">
        <v>6285</v>
      </c>
      <c r="I7" s="7">
        <v>50000</v>
      </c>
      <c r="J7" s="2">
        <v>18.10000038146973</v>
      </c>
      <c r="K7" s="23">
        <f t="shared" si="6"/>
        <v>232616.42800000001</v>
      </c>
      <c r="L7" s="23">
        <f t="shared" si="0"/>
        <v>19.958509480909481</v>
      </c>
      <c r="M7" s="13" t="s">
        <v>9</v>
      </c>
      <c r="N7" s="7">
        <v>117680</v>
      </c>
      <c r="O7" s="7">
        <v>76529</v>
      </c>
      <c r="P7" s="7">
        <f t="shared" si="1"/>
        <v>86964.772727272721</v>
      </c>
      <c r="Q7" s="7">
        <v>0</v>
      </c>
      <c r="R7" s="7">
        <v>0</v>
      </c>
      <c r="S7" s="7">
        <f t="shared" si="2"/>
        <v>0</v>
      </c>
      <c r="T7" s="7">
        <v>5733</v>
      </c>
      <c r="U7" s="7">
        <f t="shared" si="3"/>
        <v>574563.30681818177</v>
      </c>
      <c r="V7" s="7">
        <f t="shared" si="4"/>
        <v>100.22035702392844</v>
      </c>
      <c r="W7" s="14" t="s">
        <v>10</v>
      </c>
      <c r="X7" s="7">
        <v>118110</v>
      </c>
      <c r="Y7" s="7">
        <v>805181.81818181812</v>
      </c>
      <c r="Z7" s="7">
        <v>809454.54545454541</v>
      </c>
      <c r="AA7" s="7">
        <v>5358</v>
      </c>
      <c r="AB7" s="7">
        <v>3937</v>
      </c>
      <c r="AC7" s="7">
        <v>952</v>
      </c>
      <c r="AD7" s="7">
        <v>895455</v>
      </c>
      <c r="AE7" s="7">
        <v>50000</v>
      </c>
      <c r="AF7" s="7">
        <v>8355.5339229583733</v>
      </c>
      <c r="AG7" s="7">
        <f t="shared" si="7"/>
        <v>168794.85227272729</v>
      </c>
      <c r="AH7" s="1">
        <f t="shared" si="5"/>
        <v>20.201563877196673</v>
      </c>
    </row>
    <row r="8" spans="1:34" x14ac:dyDescent="0.25">
      <c r="A8" s="13" t="s">
        <v>0</v>
      </c>
      <c r="B8" s="19">
        <v>45664</v>
      </c>
      <c r="C8" s="7">
        <v>15644</v>
      </c>
      <c r="D8" s="7">
        <v>51089</v>
      </c>
      <c r="E8" s="7">
        <v>12500</v>
      </c>
      <c r="F8" s="7">
        <v>0</v>
      </c>
      <c r="G8" s="7">
        <v>10594</v>
      </c>
      <c r="H8" s="7">
        <v>6456</v>
      </c>
      <c r="I8" s="7">
        <v>50000</v>
      </c>
      <c r="J8" s="2">
        <v>20.25</v>
      </c>
      <c r="K8" s="23">
        <f t="shared" si="6"/>
        <v>238721.348</v>
      </c>
      <c r="L8" s="23">
        <f t="shared" si="0"/>
        <v>22.533636775533321</v>
      </c>
      <c r="M8" s="13" t="s">
        <v>9</v>
      </c>
      <c r="N8" s="7">
        <v>117616</v>
      </c>
      <c r="O8" s="7">
        <v>75827</v>
      </c>
      <c r="P8" s="7">
        <f t="shared" si="1"/>
        <v>86167.045454545456</v>
      </c>
      <c r="Q8" s="7">
        <v>0</v>
      </c>
      <c r="R8" s="7">
        <v>0</v>
      </c>
      <c r="S8" s="7">
        <f t="shared" si="2"/>
        <v>0</v>
      </c>
      <c r="T8" s="7">
        <v>5742</v>
      </c>
      <c r="U8" s="7">
        <f t="shared" si="3"/>
        <v>569881.81863636361</v>
      </c>
      <c r="V8" s="7">
        <f t="shared" si="4"/>
        <v>99.247965628067504</v>
      </c>
      <c r="W8" s="14" t="s">
        <v>10</v>
      </c>
      <c r="X8" s="7">
        <v>149590</v>
      </c>
      <c r="Y8" s="7">
        <v>1226545.4545454546</v>
      </c>
      <c r="Z8" s="7">
        <v>1240818.1818181816</v>
      </c>
      <c r="AA8" s="7">
        <v>5425</v>
      </c>
      <c r="AB8" s="7">
        <v>3654</v>
      </c>
      <c r="AC8" s="7">
        <v>890</v>
      </c>
      <c r="AD8" s="7">
        <v>1359167.04</v>
      </c>
      <c r="AE8" s="7">
        <v>112500</v>
      </c>
      <c r="AF8" s="7">
        <v>12615.885051727295</v>
      </c>
      <c r="AG8" s="7">
        <f t="shared" si="7"/>
        <v>221419.93287272728</v>
      </c>
      <c r="AH8" s="1">
        <f t="shared" si="5"/>
        <v>17.550883823439065</v>
      </c>
    </row>
    <row r="9" spans="1:34" x14ac:dyDescent="0.25">
      <c r="A9" s="13" t="s">
        <v>0</v>
      </c>
      <c r="B9" s="19">
        <v>45665</v>
      </c>
      <c r="C9" s="7">
        <v>17690</v>
      </c>
      <c r="D9" s="7">
        <v>45898</v>
      </c>
      <c r="E9" s="7">
        <v>13000</v>
      </c>
      <c r="F9" s="7">
        <v>1730</v>
      </c>
      <c r="G9" s="7">
        <v>8947</v>
      </c>
      <c r="H9" s="7">
        <v>6808</v>
      </c>
      <c r="I9" s="7">
        <v>52000</v>
      </c>
      <c r="J9" s="2">
        <v>21.14999961853027</v>
      </c>
      <c r="K9" s="23">
        <f t="shared" si="6"/>
        <v>264103.12</v>
      </c>
      <c r="L9" s="23">
        <f t="shared" ref="L9:L72" si="8">K9/G9</f>
        <v>29.518623002123615</v>
      </c>
      <c r="M9" s="13" t="s">
        <v>9</v>
      </c>
      <c r="N9" s="7">
        <v>122272</v>
      </c>
      <c r="O9" s="7">
        <v>75873</v>
      </c>
      <c r="P9" s="7">
        <f t="shared" si="1"/>
        <v>86219.318181818177</v>
      </c>
      <c r="Q9" s="7">
        <v>6500</v>
      </c>
      <c r="R9" s="7">
        <v>0</v>
      </c>
      <c r="S9" s="7">
        <f t="shared" si="2"/>
        <v>0</v>
      </c>
      <c r="T9" s="7">
        <v>6791</v>
      </c>
      <c r="U9" s="7">
        <f t="shared" si="3"/>
        <v>600186.63045454537</v>
      </c>
      <c r="V9" s="7">
        <f t="shared" si="4"/>
        <v>88.379712922183089</v>
      </c>
      <c r="W9" s="14" t="s">
        <v>10</v>
      </c>
      <c r="X9" s="7">
        <v>154450</v>
      </c>
      <c r="Y9" s="7">
        <v>1207000</v>
      </c>
      <c r="Z9" s="7">
        <v>1208818.1818181819</v>
      </c>
      <c r="AA9" s="7">
        <v>5406</v>
      </c>
      <c r="AB9" s="7">
        <v>3223</v>
      </c>
      <c r="AC9" s="7">
        <v>1788</v>
      </c>
      <c r="AD9" s="7">
        <v>1334147.76</v>
      </c>
      <c r="AE9" s="7">
        <v>112500</v>
      </c>
      <c r="AF9" s="7">
        <v>12382.697847747802</v>
      </c>
      <c r="AG9" s="7">
        <f t="shared" si="7"/>
        <v>220070.39821818183</v>
      </c>
      <c r="AH9" s="1">
        <f t="shared" si="5"/>
        <v>17.772411224441594</v>
      </c>
    </row>
    <row r="10" spans="1:34" x14ac:dyDescent="0.25">
      <c r="A10" s="13" t="s">
        <v>0</v>
      </c>
      <c r="B10" s="19">
        <v>45666</v>
      </c>
      <c r="C10" s="7">
        <v>14259</v>
      </c>
      <c r="D10" s="7">
        <v>54655</v>
      </c>
      <c r="E10" s="7">
        <v>13000</v>
      </c>
      <c r="F10" s="7">
        <v>1379</v>
      </c>
      <c r="G10" s="7">
        <v>12465</v>
      </c>
      <c r="H10" s="7">
        <v>7374</v>
      </c>
      <c r="I10" s="7">
        <v>52000</v>
      </c>
      <c r="J10" s="2">
        <v>23.20000076293945</v>
      </c>
      <c r="K10" s="23">
        <f t="shared" si="6"/>
        <v>239938.008</v>
      </c>
      <c r="L10" s="23">
        <f t="shared" si="8"/>
        <v>19.248937665463298</v>
      </c>
      <c r="M10" s="13" t="s">
        <v>9</v>
      </c>
      <c r="N10" s="7">
        <v>124628</v>
      </c>
      <c r="O10" s="7">
        <v>69513</v>
      </c>
      <c r="P10" s="7">
        <f t="shared" si="1"/>
        <v>78992.045454545456</v>
      </c>
      <c r="Q10" s="7">
        <v>5731</v>
      </c>
      <c r="R10" s="7">
        <v>0</v>
      </c>
      <c r="S10" s="7">
        <f t="shared" si="2"/>
        <v>0</v>
      </c>
      <c r="T10" s="7">
        <v>6734</v>
      </c>
      <c r="U10" s="7">
        <f t="shared" si="3"/>
        <v>556246.12863636366</v>
      </c>
      <c r="V10" s="7">
        <f t="shared" si="4"/>
        <v>82.602632705132706</v>
      </c>
      <c r="W10" s="14" t="s">
        <v>10</v>
      </c>
      <c r="X10" s="7">
        <v>75440</v>
      </c>
      <c r="Y10" s="7">
        <v>467727.27272727271</v>
      </c>
      <c r="Z10" s="7">
        <v>510363.63636363641</v>
      </c>
      <c r="AA10" s="7">
        <v>4477</v>
      </c>
      <c r="AB10" s="7">
        <v>3253</v>
      </c>
      <c r="AC10" s="7">
        <v>19</v>
      </c>
      <c r="AD10" s="7">
        <v>558657</v>
      </c>
      <c r="AE10" s="7">
        <v>37500</v>
      </c>
      <c r="AF10" s="7">
        <v>5145.1859367370607</v>
      </c>
      <c r="AG10" s="7">
        <f t="shared" si="7"/>
        <v>113180.41863636363</v>
      </c>
      <c r="AH10" s="1">
        <f t="shared" si="5"/>
        <v>21.997342764281054</v>
      </c>
    </row>
    <row r="11" spans="1:34" x14ac:dyDescent="0.25">
      <c r="A11" s="13" t="s">
        <v>0</v>
      </c>
      <c r="B11" s="19">
        <v>45667</v>
      </c>
      <c r="C11" s="8">
        <v>14032</v>
      </c>
      <c r="D11" s="8">
        <v>48401</v>
      </c>
      <c r="E11" s="8">
        <v>15000</v>
      </c>
      <c r="F11" s="8">
        <v>1585</v>
      </c>
      <c r="G11" s="8">
        <v>11162</v>
      </c>
      <c r="H11" s="8">
        <v>6512</v>
      </c>
      <c r="I11" s="8">
        <v>62500</v>
      </c>
      <c r="J11" s="2">
        <v>22.04999923706055</v>
      </c>
      <c r="K11" s="23">
        <f t="shared" si="6"/>
        <v>248921.96400000001</v>
      </c>
      <c r="L11" s="23">
        <f t="shared" si="8"/>
        <v>22.300838917756675</v>
      </c>
      <c r="M11" s="13" t="s">
        <v>9</v>
      </c>
      <c r="N11" s="8">
        <v>126616</v>
      </c>
      <c r="O11" s="8">
        <v>66684</v>
      </c>
      <c r="P11" s="7">
        <f t="shared" si="1"/>
        <v>75777.272727272721</v>
      </c>
      <c r="Q11" s="8">
        <v>7579</v>
      </c>
      <c r="R11" s="8">
        <v>0</v>
      </c>
      <c r="S11" s="7">
        <f t="shared" si="2"/>
        <v>0</v>
      </c>
      <c r="T11" s="8">
        <v>6518</v>
      </c>
      <c r="U11" s="7">
        <f t="shared" si="3"/>
        <v>546444.36181818182</v>
      </c>
      <c r="V11" s="7">
        <f t="shared" si="4"/>
        <v>83.836201567686686</v>
      </c>
      <c r="W11" s="14" t="s">
        <v>10</v>
      </c>
      <c r="X11" s="8">
        <v>99500</v>
      </c>
      <c r="Y11" s="8">
        <v>600272.72727272729</v>
      </c>
      <c r="Z11" s="8">
        <v>640363.63636363635</v>
      </c>
      <c r="AA11" s="8">
        <v>4331</v>
      </c>
      <c r="AB11" s="8">
        <v>3733</v>
      </c>
      <c r="AC11" s="8">
        <v>0</v>
      </c>
      <c r="AD11" s="8">
        <v>698401.44</v>
      </c>
      <c r="AE11" s="8">
        <v>37500</v>
      </c>
      <c r="AF11" s="8">
        <v>6333.2750644683838</v>
      </c>
      <c r="AG11" s="7">
        <f t="shared" si="7"/>
        <v>139130.9306909091</v>
      </c>
      <c r="AH11" s="1">
        <f t="shared" si="5"/>
        <v>21.96824380350639</v>
      </c>
    </row>
    <row r="12" spans="1:34" x14ac:dyDescent="0.25">
      <c r="A12" s="13" t="s">
        <v>0</v>
      </c>
      <c r="B12" s="19">
        <v>45668</v>
      </c>
      <c r="C12" s="7">
        <v>12759</v>
      </c>
      <c r="D12" s="7">
        <v>54466</v>
      </c>
      <c r="E12" s="7">
        <v>0</v>
      </c>
      <c r="F12" s="7">
        <v>1781</v>
      </c>
      <c r="G12" s="7">
        <v>6209</v>
      </c>
      <c r="H12" s="7">
        <v>5785</v>
      </c>
      <c r="I12" s="7">
        <v>0</v>
      </c>
      <c r="J12" s="2">
        <v>20.29999923706055</v>
      </c>
      <c r="K12" s="23">
        <f t="shared" si="6"/>
        <v>142720.38800000001</v>
      </c>
      <c r="L12" s="23">
        <f t="shared" si="8"/>
        <v>22.986050571750685</v>
      </c>
      <c r="M12" s="13" t="s">
        <v>9</v>
      </c>
      <c r="N12" s="7">
        <v>126188</v>
      </c>
      <c r="O12" s="7">
        <v>64222</v>
      </c>
      <c r="P12" s="7">
        <f t="shared" si="1"/>
        <v>72979.545454545456</v>
      </c>
      <c r="Q12" s="7">
        <v>8877</v>
      </c>
      <c r="R12" s="7">
        <v>0</v>
      </c>
      <c r="S12" s="7">
        <f t="shared" si="2"/>
        <v>0</v>
      </c>
      <c r="T12" s="7">
        <v>6077</v>
      </c>
      <c r="U12" s="7">
        <f t="shared" si="3"/>
        <v>535359.35363636364</v>
      </c>
      <c r="V12" s="7">
        <f t="shared" si="4"/>
        <v>88.095993687076458</v>
      </c>
      <c r="W12" s="14" t="s">
        <v>10</v>
      </c>
      <c r="X12" s="7">
        <v>146050</v>
      </c>
      <c r="Y12" s="7">
        <v>1120181.8181818181</v>
      </c>
      <c r="Z12" s="7">
        <v>1201545.4545454544</v>
      </c>
      <c r="AA12" s="7">
        <v>5432</v>
      </c>
      <c r="AB12" s="7">
        <v>3804</v>
      </c>
      <c r="AC12" s="7">
        <v>0</v>
      </c>
      <c r="AD12" s="7">
        <v>1315436.76</v>
      </c>
      <c r="AE12" s="7">
        <v>112500</v>
      </c>
      <c r="AF12" s="7">
        <v>12138.609888076782</v>
      </c>
      <c r="AG12" s="7">
        <f t="shared" si="7"/>
        <v>215193.68776363635</v>
      </c>
      <c r="AH12" s="1">
        <f t="shared" si="5"/>
        <v>17.72803391391724</v>
      </c>
    </row>
    <row r="13" spans="1:34" x14ac:dyDescent="0.25">
      <c r="A13" s="13" t="s">
        <v>0</v>
      </c>
      <c r="B13" s="19">
        <v>45669</v>
      </c>
      <c r="C13" s="7">
        <v>12928</v>
      </c>
      <c r="D13" s="7">
        <v>69812</v>
      </c>
      <c r="E13" s="7">
        <v>0</v>
      </c>
      <c r="F13" s="7">
        <v>1007</v>
      </c>
      <c r="G13" s="7">
        <v>4442</v>
      </c>
      <c r="H13" s="7">
        <v>6730</v>
      </c>
      <c r="I13" s="7">
        <v>0</v>
      </c>
      <c r="J13" s="2">
        <v>19.79999923706055</v>
      </c>
      <c r="K13" s="23">
        <f t="shared" si="6"/>
        <v>149105.09599999999</v>
      </c>
      <c r="L13" s="23">
        <f t="shared" si="8"/>
        <v>33.567108509680324</v>
      </c>
      <c r="M13" s="13" t="s">
        <v>9</v>
      </c>
      <c r="N13" s="7">
        <v>127624</v>
      </c>
      <c r="O13" s="7">
        <v>76820</v>
      </c>
      <c r="P13" s="7">
        <f t="shared" si="1"/>
        <v>87295.454545454544</v>
      </c>
      <c r="Q13" s="7">
        <v>8965</v>
      </c>
      <c r="R13" s="7">
        <v>0</v>
      </c>
      <c r="S13" s="7">
        <f t="shared" si="2"/>
        <v>0</v>
      </c>
      <c r="T13" s="7">
        <v>7335</v>
      </c>
      <c r="U13" s="7">
        <f t="shared" si="3"/>
        <v>619909.05636363639</v>
      </c>
      <c r="V13" s="7">
        <f t="shared" si="4"/>
        <v>84.513845448348519</v>
      </c>
      <c r="W13" s="14" t="s">
        <v>10</v>
      </c>
      <c r="X13" s="7">
        <v>155240</v>
      </c>
      <c r="Y13" s="7">
        <v>1182363.6363636362</v>
      </c>
      <c r="Z13" s="7">
        <v>1290090.9090909089</v>
      </c>
      <c r="AA13" s="7">
        <v>5403</v>
      </c>
      <c r="AB13" s="7">
        <v>3855</v>
      </c>
      <c r="AC13" s="7">
        <v>0</v>
      </c>
      <c r="AD13" s="7">
        <v>1412413.2000000002</v>
      </c>
      <c r="AE13" s="7">
        <v>150000</v>
      </c>
      <c r="AF13" s="7">
        <v>13305.7</v>
      </c>
      <c r="AG13" s="7">
        <f t="shared" si="7"/>
        <v>228439.67072727272</v>
      </c>
      <c r="AH13" s="1">
        <f t="shared" si="5"/>
        <v>17.168557139216478</v>
      </c>
    </row>
    <row r="14" spans="1:34" x14ac:dyDescent="0.25">
      <c r="A14" s="13" t="s">
        <v>0</v>
      </c>
      <c r="B14" s="19">
        <v>45670</v>
      </c>
      <c r="C14" s="7">
        <v>15048</v>
      </c>
      <c r="D14" s="7">
        <v>42910</v>
      </c>
      <c r="E14" s="7">
        <v>30000</v>
      </c>
      <c r="F14" s="7">
        <v>469</v>
      </c>
      <c r="G14" s="7">
        <v>15675</v>
      </c>
      <c r="H14" s="7">
        <v>7061</v>
      </c>
      <c r="I14" s="7">
        <v>122449</v>
      </c>
      <c r="J14" s="2">
        <v>17.5</v>
      </c>
      <c r="K14" s="23">
        <f t="shared" si="6"/>
        <v>348797.37599999999</v>
      </c>
      <c r="L14" s="23">
        <f t="shared" si="8"/>
        <v>22.251826220095694</v>
      </c>
      <c r="M14" s="13" t="s">
        <v>9</v>
      </c>
      <c r="N14" s="7">
        <v>127660</v>
      </c>
      <c r="O14" s="7">
        <v>73441</v>
      </c>
      <c r="P14" s="7">
        <f t="shared" si="1"/>
        <v>83455.681818181823</v>
      </c>
      <c r="Q14" s="7">
        <v>7953</v>
      </c>
      <c r="R14" s="7">
        <v>0</v>
      </c>
      <c r="S14" s="7">
        <f t="shared" si="2"/>
        <v>0</v>
      </c>
      <c r="T14" s="7">
        <v>6767</v>
      </c>
      <c r="U14" s="7">
        <f t="shared" si="3"/>
        <v>593324.37954545452</v>
      </c>
      <c r="V14" s="7">
        <f t="shared" si="4"/>
        <v>87.679086677324449</v>
      </c>
      <c r="W14" s="14" t="s">
        <v>10</v>
      </c>
      <c r="X14" s="7">
        <v>150220</v>
      </c>
      <c r="Y14" s="7">
        <v>1239636.3636363638</v>
      </c>
      <c r="Z14" s="7">
        <v>1341636.3636363638</v>
      </c>
      <c r="AA14" s="7">
        <v>5403</v>
      </c>
      <c r="AB14" s="7">
        <v>3455</v>
      </c>
      <c r="AC14" s="7">
        <v>0</v>
      </c>
      <c r="AD14" s="7">
        <v>1476030.6</v>
      </c>
      <c r="AE14" s="7">
        <v>112500</v>
      </c>
      <c r="AF14" s="7">
        <v>13749.007915496826</v>
      </c>
      <c r="AG14" s="7">
        <f t="shared" si="7"/>
        <v>226076.55900000001</v>
      </c>
      <c r="AH14" s="1">
        <f t="shared" si="5"/>
        <v>16.44311796091003</v>
      </c>
    </row>
    <row r="15" spans="1:34" x14ac:dyDescent="0.25">
      <c r="A15" s="13" t="s">
        <v>0</v>
      </c>
      <c r="B15" s="19">
        <v>45671</v>
      </c>
      <c r="C15" s="7">
        <v>11833</v>
      </c>
      <c r="D15" s="7">
        <v>46523</v>
      </c>
      <c r="E15" s="7">
        <v>0</v>
      </c>
      <c r="F15" s="7">
        <v>1658</v>
      </c>
      <c r="G15" s="7">
        <v>15355</v>
      </c>
      <c r="H15" s="7">
        <v>9397</v>
      </c>
      <c r="I15" s="7">
        <v>0</v>
      </c>
      <c r="J15" s="2">
        <v>17.60000038146973</v>
      </c>
      <c r="K15" s="23">
        <f t="shared" si="6"/>
        <v>130079.336</v>
      </c>
      <c r="L15" s="23">
        <f t="shared" si="8"/>
        <v>8.4714644089873001</v>
      </c>
      <c r="M15" s="13" t="s">
        <v>9</v>
      </c>
      <c r="N15" s="7">
        <v>128832</v>
      </c>
      <c r="O15" s="7">
        <v>71608</v>
      </c>
      <c r="P15" s="7">
        <f t="shared" si="1"/>
        <v>81372.727272727279</v>
      </c>
      <c r="Q15" s="7">
        <v>8756</v>
      </c>
      <c r="R15" s="7">
        <v>0</v>
      </c>
      <c r="S15" s="7">
        <f t="shared" si="2"/>
        <v>0</v>
      </c>
      <c r="T15" s="7">
        <v>6895</v>
      </c>
      <c r="U15" s="7">
        <f t="shared" si="3"/>
        <v>585249.7781818182</v>
      </c>
      <c r="V15" s="7">
        <f t="shared" si="4"/>
        <v>84.880315907442807</v>
      </c>
      <c r="W15" s="14" t="s">
        <v>10</v>
      </c>
      <c r="X15" s="7">
        <v>148480</v>
      </c>
      <c r="Y15" s="7">
        <v>1141818.1818181816</v>
      </c>
      <c r="Z15" s="7">
        <v>1217727.2727272727</v>
      </c>
      <c r="AA15" s="7">
        <v>5369</v>
      </c>
      <c r="AB15" s="7">
        <v>3781</v>
      </c>
      <c r="AC15" s="7">
        <v>0</v>
      </c>
      <c r="AD15" s="7">
        <v>1326449.52</v>
      </c>
      <c r="AE15" s="7">
        <v>87500</v>
      </c>
      <c r="AF15" s="7">
        <v>12557.587948608398</v>
      </c>
      <c r="AG15" s="7">
        <f t="shared" si="7"/>
        <v>216473.73370909091</v>
      </c>
      <c r="AH15" s="1">
        <f t="shared" si="5"/>
        <v>17.238480398863544</v>
      </c>
    </row>
    <row r="16" spans="1:34" x14ac:dyDescent="0.25">
      <c r="A16" s="13" t="s">
        <v>0</v>
      </c>
      <c r="B16" s="19">
        <v>45672</v>
      </c>
      <c r="C16" s="8">
        <v>17128</v>
      </c>
      <c r="D16" s="8">
        <v>48951</v>
      </c>
      <c r="E16" s="8">
        <v>24400</v>
      </c>
      <c r="F16" s="8">
        <v>0</v>
      </c>
      <c r="G16" s="8">
        <v>14727</v>
      </c>
      <c r="H16" s="8">
        <v>11420</v>
      </c>
      <c r="I16" s="8">
        <v>99591</v>
      </c>
      <c r="J16" s="2">
        <v>17.45000076293945</v>
      </c>
      <c r="K16" s="23">
        <f t="shared" si="6"/>
        <v>329101.11600000004</v>
      </c>
      <c r="L16" s="23">
        <f t="shared" si="8"/>
        <v>22.346785903442658</v>
      </c>
      <c r="M16" s="13" t="s">
        <v>9</v>
      </c>
      <c r="N16" s="8">
        <v>127544</v>
      </c>
      <c r="O16" s="8">
        <v>73903</v>
      </c>
      <c r="P16" s="7">
        <f t="shared" si="1"/>
        <v>83980.681818181823</v>
      </c>
      <c r="Q16" s="8">
        <v>8503</v>
      </c>
      <c r="R16" s="8">
        <v>0</v>
      </c>
      <c r="S16" s="7">
        <f t="shared" si="2"/>
        <v>0</v>
      </c>
      <c r="T16" s="8">
        <v>7131</v>
      </c>
      <c r="U16" s="7">
        <f t="shared" si="3"/>
        <v>598623.64954545454</v>
      </c>
      <c r="V16" s="7">
        <f t="shared" si="4"/>
        <v>83.946662395940891</v>
      </c>
      <c r="W16" s="14" t="s">
        <v>10</v>
      </c>
      <c r="X16" s="8">
        <v>148860</v>
      </c>
      <c r="Y16" s="8">
        <v>1124272.7272727273</v>
      </c>
      <c r="Z16" s="8">
        <v>1193181.8181818181</v>
      </c>
      <c r="AA16" s="8">
        <v>5342</v>
      </c>
      <c r="AB16" s="8">
        <v>3343</v>
      </c>
      <c r="AC16" s="8">
        <v>0</v>
      </c>
      <c r="AD16" s="8">
        <v>1305172.44</v>
      </c>
      <c r="AE16" s="8">
        <v>125000</v>
      </c>
      <c r="AF16" s="8">
        <v>12183.864140319823</v>
      </c>
      <c r="AG16" s="7">
        <f t="shared" si="7"/>
        <v>214505.97750909091</v>
      </c>
      <c r="AH16" s="1">
        <f t="shared" si="5"/>
        <v>17.605742729782293</v>
      </c>
    </row>
    <row r="17" spans="1:34" x14ac:dyDescent="0.25">
      <c r="A17" s="13" t="s">
        <v>0</v>
      </c>
      <c r="B17" s="19">
        <v>45673</v>
      </c>
      <c r="C17" s="7">
        <v>15620</v>
      </c>
      <c r="D17" s="7">
        <v>49795</v>
      </c>
      <c r="E17" s="7">
        <v>20000</v>
      </c>
      <c r="F17" s="7">
        <v>0</v>
      </c>
      <c r="G17" s="7">
        <v>10400</v>
      </c>
      <c r="H17" s="7">
        <v>6119</v>
      </c>
      <c r="I17" s="7">
        <v>80000</v>
      </c>
      <c r="J17" s="2">
        <v>15.69999980926514</v>
      </c>
      <c r="K17" s="23">
        <f t="shared" si="6"/>
        <v>288028.54000000004</v>
      </c>
      <c r="L17" s="23">
        <f t="shared" si="8"/>
        <v>27.695051923076928</v>
      </c>
      <c r="M17" s="13" t="s">
        <v>9</v>
      </c>
      <c r="N17" s="7">
        <v>125396</v>
      </c>
      <c r="O17" s="7">
        <v>69754</v>
      </c>
      <c r="P17" s="7">
        <f t="shared" si="1"/>
        <v>79265.909090909088</v>
      </c>
      <c r="Q17" s="7">
        <v>9108</v>
      </c>
      <c r="R17" s="7">
        <v>0</v>
      </c>
      <c r="S17" s="7">
        <f t="shared" si="2"/>
        <v>0</v>
      </c>
      <c r="T17" s="7">
        <v>6235</v>
      </c>
      <c r="U17" s="7">
        <f t="shared" si="3"/>
        <v>572469.40272727271</v>
      </c>
      <c r="V17" s="7">
        <f t="shared" si="4"/>
        <v>91.815461544069407</v>
      </c>
      <c r="W17" s="14" t="s">
        <v>10</v>
      </c>
      <c r="X17" s="7">
        <v>126280</v>
      </c>
      <c r="Y17" s="7">
        <v>1258454.5454545454</v>
      </c>
      <c r="Z17" s="7">
        <v>1272545.4545454546</v>
      </c>
      <c r="AA17" s="7">
        <v>5671</v>
      </c>
      <c r="AB17" s="7">
        <v>3317</v>
      </c>
      <c r="AC17" s="7">
        <v>0</v>
      </c>
      <c r="AD17" s="7">
        <v>1138484.1599999999</v>
      </c>
      <c r="AE17" s="7">
        <v>87500</v>
      </c>
      <c r="AF17" s="7">
        <v>12146.253862953186</v>
      </c>
      <c r="AG17" s="7">
        <f t="shared" si="7"/>
        <v>204442.57149090909</v>
      </c>
      <c r="AH17" s="1">
        <f t="shared" si="5"/>
        <v>16.83173872353116</v>
      </c>
    </row>
    <row r="18" spans="1:34" x14ac:dyDescent="0.25">
      <c r="A18" s="13" t="s">
        <v>0</v>
      </c>
      <c r="B18" s="19">
        <v>45674</v>
      </c>
      <c r="C18" s="7">
        <v>10651</v>
      </c>
      <c r="D18" s="7">
        <v>51355</v>
      </c>
      <c r="E18" s="7">
        <v>19000</v>
      </c>
      <c r="F18" s="7">
        <v>1591</v>
      </c>
      <c r="G18" s="7">
        <v>13229</v>
      </c>
      <c r="H18" s="7">
        <v>9819</v>
      </c>
      <c r="I18" s="7">
        <v>76000</v>
      </c>
      <c r="J18" s="2">
        <v>17.04999923706055</v>
      </c>
      <c r="K18" s="23">
        <f t="shared" si="6"/>
        <v>250376.712</v>
      </c>
      <c r="L18" s="23">
        <f t="shared" si="8"/>
        <v>18.926352105223373</v>
      </c>
      <c r="M18" s="13" t="s">
        <v>9</v>
      </c>
      <c r="N18" s="7">
        <v>124932</v>
      </c>
      <c r="O18" s="7">
        <v>67503</v>
      </c>
      <c r="P18" s="7">
        <f t="shared" si="1"/>
        <v>76707.954545454544</v>
      </c>
      <c r="Q18" s="7">
        <v>8943</v>
      </c>
      <c r="R18" s="7">
        <v>0</v>
      </c>
      <c r="S18" s="7">
        <f t="shared" si="2"/>
        <v>0</v>
      </c>
      <c r="T18" s="7">
        <v>5701</v>
      </c>
      <c r="U18" s="7">
        <f t="shared" si="3"/>
        <v>556614.87136363634</v>
      </c>
      <c r="V18" s="7">
        <f t="shared" si="4"/>
        <v>97.634602940472959</v>
      </c>
      <c r="W18" s="14" t="s">
        <v>10</v>
      </c>
      <c r="X18" s="7">
        <v>114000</v>
      </c>
      <c r="Y18" s="7">
        <v>1287727.2727272727</v>
      </c>
      <c r="Z18" s="7">
        <v>1291090.9090909092</v>
      </c>
      <c r="AA18" s="7">
        <v>6269</v>
      </c>
      <c r="AB18" s="7">
        <v>3301</v>
      </c>
      <c r="AC18" s="7">
        <v>0</v>
      </c>
      <c r="AD18" s="7">
        <v>1079998.92</v>
      </c>
      <c r="AE18" s="7">
        <v>62500</v>
      </c>
      <c r="AF18" s="7">
        <v>11817.094939613342</v>
      </c>
      <c r="AG18" s="7">
        <f t="shared" si="7"/>
        <v>198459.62016363634</v>
      </c>
      <c r="AH18" s="1">
        <f t="shared" si="5"/>
        <v>16.794281604555678</v>
      </c>
    </row>
    <row r="19" spans="1:34" x14ac:dyDescent="0.25">
      <c r="A19" s="13" t="s">
        <v>0</v>
      </c>
      <c r="B19" s="19">
        <v>45675</v>
      </c>
      <c r="C19" s="7">
        <v>16942</v>
      </c>
      <c r="D19" s="7">
        <v>55950</v>
      </c>
      <c r="E19" s="7">
        <v>0</v>
      </c>
      <c r="F19" s="7">
        <v>0</v>
      </c>
      <c r="G19" s="7">
        <v>8658</v>
      </c>
      <c r="H19" s="7">
        <v>9049</v>
      </c>
      <c r="I19" s="7">
        <v>0</v>
      </c>
      <c r="J19" s="2">
        <v>18.39999961853027</v>
      </c>
      <c r="K19" s="23">
        <f t="shared" si="6"/>
        <v>168190.304</v>
      </c>
      <c r="L19" s="23">
        <f t="shared" si="8"/>
        <v>19.425999537999537</v>
      </c>
      <c r="M19" s="13" t="s">
        <v>9</v>
      </c>
      <c r="N19" s="7">
        <v>122608</v>
      </c>
      <c r="O19" s="7">
        <v>67570</v>
      </c>
      <c r="P19" s="7">
        <f t="shared" si="1"/>
        <v>76784.090909090912</v>
      </c>
      <c r="Q19" s="7">
        <v>8712</v>
      </c>
      <c r="R19" s="7">
        <v>0</v>
      </c>
      <c r="S19" s="7">
        <f t="shared" si="2"/>
        <v>0</v>
      </c>
      <c r="T19" s="7">
        <v>4908</v>
      </c>
      <c r="U19" s="7">
        <f t="shared" si="3"/>
        <v>554740.01727272733</v>
      </c>
      <c r="V19" s="7">
        <f t="shared" si="4"/>
        <v>113.02771338075129</v>
      </c>
      <c r="W19" s="14" t="s">
        <v>10</v>
      </c>
      <c r="X19" s="7">
        <v>154480</v>
      </c>
      <c r="Y19" s="7">
        <v>1044818.1818181818</v>
      </c>
      <c r="Z19" s="7">
        <v>1145545.4545454546</v>
      </c>
      <c r="AA19" s="7">
        <v>6395</v>
      </c>
      <c r="AB19" s="7">
        <v>4059</v>
      </c>
      <c r="AC19" s="7">
        <v>0</v>
      </c>
      <c r="AD19" s="7">
        <v>1248397.92</v>
      </c>
      <c r="AE19" s="7">
        <v>125000</v>
      </c>
      <c r="AF19" s="7">
        <v>11903.939876937866</v>
      </c>
      <c r="AG19" s="7">
        <f t="shared" si="7"/>
        <v>219864.14152727273</v>
      </c>
      <c r="AH19" s="1">
        <f t="shared" si="5"/>
        <v>18.469863238575925</v>
      </c>
    </row>
    <row r="20" spans="1:34" x14ac:dyDescent="0.25">
      <c r="A20" s="13" t="s">
        <v>0</v>
      </c>
      <c r="B20" s="19">
        <v>45676</v>
      </c>
      <c r="C20" s="7">
        <v>11916</v>
      </c>
      <c r="D20" s="7">
        <v>39932</v>
      </c>
      <c r="E20" s="7">
        <v>0</v>
      </c>
      <c r="F20" s="7">
        <v>748</v>
      </c>
      <c r="G20" s="7">
        <v>10905</v>
      </c>
      <c r="H20" s="7">
        <v>9466</v>
      </c>
      <c r="I20" s="7">
        <v>0</v>
      </c>
      <c r="J20" s="2">
        <v>20.95000076293945</v>
      </c>
      <c r="K20" s="23">
        <f t="shared" si="6"/>
        <v>122371.552</v>
      </c>
      <c r="L20" s="23">
        <f t="shared" si="8"/>
        <v>11.221600366804218</v>
      </c>
      <c r="M20" s="13" t="s">
        <v>9</v>
      </c>
      <c r="N20" s="7">
        <v>121344</v>
      </c>
      <c r="O20" s="7">
        <v>63673</v>
      </c>
      <c r="P20" s="7">
        <f t="shared" si="1"/>
        <v>72355.681818181823</v>
      </c>
      <c r="Q20" s="7">
        <v>8470</v>
      </c>
      <c r="R20" s="7">
        <v>0</v>
      </c>
      <c r="S20" s="7">
        <f t="shared" si="2"/>
        <v>0</v>
      </c>
      <c r="T20" s="7">
        <v>4719</v>
      </c>
      <c r="U20" s="7">
        <f t="shared" si="3"/>
        <v>527208.29954545456</v>
      </c>
      <c r="V20" s="7">
        <f t="shared" si="4"/>
        <v>111.72034319674816</v>
      </c>
      <c r="W20" s="14" t="s">
        <v>10</v>
      </c>
      <c r="X20" s="7">
        <v>153820</v>
      </c>
      <c r="Y20" s="7">
        <v>1115818.1818181816</v>
      </c>
      <c r="Z20" s="7">
        <v>1231545.4545454546</v>
      </c>
      <c r="AA20" s="7">
        <v>6318</v>
      </c>
      <c r="AB20" s="7">
        <v>4322</v>
      </c>
      <c r="AC20" s="7">
        <v>0</v>
      </c>
      <c r="AD20" s="7">
        <v>1345695.12</v>
      </c>
      <c r="AE20" s="7">
        <v>137500</v>
      </c>
      <c r="AF20" s="7">
        <v>12524.960064697265</v>
      </c>
      <c r="AG20" s="7">
        <f t="shared" si="7"/>
        <v>227362.7995272727</v>
      </c>
      <c r="AH20" s="1">
        <f t="shared" si="5"/>
        <v>18.152776404302905</v>
      </c>
    </row>
    <row r="21" spans="1:34" x14ac:dyDescent="0.25">
      <c r="A21" s="13" t="s">
        <v>0</v>
      </c>
      <c r="B21" s="19">
        <v>45677</v>
      </c>
      <c r="C21" s="8">
        <v>14658</v>
      </c>
      <c r="D21" s="8">
        <v>20000</v>
      </c>
      <c r="E21" s="8">
        <v>15000</v>
      </c>
      <c r="F21" s="8">
        <v>0</v>
      </c>
      <c r="G21" s="8">
        <v>14979</v>
      </c>
      <c r="H21" s="8">
        <v>2630</v>
      </c>
      <c r="I21" s="8">
        <v>61224</v>
      </c>
      <c r="J21" s="2">
        <v>24.89999961853027</v>
      </c>
      <c r="K21" s="23">
        <f t="shared" si="6"/>
        <v>229539.89600000001</v>
      </c>
      <c r="L21" s="23">
        <f t="shared" si="8"/>
        <v>15.324113492222445</v>
      </c>
      <c r="M21" s="13" t="s">
        <v>9</v>
      </c>
      <c r="N21" s="8">
        <v>121884</v>
      </c>
      <c r="O21" s="8">
        <v>64399</v>
      </c>
      <c r="P21" s="7">
        <f t="shared" si="1"/>
        <v>73180.681818181823</v>
      </c>
      <c r="Q21" s="8">
        <v>7722</v>
      </c>
      <c r="R21" s="8">
        <v>0</v>
      </c>
      <c r="S21" s="7">
        <f t="shared" si="2"/>
        <v>0</v>
      </c>
      <c r="T21" s="8">
        <v>4675</v>
      </c>
      <c r="U21" s="7">
        <f t="shared" si="3"/>
        <v>529183.04954545456</v>
      </c>
      <c r="V21" s="7">
        <f t="shared" si="4"/>
        <v>113.19423519688867</v>
      </c>
      <c r="W21" s="14" t="s">
        <v>10</v>
      </c>
      <c r="X21" s="8">
        <v>108310</v>
      </c>
      <c r="Y21" s="8">
        <v>653090.90909090906</v>
      </c>
      <c r="Z21" s="8">
        <v>725818.18181818188</v>
      </c>
      <c r="AA21" s="8">
        <v>5257</v>
      </c>
      <c r="AB21" s="8">
        <v>3892</v>
      </c>
      <c r="AC21" s="8">
        <v>0</v>
      </c>
      <c r="AD21" s="8">
        <v>786289.67999999993</v>
      </c>
      <c r="AE21" s="8">
        <v>87500</v>
      </c>
      <c r="AF21" s="8">
        <v>7209.3559402465817</v>
      </c>
      <c r="AG21" s="7">
        <f t="shared" si="7"/>
        <v>155621.91792727273</v>
      </c>
      <c r="AH21" s="1">
        <f t="shared" si="5"/>
        <v>21.586105501950012</v>
      </c>
    </row>
    <row r="22" spans="1:34" x14ac:dyDescent="0.25">
      <c r="A22" s="13" t="s">
        <v>0</v>
      </c>
      <c r="B22" s="19">
        <v>45678</v>
      </c>
      <c r="C22" s="7">
        <v>11782</v>
      </c>
      <c r="D22" s="7">
        <v>0</v>
      </c>
      <c r="E22" s="7">
        <v>7000</v>
      </c>
      <c r="F22" s="7">
        <v>2087</v>
      </c>
      <c r="G22" s="7">
        <v>17206</v>
      </c>
      <c r="H22" s="7">
        <v>0</v>
      </c>
      <c r="I22" s="7">
        <v>28000</v>
      </c>
      <c r="J22" s="2">
        <v>24.14999961853027</v>
      </c>
      <c r="K22" s="23">
        <f t="shared" si="6"/>
        <v>151732.38400000002</v>
      </c>
      <c r="L22" s="23">
        <f t="shared" si="8"/>
        <v>8.818573985818901</v>
      </c>
      <c r="M22" s="13" t="s">
        <v>9</v>
      </c>
      <c r="N22" s="7">
        <v>110104</v>
      </c>
      <c r="O22" s="7">
        <v>60012</v>
      </c>
      <c r="P22" s="7">
        <f t="shared" si="1"/>
        <v>68195.454545454544</v>
      </c>
      <c r="Q22" s="7">
        <v>4356</v>
      </c>
      <c r="R22" s="7">
        <v>0</v>
      </c>
      <c r="S22" s="7">
        <f t="shared" si="2"/>
        <v>0</v>
      </c>
      <c r="T22" s="7">
        <v>5483</v>
      </c>
      <c r="U22" s="7">
        <f t="shared" si="3"/>
        <v>479189.45636363636</v>
      </c>
      <c r="V22" s="7">
        <f t="shared" si="4"/>
        <v>87.395487208396204</v>
      </c>
      <c r="W22" s="14" t="s">
        <v>10</v>
      </c>
      <c r="X22" s="7">
        <v>151390</v>
      </c>
      <c r="Y22" s="7">
        <v>1044636.3636363636</v>
      </c>
      <c r="Z22" s="7">
        <v>1152272.7272727273</v>
      </c>
      <c r="AA22" s="7">
        <v>5321</v>
      </c>
      <c r="AB22" s="7">
        <v>3839</v>
      </c>
      <c r="AC22" s="7">
        <v>0</v>
      </c>
      <c r="AD22" s="7">
        <v>1247756.4000000001</v>
      </c>
      <c r="AE22" s="7">
        <v>112500</v>
      </c>
      <c r="AF22" s="7">
        <v>11558.314988136292</v>
      </c>
      <c r="AG22" s="7">
        <f t="shared" si="7"/>
        <v>213387.90963636362</v>
      </c>
      <c r="AH22" s="1">
        <f t="shared" si="5"/>
        <v>18.461852774854265</v>
      </c>
    </row>
    <row r="23" spans="1:34" x14ac:dyDescent="0.25">
      <c r="A23" s="13" t="s">
        <v>0</v>
      </c>
      <c r="B23" s="19">
        <v>45679</v>
      </c>
      <c r="C23" s="7">
        <v>5679</v>
      </c>
      <c r="D23" s="7">
        <v>40000</v>
      </c>
      <c r="E23" s="7">
        <v>16000</v>
      </c>
      <c r="F23" s="7">
        <v>2449</v>
      </c>
      <c r="G23" s="7">
        <v>16777</v>
      </c>
      <c r="H23" s="7">
        <v>0</v>
      </c>
      <c r="I23" s="7">
        <v>64000</v>
      </c>
      <c r="J23" s="2">
        <v>21.5</v>
      </c>
      <c r="K23" s="23">
        <f t="shared" si="6"/>
        <v>188145.14799999999</v>
      </c>
      <c r="L23" s="23">
        <f t="shared" si="8"/>
        <v>11.214469094593788</v>
      </c>
      <c r="M23" s="13" t="s">
        <v>9</v>
      </c>
      <c r="N23" s="7">
        <v>25584</v>
      </c>
      <c r="O23" s="7">
        <v>3965</v>
      </c>
      <c r="P23" s="7">
        <f t="shared" si="1"/>
        <v>4505.681818181818</v>
      </c>
      <c r="Q23" s="7">
        <v>154</v>
      </c>
      <c r="R23" s="7">
        <v>0</v>
      </c>
      <c r="S23" s="7">
        <f t="shared" si="2"/>
        <v>0</v>
      </c>
      <c r="T23" s="7">
        <v>635</v>
      </c>
      <c r="U23" s="7">
        <f t="shared" si="3"/>
        <v>41717.599545454548</v>
      </c>
      <c r="V23" s="7">
        <f t="shared" si="4"/>
        <v>65.697007158196143</v>
      </c>
      <c r="W23" s="14" t="s">
        <v>10</v>
      </c>
      <c r="X23" s="7">
        <v>153500</v>
      </c>
      <c r="Y23" s="7">
        <v>1100818.1818181819</v>
      </c>
      <c r="Z23" s="7">
        <v>1221545.4545454546</v>
      </c>
      <c r="AA23" s="7">
        <v>5310</v>
      </c>
      <c r="AB23" s="7">
        <v>3742</v>
      </c>
      <c r="AC23" s="7">
        <v>0</v>
      </c>
      <c r="AD23" s="7">
        <v>1320141.24</v>
      </c>
      <c r="AE23" s="7">
        <v>100000</v>
      </c>
      <c r="AF23" s="7">
        <v>12163.296112060547</v>
      </c>
      <c r="AG23" s="7">
        <f t="shared" si="7"/>
        <v>218434.89132727269</v>
      </c>
      <c r="AH23" s="1">
        <f t="shared" si="5"/>
        <v>17.958527796645765</v>
      </c>
    </row>
    <row r="24" spans="1:34" x14ac:dyDescent="0.25">
      <c r="A24" s="13" t="s">
        <v>0</v>
      </c>
      <c r="B24" s="19">
        <v>45680</v>
      </c>
      <c r="C24" s="7">
        <v>12861</v>
      </c>
      <c r="D24" s="7">
        <v>30000</v>
      </c>
      <c r="E24" s="7">
        <v>25000</v>
      </c>
      <c r="F24" s="7">
        <v>2758</v>
      </c>
      <c r="G24" s="7">
        <v>17967</v>
      </c>
      <c r="H24" s="7">
        <v>4514</v>
      </c>
      <c r="I24" s="7">
        <v>100000</v>
      </c>
      <c r="J24" s="2">
        <v>22.75</v>
      </c>
      <c r="K24" s="23">
        <f t="shared" si="6"/>
        <v>301732.33199999999</v>
      </c>
      <c r="L24" s="23">
        <f t="shared" si="8"/>
        <v>16.793695775588578</v>
      </c>
      <c r="M24" s="13" t="s">
        <v>9</v>
      </c>
      <c r="N24" s="7">
        <v>110100</v>
      </c>
      <c r="O24" s="7">
        <v>42278</v>
      </c>
      <c r="P24" s="7">
        <f t="shared" si="1"/>
        <v>48043.181818181816</v>
      </c>
      <c r="Q24" s="7">
        <v>5742</v>
      </c>
      <c r="R24" s="7">
        <v>0</v>
      </c>
      <c r="S24" s="7">
        <f t="shared" si="2"/>
        <v>0</v>
      </c>
      <c r="T24" s="7">
        <v>4666</v>
      </c>
      <c r="U24" s="7">
        <f t="shared" si="3"/>
        <v>367681.80454545456</v>
      </c>
      <c r="V24" s="7">
        <f t="shared" si="4"/>
        <v>78.800215290496055</v>
      </c>
      <c r="W24" s="14" t="s">
        <v>10</v>
      </c>
      <c r="X24" s="7">
        <v>141410</v>
      </c>
      <c r="Y24" s="7">
        <v>939909.09090909082</v>
      </c>
      <c r="Z24" s="7">
        <v>1020818.1818181818</v>
      </c>
      <c r="AA24" s="7">
        <v>4766</v>
      </c>
      <c r="AB24" s="7">
        <v>3261</v>
      </c>
      <c r="AC24" s="7">
        <v>751</v>
      </c>
      <c r="AD24" s="7">
        <v>1109508.8400000001</v>
      </c>
      <c r="AE24" s="7">
        <v>87499.999999999985</v>
      </c>
      <c r="AF24" s="7">
        <v>10451.794914245605</v>
      </c>
      <c r="AG24" s="7">
        <f t="shared" si="7"/>
        <v>192654.52350909091</v>
      </c>
      <c r="AH24" s="1">
        <f t="shared" si="5"/>
        <v>18.432673535002714</v>
      </c>
    </row>
    <row r="25" spans="1:34" x14ac:dyDescent="0.25">
      <c r="A25" s="13" t="s">
        <v>0</v>
      </c>
      <c r="B25" s="19">
        <v>45681</v>
      </c>
      <c r="C25" s="7">
        <v>13976</v>
      </c>
      <c r="D25" s="7">
        <v>30000</v>
      </c>
      <c r="E25" s="7">
        <v>15000</v>
      </c>
      <c r="F25" s="7">
        <v>863</v>
      </c>
      <c r="G25" s="7">
        <v>15042</v>
      </c>
      <c r="H25" s="7">
        <v>3323</v>
      </c>
      <c r="I25" s="7">
        <v>62500</v>
      </c>
      <c r="J25" s="2">
        <v>21.70000076293945</v>
      </c>
      <c r="K25" s="23">
        <f t="shared" si="6"/>
        <v>234190.712</v>
      </c>
      <c r="L25" s="23">
        <f t="shared" si="8"/>
        <v>15.569120595665471</v>
      </c>
      <c r="M25" s="13" t="s">
        <v>9</v>
      </c>
      <c r="N25" s="7">
        <v>111904</v>
      </c>
      <c r="O25" s="7">
        <v>63038</v>
      </c>
      <c r="P25" s="7">
        <f t="shared" si="1"/>
        <v>71634.090909090912</v>
      </c>
      <c r="Q25" s="7">
        <v>0</v>
      </c>
      <c r="R25" s="7">
        <v>0</v>
      </c>
      <c r="S25" s="7">
        <f t="shared" si="2"/>
        <v>0</v>
      </c>
      <c r="T25" s="7">
        <v>5311</v>
      </c>
      <c r="U25" s="7">
        <f t="shared" si="3"/>
        <v>481957.99727272731</v>
      </c>
      <c r="V25" s="7">
        <f t="shared" si="4"/>
        <v>90.747128087502787</v>
      </c>
      <c r="W25" s="14" t="s">
        <v>10</v>
      </c>
      <c r="X25" s="7">
        <v>53600</v>
      </c>
      <c r="Y25" s="7">
        <v>178090.90909090909</v>
      </c>
      <c r="Z25" s="7">
        <v>197181.81818181818</v>
      </c>
      <c r="AA25" s="7">
        <v>0</v>
      </c>
      <c r="AB25" s="7">
        <v>3433</v>
      </c>
      <c r="AC25" s="7">
        <v>3673</v>
      </c>
      <c r="AD25" s="7">
        <v>215550.72</v>
      </c>
      <c r="AE25" s="7">
        <v>0</v>
      </c>
      <c r="AF25" s="7">
        <v>2013.2590248107911</v>
      </c>
      <c r="AG25" s="7">
        <f t="shared" si="7"/>
        <v>62871.669890909092</v>
      </c>
      <c r="AH25" s="1">
        <f t="shared" si="5"/>
        <v>31.228803207186846</v>
      </c>
    </row>
    <row r="26" spans="1:34" x14ac:dyDescent="0.25">
      <c r="A26" s="13" t="s">
        <v>0</v>
      </c>
      <c r="B26" s="19">
        <v>45682</v>
      </c>
      <c r="C26" s="8">
        <v>14507</v>
      </c>
      <c r="D26" s="8">
        <v>30000</v>
      </c>
      <c r="E26" s="8">
        <v>22500</v>
      </c>
      <c r="F26" s="8">
        <v>900</v>
      </c>
      <c r="G26" s="8">
        <v>15078</v>
      </c>
      <c r="H26" s="8">
        <v>0</v>
      </c>
      <c r="I26" s="8">
        <v>90000</v>
      </c>
      <c r="J26" s="2">
        <v>22.25</v>
      </c>
      <c r="K26" s="23">
        <f t="shared" si="6"/>
        <v>288880.08400000003</v>
      </c>
      <c r="L26" s="23">
        <f t="shared" si="8"/>
        <v>19.159045231463061</v>
      </c>
      <c r="M26" s="13" t="s">
        <v>9</v>
      </c>
      <c r="N26" s="8">
        <v>110088</v>
      </c>
      <c r="O26" s="8">
        <v>64141</v>
      </c>
      <c r="P26" s="7">
        <f t="shared" si="1"/>
        <v>72887.5</v>
      </c>
      <c r="Q26" s="8">
        <v>0</v>
      </c>
      <c r="R26" s="8">
        <v>0</v>
      </c>
      <c r="S26" s="7">
        <f t="shared" si="2"/>
        <v>0</v>
      </c>
      <c r="T26" s="8">
        <v>4893</v>
      </c>
      <c r="U26" s="7">
        <f t="shared" si="3"/>
        <v>488202.065</v>
      </c>
      <c r="V26" s="7">
        <f t="shared" si="4"/>
        <v>99.77561107704885</v>
      </c>
      <c r="W26" s="14" t="s">
        <v>10</v>
      </c>
      <c r="X26" s="8">
        <v>136170</v>
      </c>
      <c r="Y26" s="8">
        <v>899000</v>
      </c>
      <c r="Z26" s="8">
        <v>993090.90909090894</v>
      </c>
      <c r="AA26" s="8">
        <v>233</v>
      </c>
      <c r="AB26" s="8">
        <v>3476</v>
      </c>
      <c r="AC26" s="8">
        <v>3640</v>
      </c>
      <c r="AD26" s="8">
        <v>1086093.3600000001</v>
      </c>
      <c r="AE26" s="8">
        <v>75000</v>
      </c>
      <c r="AF26" s="8">
        <v>10250.624895095825</v>
      </c>
      <c r="AG26" s="7">
        <f t="shared" si="7"/>
        <v>174124.40949090911</v>
      </c>
      <c r="AH26" s="1">
        <f t="shared" si="5"/>
        <v>16.986711666155582</v>
      </c>
    </row>
    <row r="27" spans="1:34" x14ac:dyDescent="0.25">
      <c r="A27" s="13" t="s">
        <v>0</v>
      </c>
      <c r="B27" s="19">
        <v>45683</v>
      </c>
      <c r="C27" s="7">
        <v>14987</v>
      </c>
      <c r="D27" s="7">
        <v>30000</v>
      </c>
      <c r="E27" s="7">
        <v>0</v>
      </c>
      <c r="F27" s="7">
        <v>1721</v>
      </c>
      <c r="G27" s="7">
        <v>8267</v>
      </c>
      <c r="H27" s="7">
        <v>3684</v>
      </c>
      <c r="I27" s="7">
        <v>0</v>
      </c>
      <c r="J27" s="2">
        <v>21.95000076293945</v>
      </c>
      <c r="K27" s="23">
        <f t="shared" si="6"/>
        <v>146080.84400000001</v>
      </c>
      <c r="L27" s="23">
        <f t="shared" si="8"/>
        <v>17.670357324301442</v>
      </c>
      <c r="M27" s="13" t="s">
        <v>9</v>
      </c>
      <c r="N27" s="7">
        <v>111612</v>
      </c>
      <c r="O27" s="7">
        <v>67894</v>
      </c>
      <c r="P27" s="7">
        <f t="shared" si="1"/>
        <v>77152.272727272721</v>
      </c>
      <c r="Q27" s="7">
        <v>0</v>
      </c>
      <c r="R27" s="7">
        <v>0</v>
      </c>
      <c r="S27" s="7">
        <f t="shared" si="2"/>
        <v>0</v>
      </c>
      <c r="T27" s="7">
        <v>5296</v>
      </c>
      <c r="U27" s="7">
        <f t="shared" si="3"/>
        <v>513915.49181818182</v>
      </c>
      <c r="V27" s="7">
        <f t="shared" si="4"/>
        <v>97.038423681680854</v>
      </c>
      <c r="W27" s="14" t="s">
        <v>10</v>
      </c>
      <c r="X27" s="7">
        <v>152720</v>
      </c>
      <c r="Y27" s="7">
        <v>1078818.1818181819</v>
      </c>
      <c r="Z27" s="7">
        <v>1222090.9090909092</v>
      </c>
      <c r="AA27" s="7">
        <v>3534</v>
      </c>
      <c r="AB27" s="7">
        <v>3509</v>
      </c>
      <c r="AC27" s="7">
        <v>2715</v>
      </c>
      <c r="AD27" s="7">
        <v>1298757.24</v>
      </c>
      <c r="AE27" s="7">
        <v>87500</v>
      </c>
      <c r="AF27" s="7">
        <v>12422.214025497437</v>
      </c>
      <c r="AG27" s="7">
        <f t="shared" si="7"/>
        <v>209996.68587272728</v>
      </c>
      <c r="AH27" s="1">
        <f t="shared" si="5"/>
        <v>16.904932199823222</v>
      </c>
    </row>
    <row r="28" spans="1:34" x14ac:dyDescent="0.25">
      <c r="A28" s="13" t="s">
        <v>0</v>
      </c>
      <c r="B28" s="19">
        <v>45684</v>
      </c>
      <c r="C28" s="26">
        <v>15189.333333333023</v>
      </c>
      <c r="D28" s="26">
        <v>32604.5</v>
      </c>
      <c r="E28" s="7">
        <v>0</v>
      </c>
      <c r="F28" s="7">
        <v>0</v>
      </c>
      <c r="G28" s="26">
        <v>9404.1666666679084</v>
      </c>
      <c r="H28" s="26">
        <v>3589.6666666665114</v>
      </c>
      <c r="I28" s="7">
        <v>0</v>
      </c>
      <c r="J28" s="2">
        <v>19.29999923706055</v>
      </c>
      <c r="K28" s="23">
        <f t="shared" si="6"/>
        <v>140607.54866666417</v>
      </c>
      <c r="L28" s="23">
        <f t="shared" si="8"/>
        <v>14.951622365970289</v>
      </c>
      <c r="M28" s="13" t="s">
        <v>9</v>
      </c>
      <c r="N28" s="7">
        <v>111210</v>
      </c>
      <c r="O28" s="7">
        <v>66140</v>
      </c>
      <c r="P28" s="7">
        <f t="shared" si="1"/>
        <v>75159.090909090912</v>
      </c>
      <c r="Q28" s="7">
        <v>0</v>
      </c>
      <c r="R28" s="7">
        <v>0</v>
      </c>
      <c r="S28" s="7">
        <f t="shared" si="2"/>
        <v>0</v>
      </c>
      <c r="T28" s="7">
        <v>5026</v>
      </c>
      <c r="U28" s="7">
        <f t="shared" si="3"/>
        <v>502078.02727272728</v>
      </c>
      <c r="V28" s="7">
        <f t="shared" si="4"/>
        <v>99.896145497956084</v>
      </c>
      <c r="W28" s="14" t="s">
        <v>10</v>
      </c>
      <c r="X28" s="7">
        <v>143000</v>
      </c>
      <c r="Y28" s="7">
        <v>862727.27272727271</v>
      </c>
      <c r="Z28" s="7">
        <v>971181.81818181812</v>
      </c>
      <c r="AA28" s="7">
        <v>5697</v>
      </c>
      <c r="AB28" s="7">
        <v>2928</v>
      </c>
      <c r="AC28" s="7">
        <v>0</v>
      </c>
      <c r="AD28" s="7">
        <v>1042363.0800000001</v>
      </c>
      <c r="AE28" s="7">
        <v>37500</v>
      </c>
      <c r="AF28" s="7">
        <v>9837.8280807495121</v>
      </c>
      <c r="AG28" s="7">
        <f t="shared" si="7"/>
        <v>187659.49165454545</v>
      </c>
      <c r="AH28" s="1">
        <f t="shared" si="5"/>
        <v>19.07529691657798</v>
      </c>
    </row>
    <row r="29" spans="1:34" x14ac:dyDescent="0.25">
      <c r="A29" s="13" t="s">
        <v>0</v>
      </c>
      <c r="B29" s="19">
        <v>45685</v>
      </c>
      <c r="C29" s="26">
        <v>15391.666666666046</v>
      </c>
      <c r="D29" s="26">
        <v>35209</v>
      </c>
      <c r="E29" s="7">
        <v>0</v>
      </c>
      <c r="F29" s="7">
        <v>687</v>
      </c>
      <c r="G29" s="26">
        <v>10541.333333332092</v>
      </c>
      <c r="H29" s="26">
        <v>3495.3333333330229</v>
      </c>
      <c r="I29" s="7">
        <v>0</v>
      </c>
      <c r="J29" s="2">
        <v>22.25</v>
      </c>
      <c r="K29" s="23">
        <f t="shared" si="6"/>
        <v>147174.25333332835</v>
      </c>
      <c r="L29" s="23">
        <f t="shared" si="8"/>
        <v>13.961635466735299</v>
      </c>
      <c r="M29" s="13" t="s">
        <v>9</v>
      </c>
      <c r="N29" s="7">
        <v>110800</v>
      </c>
      <c r="O29" s="7">
        <v>68562</v>
      </c>
      <c r="P29" s="7">
        <f t="shared" si="1"/>
        <v>77911.363636363632</v>
      </c>
      <c r="Q29" s="7">
        <v>0</v>
      </c>
      <c r="R29" s="7">
        <v>0</v>
      </c>
      <c r="S29" s="7">
        <f t="shared" si="2"/>
        <v>0</v>
      </c>
      <c r="T29" s="7">
        <v>5276</v>
      </c>
      <c r="U29" s="7">
        <f t="shared" si="3"/>
        <v>517863.95909090905</v>
      </c>
      <c r="V29" s="7">
        <f t="shared" si="4"/>
        <v>98.154654869391408</v>
      </c>
      <c r="W29" s="14" t="s">
        <v>10</v>
      </c>
      <c r="X29" s="7">
        <v>152980</v>
      </c>
      <c r="Y29" s="7">
        <v>1026090.9090909091</v>
      </c>
      <c r="Z29" s="7">
        <v>1141272.7272727273</v>
      </c>
      <c r="AA29" s="7">
        <v>5291</v>
      </c>
      <c r="AB29" s="7">
        <v>4653</v>
      </c>
      <c r="AC29" s="7">
        <v>0</v>
      </c>
      <c r="AD29" s="7">
        <v>1240272</v>
      </c>
      <c r="AE29" s="7">
        <v>100000</v>
      </c>
      <c r="AF29" s="7">
        <v>11841.361134529114</v>
      </c>
      <c r="AG29" s="7">
        <f t="shared" si="7"/>
        <v>216734.79818181816</v>
      </c>
      <c r="AH29" s="1">
        <f t="shared" si="5"/>
        <v>18.303199752081277</v>
      </c>
    </row>
    <row r="30" spans="1:34" x14ac:dyDescent="0.25">
      <c r="A30" s="13" t="s">
        <v>0</v>
      </c>
      <c r="B30" s="19">
        <v>45686</v>
      </c>
      <c r="C30" s="26">
        <v>15594</v>
      </c>
      <c r="D30" s="26">
        <v>37813.5</v>
      </c>
      <c r="E30" s="7">
        <v>0</v>
      </c>
      <c r="F30" s="7">
        <v>700</v>
      </c>
      <c r="G30" s="26">
        <v>11678.5</v>
      </c>
      <c r="H30" s="26">
        <v>3401</v>
      </c>
      <c r="I30" s="7">
        <v>0</v>
      </c>
      <c r="J30" s="2">
        <v>13.39999961853027</v>
      </c>
      <c r="K30" s="23">
        <f t="shared" si="6"/>
        <v>150370.95800000001</v>
      </c>
      <c r="L30" s="23">
        <f t="shared" si="8"/>
        <v>12.875879436571479</v>
      </c>
      <c r="M30" s="13" t="s">
        <v>9</v>
      </c>
      <c r="N30" s="7">
        <v>111520</v>
      </c>
      <c r="O30" s="7">
        <v>68536</v>
      </c>
      <c r="P30" s="7">
        <f t="shared" si="1"/>
        <v>77881.818181818177</v>
      </c>
      <c r="Q30" s="7">
        <v>0</v>
      </c>
      <c r="R30" s="7">
        <v>0</v>
      </c>
      <c r="S30" s="7">
        <f t="shared" si="2"/>
        <v>0</v>
      </c>
      <c r="T30" s="7">
        <v>5715</v>
      </c>
      <c r="U30" s="7">
        <f t="shared" si="3"/>
        <v>518109.54545454541</v>
      </c>
      <c r="V30" s="7">
        <f t="shared" si="4"/>
        <v>90.657838224767346</v>
      </c>
      <c r="W30" s="14" t="s">
        <v>10</v>
      </c>
      <c r="X30" s="7">
        <v>150990</v>
      </c>
      <c r="Y30" s="7">
        <v>1036909.0909090908</v>
      </c>
      <c r="Z30" s="7">
        <v>1147545.4545454546</v>
      </c>
      <c r="AA30" s="7">
        <v>4182</v>
      </c>
      <c r="AB30" s="7">
        <v>3907</v>
      </c>
      <c r="AC30" s="7">
        <v>0</v>
      </c>
      <c r="AD30" s="7">
        <v>1255133.8800000001</v>
      </c>
      <c r="AE30" s="7">
        <v>112500</v>
      </c>
      <c r="AF30" s="7">
        <v>11582.864083099365</v>
      </c>
      <c r="AG30" s="7">
        <f t="shared" si="7"/>
        <v>209818.07183636364</v>
      </c>
      <c r="AH30" s="1">
        <f t="shared" si="5"/>
        <v>18.114524208439139</v>
      </c>
    </row>
    <row r="31" spans="1:34" x14ac:dyDescent="0.25">
      <c r="A31" s="13" t="s">
        <v>0</v>
      </c>
      <c r="B31" s="19">
        <v>45687</v>
      </c>
      <c r="C31" s="26">
        <v>15796.333333333023</v>
      </c>
      <c r="D31" s="26">
        <v>40418</v>
      </c>
      <c r="E31" s="8">
        <v>0</v>
      </c>
      <c r="F31" s="7">
        <v>847</v>
      </c>
      <c r="G31" s="26">
        <v>12815.666666667908</v>
      </c>
      <c r="H31" s="26">
        <v>3306.6666666665114</v>
      </c>
      <c r="I31" s="8">
        <v>0</v>
      </c>
      <c r="J31" s="2">
        <v>13.30000019073486</v>
      </c>
      <c r="K31" s="23">
        <f t="shared" si="6"/>
        <v>154237.66266666417</v>
      </c>
      <c r="L31" s="23">
        <f t="shared" si="8"/>
        <v>12.035086950866067</v>
      </c>
      <c r="M31" s="13" t="s">
        <v>9</v>
      </c>
      <c r="N31" s="8">
        <v>75000</v>
      </c>
      <c r="O31" s="8">
        <v>30555</v>
      </c>
      <c r="P31" s="7">
        <f t="shared" si="1"/>
        <v>34721.590909090912</v>
      </c>
      <c r="Q31" s="8">
        <v>0</v>
      </c>
      <c r="R31" s="8">
        <v>0</v>
      </c>
      <c r="S31" s="7">
        <f t="shared" si="2"/>
        <v>0</v>
      </c>
      <c r="T31" s="8">
        <v>2452</v>
      </c>
      <c r="U31" s="7">
        <f t="shared" si="3"/>
        <v>245649.10227272729</v>
      </c>
      <c r="V31" s="7">
        <f t="shared" si="4"/>
        <v>100.18315753373869</v>
      </c>
      <c r="W31" s="14" t="s">
        <v>10</v>
      </c>
      <c r="X31" s="8">
        <v>129480</v>
      </c>
      <c r="Y31" s="8">
        <v>1075727.2727272727</v>
      </c>
      <c r="Z31" s="8">
        <v>1090545.4545454546</v>
      </c>
      <c r="AA31" s="8">
        <v>3476</v>
      </c>
      <c r="AB31" s="8">
        <v>5344</v>
      </c>
      <c r="AC31" s="8">
        <v>0</v>
      </c>
      <c r="AD31" s="8">
        <v>1117634.76</v>
      </c>
      <c r="AE31" s="8">
        <v>75000</v>
      </c>
      <c r="AF31" s="8">
        <v>11134.325873947144</v>
      </c>
      <c r="AG31" s="7">
        <f t="shared" si="7"/>
        <v>197941.60321818179</v>
      </c>
      <c r="AH31" s="1">
        <f t="shared" si="5"/>
        <v>17.777601038365425</v>
      </c>
    </row>
    <row r="32" spans="1:34" x14ac:dyDescent="0.25">
      <c r="A32" s="13" t="s">
        <v>0</v>
      </c>
      <c r="B32" s="19">
        <v>45688</v>
      </c>
      <c r="C32" s="26">
        <v>15998.666666666046</v>
      </c>
      <c r="D32" s="26">
        <v>43022.5</v>
      </c>
      <c r="E32" s="7">
        <v>0</v>
      </c>
      <c r="F32" s="7">
        <v>0</v>
      </c>
      <c r="G32" s="26">
        <v>13952.833333332092</v>
      </c>
      <c r="H32" s="26">
        <v>3212.3333333330229</v>
      </c>
      <c r="I32" s="7">
        <v>0</v>
      </c>
      <c r="J32" s="2">
        <v>15.64999961853027</v>
      </c>
      <c r="K32" s="23">
        <f t="shared" si="6"/>
        <v>153134.36733332835</v>
      </c>
      <c r="L32" s="23">
        <f t="shared" si="8"/>
        <v>10.975144880968642</v>
      </c>
      <c r="M32" s="13" t="s">
        <v>9</v>
      </c>
      <c r="N32" s="7">
        <v>113119.90664446354</v>
      </c>
      <c r="O32" s="7">
        <v>63837.49252249072</v>
      </c>
      <c r="P32" s="7">
        <f t="shared" si="1"/>
        <v>72542.605139193998</v>
      </c>
      <c r="Q32" s="7">
        <v>0</v>
      </c>
      <c r="R32" s="7">
        <v>0</v>
      </c>
      <c r="S32" s="7">
        <f t="shared" si="2"/>
        <v>0</v>
      </c>
      <c r="T32" s="7">
        <v>5018.4083068463951</v>
      </c>
      <c r="U32" s="7">
        <f t="shared" si="3"/>
        <v>487952.59297417628</v>
      </c>
      <c r="V32" s="7">
        <f t="shared" si="4"/>
        <v>97.232541303680662</v>
      </c>
      <c r="W32" s="14" t="s">
        <v>10</v>
      </c>
      <c r="X32" s="7">
        <v>117320</v>
      </c>
      <c r="Y32" s="7">
        <v>919363.63636363635</v>
      </c>
      <c r="Z32" s="7">
        <v>924454.54545454541</v>
      </c>
      <c r="AA32" s="7">
        <v>2774</v>
      </c>
      <c r="AB32" s="7">
        <v>4231</v>
      </c>
      <c r="AC32" s="7">
        <v>0</v>
      </c>
      <c r="AD32" s="7">
        <v>799120.08000000007</v>
      </c>
      <c r="AE32" s="7">
        <v>50000</v>
      </c>
      <c r="AF32" s="7">
        <v>8572.3329042434689</v>
      </c>
      <c r="AG32" s="7">
        <f t="shared" si="7"/>
        <v>167543.81029090908</v>
      </c>
      <c r="AH32" s="1">
        <f t="shared" si="5"/>
        <v>19.544715792357024</v>
      </c>
    </row>
    <row r="33" spans="1:34" x14ac:dyDescent="0.25">
      <c r="A33" s="13" t="s">
        <v>0</v>
      </c>
      <c r="B33" s="19">
        <v>45689</v>
      </c>
      <c r="C33" s="7">
        <v>16201</v>
      </c>
      <c r="D33" s="7">
        <v>45627</v>
      </c>
      <c r="E33" s="7">
        <v>24000</v>
      </c>
      <c r="F33" s="7">
        <v>1150</v>
      </c>
      <c r="G33" s="7">
        <v>15090</v>
      </c>
      <c r="H33" s="7">
        <v>3118</v>
      </c>
      <c r="I33" s="7">
        <v>96000</v>
      </c>
      <c r="J33" s="2">
        <v>17.64999961853027</v>
      </c>
      <c r="K33" s="23">
        <f>C33*8.101+D33*0.57+E33*6.85+F33*5</f>
        <v>327401.69099999999</v>
      </c>
      <c r="L33" s="23">
        <f t="shared" si="8"/>
        <v>21.696599801192843</v>
      </c>
      <c r="M33" s="13" t="s">
        <v>9</v>
      </c>
      <c r="N33" s="7">
        <v>113040</v>
      </c>
      <c r="O33" s="7">
        <v>68451</v>
      </c>
      <c r="P33" s="7">
        <f t="shared" si="1"/>
        <v>77785.227272727279</v>
      </c>
      <c r="Q33" s="7">
        <v>0</v>
      </c>
      <c r="R33" s="7">
        <v>0</v>
      </c>
      <c r="S33" s="7">
        <f t="shared" si="2"/>
        <v>0</v>
      </c>
      <c r="T33" s="7">
        <v>5323</v>
      </c>
      <c r="U33" s="7">
        <f>N33*0.57+P33*5.498+Q33*4.15+S33*9.055</f>
        <v>492095.97954545461</v>
      </c>
      <c r="V33" s="7">
        <f t="shared" si="4"/>
        <v>92.44711244513519</v>
      </c>
      <c r="W33" s="14" t="s">
        <v>10</v>
      </c>
      <c r="X33" s="7">
        <v>154560</v>
      </c>
      <c r="Y33" s="7">
        <v>982818.18181818188</v>
      </c>
      <c r="Z33" s="7">
        <v>1080272.7272727273</v>
      </c>
      <c r="AA33" s="7">
        <v>6114</v>
      </c>
      <c r="AB33" s="7">
        <v>3339</v>
      </c>
      <c r="AC33" s="7">
        <v>0</v>
      </c>
      <c r="AD33" s="7">
        <v>1177830.7200000002</v>
      </c>
      <c r="AE33" s="7">
        <v>75000</v>
      </c>
      <c r="AF33" s="7">
        <v>11022.987101554871</v>
      </c>
      <c r="AG33" s="7">
        <f>X33*0.57+Y33*0.0285+Z33*0.032+AA33*3+AB33*5+AD33*0.015+AE33*0.045</f>
        <v>206757.70625454545</v>
      </c>
      <c r="AH33" s="1">
        <f t="shared" si="5"/>
        <v>18.756958014164855</v>
      </c>
    </row>
    <row r="34" spans="1:34" x14ac:dyDescent="0.25">
      <c r="A34" s="13" t="s">
        <v>0</v>
      </c>
      <c r="B34" s="19">
        <v>45690</v>
      </c>
      <c r="C34" s="7">
        <v>9832</v>
      </c>
      <c r="D34" s="7">
        <v>36241</v>
      </c>
      <c r="E34" s="7">
        <v>0</v>
      </c>
      <c r="F34" s="7">
        <v>0</v>
      </c>
      <c r="G34" s="7">
        <v>7113</v>
      </c>
      <c r="H34" s="7">
        <v>4134</v>
      </c>
      <c r="I34" s="7">
        <v>0</v>
      </c>
      <c r="J34" s="2">
        <v>16.54999923706055</v>
      </c>
      <c r="K34" s="23">
        <f t="shared" ref="K34:K59" si="9">C34*8.101+D34*0.57+E34*6.85+F34*5</f>
        <v>100306.402</v>
      </c>
      <c r="L34" s="23">
        <f t="shared" si="8"/>
        <v>14.101841979474202</v>
      </c>
      <c r="M34" s="13" t="s">
        <v>9</v>
      </c>
      <c r="N34" s="7">
        <v>118048</v>
      </c>
      <c r="O34" s="7">
        <v>74173</v>
      </c>
      <c r="P34" s="7">
        <f t="shared" si="1"/>
        <v>84287.5</v>
      </c>
      <c r="Q34" s="7">
        <v>3828</v>
      </c>
      <c r="R34" s="7">
        <v>0</v>
      </c>
      <c r="S34" s="7">
        <f t="shared" si="2"/>
        <v>0</v>
      </c>
      <c r="T34" s="7">
        <v>6294</v>
      </c>
      <c r="U34" s="7">
        <f t="shared" ref="U34:U60" si="10">N34*0.57+P34*5.498+Q34*4.15+S34*9.055</f>
        <v>546586.23499999999</v>
      </c>
      <c r="V34" s="7">
        <f t="shared" si="4"/>
        <v>86.842426914521766</v>
      </c>
      <c r="W34" s="14" t="s">
        <v>10</v>
      </c>
      <c r="X34" s="7">
        <v>150360</v>
      </c>
      <c r="Y34" s="7">
        <v>1052272.7272727273</v>
      </c>
      <c r="Z34" s="7">
        <v>1153636.3636363635</v>
      </c>
      <c r="AA34" s="7">
        <v>5543</v>
      </c>
      <c r="AB34" s="7">
        <v>4402</v>
      </c>
      <c r="AC34" s="7">
        <v>0</v>
      </c>
      <c r="AD34" s="7">
        <v>1266253.56</v>
      </c>
      <c r="AE34" s="7">
        <v>100000</v>
      </c>
      <c r="AF34" s="7">
        <v>11885.373097229003</v>
      </c>
      <c r="AG34" s="7">
        <f t="shared" ref="AG34:AG91" si="11">X34*0.57+Y34*0.0285+Z34*0.032+AA34*3+AB34*5+AD34*0.015+AE34*0.045</f>
        <v>214744.13976363637</v>
      </c>
      <c r="AH34" s="1">
        <f t="shared" si="5"/>
        <v>18.067934258933995</v>
      </c>
    </row>
    <row r="35" spans="1:34" x14ac:dyDescent="0.25">
      <c r="A35" s="13" t="s">
        <v>0</v>
      </c>
      <c r="B35" s="19">
        <v>45691</v>
      </c>
      <c r="C35" s="7">
        <v>9708</v>
      </c>
      <c r="D35" s="7">
        <v>48318</v>
      </c>
      <c r="E35" s="7">
        <v>20000</v>
      </c>
      <c r="F35" s="7">
        <v>0</v>
      </c>
      <c r="G35" s="7">
        <v>2432</v>
      </c>
      <c r="H35" s="7">
        <v>7180</v>
      </c>
      <c r="I35" s="7">
        <v>83333</v>
      </c>
      <c r="J35" s="2">
        <v>15.75</v>
      </c>
      <c r="K35" s="23">
        <f t="shared" si="9"/>
        <v>243185.76799999998</v>
      </c>
      <c r="L35" s="23">
        <f t="shared" si="8"/>
        <v>99.994148026315784</v>
      </c>
      <c r="M35" s="13" t="s">
        <v>9</v>
      </c>
      <c r="N35" s="7">
        <v>112658.79091339558</v>
      </c>
      <c r="O35" s="7">
        <v>72809</v>
      </c>
      <c r="P35" s="7">
        <f t="shared" si="1"/>
        <v>82737.5</v>
      </c>
      <c r="Q35" s="7">
        <v>825</v>
      </c>
      <c r="R35" s="7">
        <v>0</v>
      </c>
      <c r="S35" s="7">
        <f t="shared" si="2"/>
        <v>0</v>
      </c>
      <c r="T35" s="7">
        <v>5974</v>
      </c>
      <c r="U35" s="7">
        <f t="shared" si="10"/>
        <v>522530.0358206355</v>
      </c>
      <c r="V35" s="7">
        <f t="shared" si="4"/>
        <v>87.467364549821809</v>
      </c>
      <c r="W35" s="14" t="s">
        <v>10</v>
      </c>
      <c r="X35" s="7">
        <v>154900</v>
      </c>
      <c r="Y35" s="7">
        <v>974909.09090909082</v>
      </c>
      <c r="Z35" s="7">
        <v>1066090.9090909092</v>
      </c>
      <c r="AA35" s="7">
        <v>4900</v>
      </c>
      <c r="AB35" s="7">
        <v>3849</v>
      </c>
      <c r="AC35" s="7">
        <v>0</v>
      </c>
      <c r="AD35" s="7">
        <v>1160937.3599999999</v>
      </c>
      <c r="AE35" s="7">
        <v>112500</v>
      </c>
      <c r="AF35" s="7">
        <v>10774.764088439941</v>
      </c>
      <c r="AG35" s="7">
        <f t="shared" si="11"/>
        <v>206614.37858181816</v>
      </c>
      <c r="AH35" s="1">
        <f t="shared" si="5"/>
        <v>19.175768201133163</v>
      </c>
    </row>
    <row r="36" spans="1:34" x14ac:dyDescent="0.25">
      <c r="A36" s="13" t="s">
        <v>0</v>
      </c>
      <c r="B36" s="19">
        <v>45692</v>
      </c>
      <c r="C36" s="7">
        <v>13565</v>
      </c>
      <c r="D36" s="7">
        <v>46246</v>
      </c>
      <c r="E36" s="7">
        <v>20000</v>
      </c>
      <c r="F36" s="7">
        <v>760</v>
      </c>
      <c r="G36" s="7">
        <v>12989</v>
      </c>
      <c r="H36" s="7">
        <v>7425</v>
      </c>
      <c r="I36" s="7">
        <v>83333</v>
      </c>
      <c r="J36" s="2">
        <v>19.20000076293945</v>
      </c>
      <c r="K36" s="23">
        <f t="shared" si="9"/>
        <v>277050.28500000003</v>
      </c>
      <c r="L36" s="23">
        <f t="shared" si="8"/>
        <v>21.329608514897224</v>
      </c>
      <c r="M36" s="13" t="s">
        <v>9</v>
      </c>
      <c r="N36" s="7">
        <v>113211.86121959239</v>
      </c>
      <c r="O36" s="7">
        <v>57839</v>
      </c>
      <c r="P36" s="7">
        <f t="shared" si="1"/>
        <v>65726.136363636368</v>
      </c>
      <c r="Q36" s="7">
        <v>2552</v>
      </c>
      <c r="R36" s="7">
        <v>0</v>
      </c>
      <c r="S36" s="7">
        <f t="shared" si="2"/>
        <v>0</v>
      </c>
      <c r="T36" s="7">
        <v>4420</v>
      </c>
      <c r="U36" s="7">
        <f t="shared" si="10"/>
        <v>436483.85862244043</v>
      </c>
      <c r="V36" s="7">
        <f t="shared" si="4"/>
        <v>98.752004213221809</v>
      </c>
      <c r="W36" s="14" t="s">
        <v>10</v>
      </c>
      <c r="X36" s="7">
        <v>156780</v>
      </c>
      <c r="Y36" s="7">
        <v>1101545.4545454546</v>
      </c>
      <c r="Z36" s="7">
        <v>1214090.9090909092</v>
      </c>
      <c r="AA36" s="7">
        <v>4300</v>
      </c>
      <c r="AB36" s="7">
        <v>3610</v>
      </c>
      <c r="AC36" s="7">
        <v>0</v>
      </c>
      <c r="AD36" s="7">
        <v>1324845.72</v>
      </c>
      <c r="AE36" s="7">
        <v>100000</v>
      </c>
      <c r="AF36" s="7">
        <v>12238.719873046875</v>
      </c>
      <c r="AG36" s="7">
        <f t="shared" si="11"/>
        <v>214932.24034545454</v>
      </c>
      <c r="AH36" s="1">
        <f t="shared" si="5"/>
        <v>17.561660253275029</v>
      </c>
    </row>
    <row r="37" spans="1:34" x14ac:dyDescent="0.25">
      <c r="A37" s="13" t="s">
        <v>0</v>
      </c>
      <c r="B37" s="19">
        <v>45693</v>
      </c>
      <c r="C37" s="8">
        <v>16426</v>
      </c>
      <c r="D37" s="8">
        <v>41455</v>
      </c>
      <c r="E37" s="8">
        <v>0</v>
      </c>
      <c r="F37" s="7">
        <v>1171</v>
      </c>
      <c r="G37" s="8">
        <v>17955</v>
      </c>
      <c r="H37" s="8">
        <v>6549</v>
      </c>
      <c r="I37" s="8">
        <v>0</v>
      </c>
      <c r="J37" s="2">
        <v>21.14999961853027</v>
      </c>
      <c r="K37" s="23">
        <f t="shared" si="9"/>
        <v>162551.37600000002</v>
      </c>
      <c r="L37" s="23">
        <f t="shared" si="8"/>
        <v>9.0532651629072696</v>
      </c>
      <c r="M37" s="13" t="s">
        <v>9</v>
      </c>
      <c r="N37" s="8">
        <v>109287.77636084706</v>
      </c>
      <c r="O37" s="8">
        <v>49377</v>
      </c>
      <c r="P37" s="7">
        <f t="shared" si="1"/>
        <v>56110.227272727272</v>
      </c>
      <c r="Q37" s="8">
        <v>2860</v>
      </c>
      <c r="R37" s="8">
        <v>0</v>
      </c>
      <c r="S37" s="7">
        <f t="shared" si="2"/>
        <v>0</v>
      </c>
      <c r="T37" s="8">
        <v>3091</v>
      </c>
      <c r="U37" s="7">
        <f t="shared" si="10"/>
        <v>382657.06207113736</v>
      </c>
      <c r="V37" s="7">
        <f t="shared" si="4"/>
        <v>123.79717310615897</v>
      </c>
      <c r="W37" s="14" t="s">
        <v>10</v>
      </c>
      <c r="X37" s="8">
        <v>156400</v>
      </c>
      <c r="Y37" s="8">
        <v>1082181.8181818181</v>
      </c>
      <c r="Z37" s="8">
        <v>1179818.1818181819</v>
      </c>
      <c r="AA37" s="8">
        <v>4266</v>
      </c>
      <c r="AB37" s="8">
        <v>4085</v>
      </c>
      <c r="AC37" s="8">
        <v>0</v>
      </c>
      <c r="AD37" s="8">
        <v>1289882.8799999999</v>
      </c>
      <c r="AE37" s="8">
        <v>112500</v>
      </c>
      <c r="AF37" s="8">
        <v>12097.859888076782</v>
      </c>
      <c r="AG37" s="7">
        <f t="shared" si="11"/>
        <v>215378.10683636362</v>
      </c>
      <c r="AH37" s="1">
        <f t="shared" si="5"/>
        <v>17.802992333266527</v>
      </c>
    </row>
    <row r="38" spans="1:34" x14ac:dyDescent="0.25">
      <c r="A38" s="13" t="s">
        <v>0</v>
      </c>
      <c r="B38" s="19">
        <v>45694</v>
      </c>
      <c r="C38" s="7">
        <v>10805</v>
      </c>
      <c r="D38" s="7">
        <v>37635</v>
      </c>
      <c r="E38" s="7">
        <v>22500</v>
      </c>
      <c r="F38" s="7">
        <v>2000</v>
      </c>
      <c r="G38" s="7">
        <v>15318</v>
      </c>
      <c r="H38" s="7">
        <v>3273</v>
      </c>
      <c r="I38" s="7">
        <v>93750</v>
      </c>
      <c r="J38" s="2">
        <v>20.45000076293945</v>
      </c>
      <c r="K38" s="23">
        <f t="shared" si="9"/>
        <v>273108.255</v>
      </c>
      <c r="L38" s="23">
        <f t="shared" si="8"/>
        <v>17.829237171954563</v>
      </c>
      <c r="M38" s="13" t="s">
        <v>9</v>
      </c>
      <c r="N38" s="7">
        <v>111379.09754350036</v>
      </c>
      <c r="O38" s="7">
        <v>60000</v>
      </c>
      <c r="P38" s="7">
        <f t="shared" si="1"/>
        <v>68181.818181818177</v>
      </c>
      <c r="Q38" s="7">
        <v>7975</v>
      </c>
      <c r="R38" s="7">
        <v>0</v>
      </c>
      <c r="S38" s="7">
        <f t="shared" si="2"/>
        <v>0</v>
      </c>
      <c r="T38" s="7">
        <v>5876</v>
      </c>
      <c r="U38" s="7">
        <f t="shared" si="10"/>
        <v>471445.97196343157</v>
      </c>
      <c r="V38" s="7">
        <f t="shared" si="4"/>
        <v>80.232466297384548</v>
      </c>
      <c r="W38" s="14" t="s">
        <v>10</v>
      </c>
      <c r="X38" s="7">
        <v>143600</v>
      </c>
      <c r="Y38" s="7">
        <v>988909.09090909094</v>
      </c>
      <c r="Z38" s="7">
        <v>1103636.3636363635</v>
      </c>
      <c r="AA38" s="7">
        <v>2722</v>
      </c>
      <c r="AB38" s="7">
        <v>4378</v>
      </c>
      <c r="AC38" s="7">
        <v>1694</v>
      </c>
      <c r="AD38" s="7">
        <v>1198787.04</v>
      </c>
      <c r="AE38" s="7">
        <v>75000</v>
      </c>
      <c r="AF38" s="7">
        <v>11232.77402305603</v>
      </c>
      <c r="AG38" s="7">
        <f t="shared" si="11"/>
        <v>196765.0783272727</v>
      </c>
      <c r="AH38" s="1">
        <f t="shared" si="5"/>
        <v>17.517051257632268</v>
      </c>
    </row>
    <row r="39" spans="1:34" x14ac:dyDescent="0.25">
      <c r="A39" s="13" t="s">
        <v>0</v>
      </c>
      <c r="B39" s="19">
        <v>45695</v>
      </c>
      <c r="C39" s="7">
        <v>17927</v>
      </c>
      <c r="D39" s="7">
        <v>40805</v>
      </c>
      <c r="E39" s="7">
        <v>20000</v>
      </c>
      <c r="F39" s="7">
        <v>1419</v>
      </c>
      <c r="G39" s="7">
        <v>13953</v>
      </c>
      <c r="H39" s="7">
        <v>5013</v>
      </c>
      <c r="I39" s="7">
        <v>83333</v>
      </c>
      <c r="J39" s="2">
        <v>20.39999961853027</v>
      </c>
      <c r="K39" s="23">
        <f t="shared" si="9"/>
        <v>312580.47700000001</v>
      </c>
      <c r="L39" s="23">
        <f t="shared" si="8"/>
        <v>22.402384935139398</v>
      </c>
      <c r="M39" s="13" t="s">
        <v>9</v>
      </c>
      <c r="N39" s="7">
        <v>121160.91136349738</v>
      </c>
      <c r="O39" s="7">
        <v>64900</v>
      </c>
      <c r="P39" s="7">
        <f t="shared" si="1"/>
        <v>73750</v>
      </c>
      <c r="Q39" s="7">
        <v>9372</v>
      </c>
      <c r="R39" s="7">
        <v>0</v>
      </c>
      <c r="S39" s="7">
        <f t="shared" si="2"/>
        <v>0</v>
      </c>
      <c r="T39" s="7">
        <v>6874</v>
      </c>
      <c r="U39" s="7">
        <f t="shared" si="10"/>
        <v>513433.01947719348</v>
      </c>
      <c r="V39" s="7">
        <f t="shared" si="4"/>
        <v>74.692030764793927</v>
      </c>
      <c r="W39" s="14" t="s">
        <v>10</v>
      </c>
      <c r="X39" s="7">
        <v>144660</v>
      </c>
      <c r="Y39" s="7">
        <v>991818.18181818188</v>
      </c>
      <c r="Z39" s="7">
        <v>1087000</v>
      </c>
      <c r="AA39" s="7">
        <v>4347</v>
      </c>
      <c r="AB39" s="7">
        <v>4089</v>
      </c>
      <c r="AC39" s="7">
        <v>0</v>
      </c>
      <c r="AD39" s="7">
        <v>1195044.8399999999</v>
      </c>
      <c r="AE39" s="7">
        <v>100000</v>
      </c>
      <c r="AF39" s="7">
        <v>10978.520988655091</v>
      </c>
      <c r="AG39" s="7">
        <f t="shared" si="11"/>
        <v>201418.69078181818</v>
      </c>
      <c r="AH39" s="1">
        <f t="shared" si="5"/>
        <v>18.346614356338058</v>
      </c>
    </row>
    <row r="40" spans="1:34" x14ac:dyDescent="0.25">
      <c r="A40" s="13" t="s">
        <v>0</v>
      </c>
      <c r="B40" s="19">
        <v>45696</v>
      </c>
      <c r="C40" s="7">
        <v>11489</v>
      </c>
      <c r="D40" s="7">
        <v>43232</v>
      </c>
      <c r="E40" s="7">
        <v>19125</v>
      </c>
      <c r="F40" s="7">
        <v>920</v>
      </c>
      <c r="G40" s="7">
        <v>14271</v>
      </c>
      <c r="H40" s="7">
        <v>3846</v>
      </c>
      <c r="I40" s="7">
        <v>78061</v>
      </c>
      <c r="J40" s="2">
        <v>21.95000076293945</v>
      </c>
      <c r="K40" s="23">
        <f t="shared" si="9"/>
        <v>253320.87900000002</v>
      </c>
      <c r="L40" s="23">
        <f t="shared" si="8"/>
        <v>17.750744797141056</v>
      </c>
      <c r="M40" s="13" t="s">
        <v>9</v>
      </c>
      <c r="N40" s="7">
        <v>118797.43844608217</v>
      </c>
      <c r="O40" s="7">
        <v>66945</v>
      </c>
      <c r="P40" s="7">
        <f t="shared" si="1"/>
        <v>76073.863636363632</v>
      </c>
      <c r="Q40" s="7">
        <v>6028</v>
      </c>
      <c r="R40" s="7">
        <v>0</v>
      </c>
      <c r="S40" s="7">
        <f t="shared" si="2"/>
        <v>0</v>
      </c>
      <c r="T40" s="7">
        <v>5906</v>
      </c>
      <c r="U40" s="7">
        <f t="shared" si="10"/>
        <v>510984.84218699415</v>
      </c>
      <c r="V40" s="7">
        <f t="shared" si="4"/>
        <v>86.519614322213712</v>
      </c>
      <c r="W40" s="14" t="s">
        <v>10</v>
      </c>
      <c r="X40" s="7">
        <v>157160</v>
      </c>
      <c r="Y40" s="7">
        <v>1164090.9090909092</v>
      </c>
      <c r="Z40" s="7">
        <v>1267363.6363636362</v>
      </c>
      <c r="AA40" s="7">
        <v>4332</v>
      </c>
      <c r="AB40" s="7">
        <v>4446</v>
      </c>
      <c r="AC40" s="7">
        <v>0</v>
      </c>
      <c r="AD40" s="7">
        <v>1382047.92</v>
      </c>
      <c r="AE40" s="7">
        <v>100000</v>
      </c>
      <c r="AF40" s="7">
        <v>12767.430065727234</v>
      </c>
      <c r="AG40" s="7">
        <f t="shared" si="11"/>
        <v>223770.14607272728</v>
      </c>
      <c r="AH40" s="1">
        <f t="shared" si="5"/>
        <v>17.526639654241279</v>
      </c>
    </row>
    <row r="41" spans="1:34" x14ac:dyDescent="0.25">
      <c r="A41" s="13" t="s">
        <v>0</v>
      </c>
      <c r="B41" s="19">
        <v>45697</v>
      </c>
      <c r="C41" s="7">
        <v>6830</v>
      </c>
      <c r="D41" s="7">
        <v>37579</v>
      </c>
      <c r="E41" s="7">
        <v>0</v>
      </c>
      <c r="F41" s="7">
        <v>1281</v>
      </c>
      <c r="G41" s="7">
        <v>8681</v>
      </c>
      <c r="H41" s="7">
        <v>6308</v>
      </c>
      <c r="I41" s="7">
        <v>0</v>
      </c>
      <c r="J41" s="2">
        <v>22.54999923706055</v>
      </c>
      <c r="K41" s="23">
        <f t="shared" si="9"/>
        <v>83154.860000000015</v>
      </c>
      <c r="L41" s="23">
        <f t="shared" si="8"/>
        <v>9.5789494297891959</v>
      </c>
      <c r="M41" s="13" t="s">
        <v>9</v>
      </c>
      <c r="N41" s="7">
        <v>111835.19610022008</v>
      </c>
      <c r="O41" s="7">
        <v>67391</v>
      </c>
      <c r="P41" s="7">
        <f t="shared" si="1"/>
        <v>76580.681818181823</v>
      </c>
      <c r="Q41" s="7">
        <v>0</v>
      </c>
      <c r="R41" s="7">
        <v>0</v>
      </c>
      <c r="S41" s="7">
        <f t="shared" si="2"/>
        <v>0</v>
      </c>
      <c r="T41" s="7">
        <v>5370</v>
      </c>
      <c r="U41" s="7">
        <f t="shared" si="10"/>
        <v>484786.65041348914</v>
      </c>
      <c r="V41" s="7">
        <f t="shared" si="4"/>
        <v>90.276843652418833</v>
      </c>
      <c r="W41" s="14" t="s">
        <v>10</v>
      </c>
      <c r="X41" s="7">
        <v>112780</v>
      </c>
      <c r="Y41" s="7">
        <v>739636.36363636353</v>
      </c>
      <c r="Z41" s="7">
        <v>813636.36363636365</v>
      </c>
      <c r="AA41" s="7">
        <v>4310</v>
      </c>
      <c r="AB41" s="7">
        <v>4779</v>
      </c>
      <c r="AC41" s="7">
        <v>0</v>
      </c>
      <c r="AD41" s="7">
        <v>890002.08000000007</v>
      </c>
      <c r="AE41" s="7">
        <v>75000</v>
      </c>
      <c r="AF41" s="7">
        <v>8286.831077384948</v>
      </c>
      <c r="AG41" s="7">
        <f t="shared" si="11"/>
        <v>164950.63119999997</v>
      </c>
      <c r="AH41" s="1">
        <f t="shared" si="5"/>
        <v>19.90515188009033</v>
      </c>
    </row>
    <row r="42" spans="1:34" x14ac:dyDescent="0.25">
      <c r="A42" s="13" t="s">
        <v>0</v>
      </c>
      <c r="B42" s="19">
        <v>45698</v>
      </c>
      <c r="C42" s="8">
        <v>13475</v>
      </c>
      <c r="D42" s="8">
        <v>39072</v>
      </c>
      <c r="E42" s="8">
        <v>36000</v>
      </c>
      <c r="F42" s="7">
        <v>375</v>
      </c>
      <c r="G42" s="8">
        <v>12904</v>
      </c>
      <c r="H42" s="8">
        <v>4643</v>
      </c>
      <c r="I42" s="8">
        <v>150000</v>
      </c>
      <c r="J42" s="2">
        <v>22.29999923706055</v>
      </c>
      <c r="K42" s="23">
        <f t="shared" si="9"/>
        <v>379907.01500000001</v>
      </c>
      <c r="L42" s="23">
        <f t="shared" si="8"/>
        <v>29.44102720086795</v>
      </c>
      <c r="M42" s="13" t="s">
        <v>9</v>
      </c>
      <c r="N42" s="8">
        <v>112000</v>
      </c>
      <c r="O42" s="8">
        <v>65625</v>
      </c>
      <c r="P42" s="7">
        <f t="shared" si="1"/>
        <v>74573.863636363632</v>
      </c>
      <c r="Q42" s="8">
        <v>0</v>
      </c>
      <c r="R42" s="8">
        <v>0</v>
      </c>
      <c r="S42" s="7">
        <f t="shared" si="2"/>
        <v>0</v>
      </c>
      <c r="T42" s="8">
        <v>5524</v>
      </c>
      <c r="U42" s="7">
        <f t="shared" si="10"/>
        <v>473847.10227272729</v>
      </c>
      <c r="V42" s="7">
        <f t="shared" si="4"/>
        <v>85.779707145678373</v>
      </c>
      <c r="W42" s="14" t="s">
        <v>10</v>
      </c>
      <c r="X42" s="8">
        <v>133340</v>
      </c>
      <c r="Y42" s="8">
        <v>778000</v>
      </c>
      <c r="Z42" s="8">
        <v>853000</v>
      </c>
      <c r="AA42" s="8">
        <v>2388</v>
      </c>
      <c r="AB42" s="8">
        <v>4407</v>
      </c>
      <c r="AC42" s="8">
        <v>0</v>
      </c>
      <c r="AD42" s="8">
        <v>933839.28</v>
      </c>
      <c r="AE42" s="8">
        <v>75000</v>
      </c>
      <c r="AF42" s="8">
        <v>8800.5359909057624</v>
      </c>
      <c r="AG42" s="7">
        <f t="shared" si="11"/>
        <v>172054.38919999998</v>
      </c>
      <c r="AH42" s="1">
        <f t="shared" si="5"/>
        <v>19.550444356775127</v>
      </c>
    </row>
    <row r="43" spans="1:34" x14ac:dyDescent="0.25">
      <c r="A43" s="13" t="s">
        <v>0</v>
      </c>
      <c r="B43" s="19">
        <v>45699</v>
      </c>
      <c r="C43" s="7">
        <v>14446</v>
      </c>
      <c r="D43" s="7">
        <v>38492</v>
      </c>
      <c r="E43" s="7">
        <v>11500</v>
      </c>
      <c r="F43" s="7">
        <v>0</v>
      </c>
      <c r="G43" s="7">
        <v>9126</v>
      </c>
      <c r="H43" s="7">
        <v>3513</v>
      </c>
      <c r="I43" s="7">
        <v>46000</v>
      </c>
      <c r="J43" s="2">
        <v>21.20000076293945</v>
      </c>
      <c r="K43" s="23">
        <f t="shared" si="9"/>
        <v>217742.486</v>
      </c>
      <c r="L43" s="23">
        <f t="shared" si="8"/>
        <v>23.859575498575499</v>
      </c>
      <c r="M43" s="13" t="s">
        <v>9</v>
      </c>
      <c r="N43" s="7">
        <v>73012.037557765841</v>
      </c>
      <c r="O43" s="7">
        <v>34474</v>
      </c>
      <c r="P43" s="7">
        <f t="shared" si="1"/>
        <v>39175</v>
      </c>
      <c r="Q43" s="7">
        <v>825</v>
      </c>
      <c r="R43" s="7">
        <v>0</v>
      </c>
      <c r="S43" s="7">
        <f t="shared" si="2"/>
        <v>0</v>
      </c>
      <c r="T43" s="7">
        <v>3095</v>
      </c>
      <c r="U43" s="7">
        <f t="shared" si="10"/>
        <v>260424.7614079265</v>
      </c>
      <c r="V43" s="7">
        <f t="shared" si="4"/>
        <v>84.143703201268664</v>
      </c>
      <c r="W43" s="14" t="s">
        <v>10</v>
      </c>
      <c r="X43" s="7">
        <v>121200</v>
      </c>
      <c r="Y43" s="7">
        <v>697000</v>
      </c>
      <c r="Z43" s="7">
        <v>769181.81818181812</v>
      </c>
      <c r="AA43" s="7">
        <v>3442</v>
      </c>
      <c r="AB43" s="7">
        <v>4007</v>
      </c>
      <c r="AC43" s="7">
        <v>335</v>
      </c>
      <c r="AD43" s="7">
        <v>837504.3600000001</v>
      </c>
      <c r="AE43" s="7">
        <v>75000</v>
      </c>
      <c r="AF43" s="7">
        <v>7742.5650798797606</v>
      </c>
      <c r="AG43" s="7">
        <f t="shared" si="11"/>
        <v>159860.88358181817</v>
      </c>
      <c r="AH43" s="1">
        <f t="shared" si="5"/>
        <v>20.647018388936907</v>
      </c>
    </row>
    <row r="44" spans="1:34" x14ac:dyDescent="0.25">
      <c r="A44" s="13" t="s">
        <v>0</v>
      </c>
      <c r="B44" s="19">
        <v>45700</v>
      </c>
      <c r="C44" s="7">
        <v>12433</v>
      </c>
      <c r="D44" s="7">
        <v>41827</v>
      </c>
      <c r="E44" s="7">
        <v>20000</v>
      </c>
      <c r="F44" s="7">
        <v>1563</v>
      </c>
      <c r="G44" s="7">
        <v>15418</v>
      </c>
      <c r="H44" s="7">
        <v>8062</v>
      </c>
      <c r="I44" s="7">
        <v>83333</v>
      </c>
      <c r="J44" s="2">
        <v>22.14999961853027</v>
      </c>
      <c r="K44" s="23">
        <f t="shared" si="9"/>
        <v>269376.12300000002</v>
      </c>
      <c r="L44" s="23">
        <f t="shared" si="8"/>
        <v>17.471534764560904</v>
      </c>
      <c r="M44" s="13" t="s">
        <v>9</v>
      </c>
      <c r="N44" s="7">
        <v>122287.09706832469</v>
      </c>
      <c r="O44" s="7">
        <v>64606</v>
      </c>
      <c r="P44" s="7">
        <f t="shared" si="1"/>
        <v>73415.909090909088</v>
      </c>
      <c r="Q44" s="7">
        <v>10340</v>
      </c>
      <c r="R44" s="7">
        <v>0</v>
      </c>
      <c r="S44" s="7">
        <f t="shared" si="2"/>
        <v>0</v>
      </c>
      <c r="T44" s="7">
        <v>8005.9999999999991</v>
      </c>
      <c r="U44" s="7">
        <f t="shared" si="10"/>
        <v>516255.31351076328</v>
      </c>
      <c r="V44" s="7">
        <f t="shared" si="4"/>
        <v>64.48355152520152</v>
      </c>
      <c r="W44" s="14" t="s">
        <v>10</v>
      </c>
      <c r="X44" s="7">
        <v>124800</v>
      </c>
      <c r="Y44" s="7">
        <v>749727.27272727271</v>
      </c>
      <c r="Z44" s="7">
        <v>832727.27272727271</v>
      </c>
      <c r="AA44" s="7">
        <v>10334</v>
      </c>
      <c r="AB44" s="7">
        <v>4016</v>
      </c>
      <c r="AC44" s="7">
        <v>3570</v>
      </c>
      <c r="AD44" s="7">
        <v>906040.08000000007</v>
      </c>
      <c r="AE44" s="7">
        <v>75000</v>
      </c>
      <c r="AF44" s="7">
        <v>8463.2100437164299</v>
      </c>
      <c r="AG44" s="7">
        <f t="shared" si="11"/>
        <v>187198.1012</v>
      </c>
      <c r="AH44" s="1">
        <f t="shared" si="5"/>
        <v>22.119042329451169</v>
      </c>
    </row>
    <row r="45" spans="1:34" x14ac:dyDescent="0.25">
      <c r="A45" s="13" t="s">
        <v>0</v>
      </c>
      <c r="B45" s="19">
        <v>45701</v>
      </c>
      <c r="C45" s="7">
        <v>19312</v>
      </c>
      <c r="D45" s="7">
        <v>42326</v>
      </c>
      <c r="E45" s="7">
        <v>15000</v>
      </c>
      <c r="F45" s="7">
        <v>3194</v>
      </c>
      <c r="G45" s="7">
        <v>16795</v>
      </c>
      <c r="H45" s="7">
        <v>6147</v>
      </c>
      <c r="I45" s="7">
        <v>62500</v>
      </c>
      <c r="J45" s="2">
        <v>24.5</v>
      </c>
      <c r="K45" s="23">
        <f t="shared" si="9"/>
        <v>299292.33200000005</v>
      </c>
      <c r="L45" s="23">
        <f t="shared" si="8"/>
        <v>17.820323429592143</v>
      </c>
      <c r="M45" s="13" t="s">
        <v>9</v>
      </c>
      <c r="N45" s="7">
        <v>111781.05855020136</v>
      </c>
      <c r="O45" s="7">
        <v>60896</v>
      </c>
      <c r="P45" s="7">
        <f t="shared" si="1"/>
        <v>69200</v>
      </c>
      <c r="Q45" s="7">
        <v>561</v>
      </c>
      <c r="R45" s="7">
        <v>0</v>
      </c>
      <c r="S45" s="7">
        <f t="shared" si="2"/>
        <v>0</v>
      </c>
      <c r="T45" s="7">
        <v>5424</v>
      </c>
      <c r="U45" s="7">
        <f t="shared" si="10"/>
        <v>446504.95337361482</v>
      </c>
      <c r="V45" s="7">
        <f t="shared" si="4"/>
        <v>82.320234766521907</v>
      </c>
      <c r="W45" s="14" t="s">
        <v>10</v>
      </c>
      <c r="X45" s="7">
        <v>117420</v>
      </c>
      <c r="Y45" s="7">
        <v>634000</v>
      </c>
      <c r="Z45" s="7">
        <v>695272.72727272729</v>
      </c>
      <c r="AA45" s="7">
        <v>16970</v>
      </c>
      <c r="AB45" s="7">
        <v>4276</v>
      </c>
      <c r="AC45" s="7">
        <v>3578</v>
      </c>
      <c r="AD45" s="7">
        <v>763194.96</v>
      </c>
      <c r="AE45" s="7">
        <v>75000</v>
      </c>
      <c r="AF45" s="7">
        <v>7185.6560882568356</v>
      </c>
      <c r="AG45" s="7">
        <f t="shared" si="11"/>
        <v>194360.05167272725</v>
      </c>
      <c r="AH45" s="1">
        <f t="shared" si="5"/>
        <v>27.048337588875192</v>
      </c>
    </row>
    <row r="46" spans="1:34" x14ac:dyDescent="0.25">
      <c r="A46" s="13" t="s">
        <v>0</v>
      </c>
      <c r="B46" s="19">
        <v>45702</v>
      </c>
      <c r="C46" s="7">
        <v>14687</v>
      </c>
      <c r="D46" s="7">
        <v>39094</v>
      </c>
      <c r="E46" s="7">
        <v>10000</v>
      </c>
      <c r="F46" s="7">
        <v>0</v>
      </c>
      <c r="G46" s="7">
        <v>19380</v>
      </c>
      <c r="H46" s="7">
        <v>6735</v>
      </c>
      <c r="I46" s="7">
        <v>41667</v>
      </c>
      <c r="J46" s="2">
        <v>26.39999961853027</v>
      </c>
      <c r="K46" s="23">
        <f t="shared" si="9"/>
        <v>209762.967</v>
      </c>
      <c r="L46" s="23">
        <f t="shared" si="8"/>
        <v>10.823682507739939</v>
      </c>
      <c r="M46" s="13" t="s">
        <v>9</v>
      </c>
      <c r="N46" s="7">
        <v>111002.25536178797</v>
      </c>
      <c r="O46" s="7">
        <v>64088</v>
      </c>
      <c r="P46" s="7">
        <f t="shared" si="1"/>
        <v>72827.272727272721</v>
      </c>
      <c r="Q46" s="7">
        <v>0</v>
      </c>
      <c r="R46" s="7">
        <v>0</v>
      </c>
      <c r="S46" s="7">
        <f t="shared" si="2"/>
        <v>0</v>
      </c>
      <c r="T46" s="7">
        <v>5516</v>
      </c>
      <c r="U46" s="7">
        <f t="shared" si="10"/>
        <v>463675.63101076463</v>
      </c>
      <c r="V46" s="7">
        <f t="shared" si="4"/>
        <v>84.060121648071899</v>
      </c>
      <c r="W46" s="14" t="s">
        <v>10</v>
      </c>
      <c r="X46" s="7">
        <v>140530</v>
      </c>
      <c r="Y46" s="7">
        <v>916636.36363636365</v>
      </c>
      <c r="Z46" s="7">
        <v>1009545.4545454546</v>
      </c>
      <c r="AA46" s="7">
        <v>7812</v>
      </c>
      <c r="AB46" s="7">
        <v>4244</v>
      </c>
      <c r="AC46" s="7">
        <v>679</v>
      </c>
      <c r="AD46" s="7">
        <v>1094753.8800000001</v>
      </c>
      <c r="AE46" s="7">
        <v>87500</v>
      </c>
      <c r="AF46" s="7">
        <v>10067.672979354858</v>
      </c>
      <c r="AG46" s="7">
        <f t="shared" si="11"/>
        <v>203546.49910909092</v>
      </c>
      <c r="AH46" s="1">
        <f t="shared" si="5"/>
        <v>20.217829832821437</v>
      </c>
    </row>
    <row r="47" spans="1:34" x14ac:dyDescent="0.25">
      <c r="A47" s="13" t="s">
        <v>0</v>
      </c>
      <c r="B47" s="19">
        <v>45703</v>
      </c>
      <c r="C47" s="8">
        <v>11168</v>
      </c>
      <c r="D47" s="8">
        <v>43308</v>
      </c>
      <c r="E47" s="8">
        <v>0</v>
      </c>
      <c r="F47" s="7">
        <v>1458</v>
      </c>
      <c r="G47" s="8">
        <v>18794</v>
      </c>
      <c r="H47" s="8">
        <v>7505</v>
      </c>
      <c r="I47" s="8">
        <v>0</v>
      </c>
      <c r="J47" s="2">
        <v>14.19999980926514</v>
      </c>
      <c r="K47" s="23">
        <f t="shared" si="9"/>
        <v>122447.52800000001</v>
      </c>
      <c r="L47" s="23">
        <f t="shared" si="8"/>
        <v>6.5152457167181019</v>
      </c>
      <c r="M47" s="13" t="s">
        <v>9</v>
      </c>
      <c r="N47" s="8">
        <v>110937.6285771355</v>
      </c>
      <c r="O47" s="8">
        <v>61713</v>
      </c>
      <c r="P47" s="7">
        <f t="shared" si="1"/>
        <v>70128.409090909088</v>
      </c>
      <c r="Q47" s="8">
        <v>0</v>
      </c>
      <c r="R47" s="8">
        <v>0</v>
      </c>
      <c r="S47" s="7">
        <f t="shared" si="2"/>
        <v>0</v>
      </c>
      <c r="T47" s="8">
        <v>5671</v>
      </c>
      <c r="U47" s="7">
        <f t="shared" si="10"/>
        <v>448800.44147078542</v>
      </c>
      <c r="V47" s="7">
        <f t="shared" si="4"/>
        <v>79.139559419993901</v>
      </c>
      <c r="W47" s="14" t="s">
        <v>10</v>
      </c>
      <c r="X47" s="8">
        <v>146590</v>
      </c>
      <c r="Y47" s="8">
        <v>1091818.1818181816</v>
      </c>
      <c r="Z47" s="8">
        <v>1198000</v>
      </c>
      <c r="AA47" s="8">
        <v>4585</v>
      </c>
      <c r="AB47" s="8">
        <v>4219</v>
      </c>
      <c r="AC47" s="8">
        <v>0</v>
      </c>
      <c r="AD47" s="8">
        <v>1311266.8799999999</v>
      </c>
      <c r="AE47" s="8">
        <v>87500</v>
      </c>
      <c r="AF47" s="8">
        <v>12097.859888076782</v>
      </c>
      <c r="AG47" s="7">
        <f t="shared" si="11"/>
        <v>211465.62138181817</v>
      </c>
      <c r="AH47" s="1">
        <f t="shared" si="5"/>
        <v>17.479589228027937</v>
      </c>
    </row>
    <row r="48" spans="1:34" x14ac:dyDescent="0.25">
      <c r="A48" s="13" t="s">
        <v>0</v>
      </c>
      <c r="B48" s="19">
        <v>45704</v>
      </c>
      <c r="C48" s="7">
        <v>19316</v>
      </c>
      <c r="D48" s="7">
        <v>35893</v>
      </c>
      <c r="E48" s="7">
        <v>0</v>
      </c>
      <c r="F48" s="7">
        <v>944</v>
      </c>
      <c r="G48" s="7">
        <v>13436</v>
      </c>
      <c r="H48" s="7">
        <v>2602</v>
      </c>
      <c r="I48" s="7">
        <v>0</v>
      </c>
      <c r="J48" s="2">
        <v>17.70000076293945</v>
      </c>
      <c r="K48" s="23">
        <f t="shared" si="9"/>
        <v>181657.92600000004</v>
      </c>
      <c r="L48" s="23">
        <f t="shared" si="8"/>
        <v>13.520238612682348</v>
      </c>
      <c r="M48" s="13" t="s">
        <v>9</v>
      </c>
      <c r="N48" s="7">
        <v>113311.52206867933</v>
      </c>
      <c r="O48" s="7">
        <v>64677</v>
      </c>
      <c r="P48" s="7">
        <f t="shared" si="1"/>
        <v>73496.590909090912</v>
      </c>
      <c r="Q48" s="7">
        <v>1265</v>
      </c>
      <c r="R48" s="7">
        <v>0</v>
      </c>
      <c r="S48" s="7">
        <f t="shared" si="2"/>
        <v>0</v>
      </c>
      <c r="T48" s="7">
        <v>4830</v>
      </c>
      <c r="U48" s="7">
        <f t="shared" si="10"/>
        <v>473921.57439732907</v>
      </c>
      <c r="V48" s="7">
        <f t="shared" si="4"/>
        <v>98.120408777914918</v>
      </c>
      <c r="W48" s="14" t="s">
        <v>10</v>
      </c>
      <c r="X48" s="7">
        <v>148730</v>
      </c>
      <c r="Y48" s="7">
        <v>1043181.8181818181</v>
      </c>
      <c r="Z48" s="7">
        <v>1128545.4545454546</v>
      </c>
      <c r="AA48" s="7">
        <v>3723</v>
      </c>
      <c r="AB48" s="7">
        <v>5623</v>
      </c>
      <c r="AC48" s="7">
        <v>0</v>
      </c>
      <c r="AD48" s="7">
        <v>1256523.8400000001</v>
      </c>
      <c r="AE48" s="7">
        <v>112499.99999999999</v>
      </c>
      <c r="AF48" s="7">
        <v>11686.752108764649</v>
      </c>
      <c r="AG48" s="7">
        <f t="shared" si="11"/>
        <v>213814.59396363632</v>
      </c>
      <c r="AH48" s="1">
        <f t="shared" si="5"/>
        <v>18.295467549387222</v>
      </c>
    </row>
    <row r="49" spans="1:34" x14ac:dyDescent="0.25">
      <c r="A49" s="13" t="s">
        <v>0</v>
      </c>
      <c r="B49" s="19">
        <v>45705</v>
      </c>
      <c r="C49" s="7">
        <v>13396</v>
      </c>
      <c r="D49" s="7">
        <v>43585</v>
      </c>
      <c r="E49" s="7">
        <v>20250</v>
      </c>
      <c r="F49" s="7">
        <v>598</v>
      </c>
      <c r="G49" s="7">
        <v>18291</v>
      </c>
      <c r="H49" s="7">
        <v>6768</v>
      </c>
      <c r="I49" s="7">
        <v>82653</v>
      </c>
      <c r="J49" s="2">
        <v>16.5</v>
      </c>
      <c r="K49" s="23">
        <f t="shared" si="9"/>
        <v>275066.946</v>
      </c>
      <c r="L49" s="23">
        <f t="shared" si="8"/>
        <v>15.038376578645234</v>
      </c>
      <c r="M49" s="13" t="s">
        <v>9</v>
      </c>
      <c r="N49" s="7">
        <v>126823.26833964884</v>
      </c>
      <c r="O49" s="7">
        <v>75410</v>
      </c>
      <c r="P49" s="7">
        <f t="shared" si="1"/>
        <v>85693.181818181823</v>
      </c>
      <c r="Q49" s="7">
        <v>9229</v>
      </c>
      <c r="R49" s="7">
        <v>0</v>
      </c>
      <c r="S49" s="7">
        <f t="shared" si="2"/>
        <v>0</v>
      </c>
      <c r="T49" s="7">
        <v>5781</v>
      </c>
      <c r="U49" s="7">
        <f t="shared" si="10"/>
        <v>581730.72658996354</v>
      </c>
      <c r="V49" s="7">
        <f t="shared" si="4"/>
        <v>100.62804473100908</v>
      </c>
      <c r="W49" s="14" t="s">
        <v>10</v>
      </c>
      <c r="X49" s="7">
        <v>148100</v>
      </c>
      <c r="Y49" s="7">
        <v>1059272.7272727271</v>
      </c>
      <c r="Z49" s="7">
        <v>1072454.5454545454</v>
      </c>
      <c r="AA49" s="7">
        <v>2401</v>
      </c>
      <c r="AB49" s="7">
        <v>4276</v>
      </c>
      <c r="AC49" s="7">
        <v>0</v>
      </c>
      <c r="AD49" s="7">
        <v>1272027.24</v>
      </c>
      <c r="AE49" s="7">
        <v>100000</v>
      </c>
      <c r="AF49" s="7">
        <v>11529.807892608642</v>
      </c>
      <c r="AG49" s="7">
        <f t="shared" si="11"/>
        <v>201088.22678181817</v>
      </c>
      <c r="AH49" s="1">
        <f t="shared" si="5"/>
        <v>17.440726563252525</v>
      </c>
    </row>
    <row r="50" spans="1:34" x14ac:dyDescent="0.25">
      <c r="A50" s="13" t="s">
        <v>0</v>
      </c>
      <c r="B50" s="19">
        <v>45706</v>
      </c>
      <c r="C50" s="7">
        <v>18465</v>
      </c>
      <c r="D50" s="7">
        <v>49836</v>
      </c>
      <c r="E50" s="7">
        <v>0</v>
      </c>
      <c r="F50" s="7">
        <v>0</v>
      </c>
      <c r="G50" s="7">
        <v>14937</v>
      </c>
      <c r="H50" s="7">
        <v>8505</v>
      </c>
      <c r="I50" s="7">
        <v>0</v>
      </c>
      <c r="J50" s="2">
        <v>16.64999961853027</v>
      </c>
      <c r="K50" s="23">
        <f t="shared" si="9"/>
        <v>177991.48500000002</v>
      </c>
      <c r="L50" s="23">
        <f t="shared" si="8"/>
        <v>11.916146816629846</v>
      </c>
      <c r="M50" s="13" t="s">
        <v>9</v>
      </c>
      <c r="N50" s="7">
        <v>126556.88374832273</v>
      </c>
      <c r="O50" s="7">
        <v>71547</v>
      </c>
      <c r="P50" s="7">
        <f t="shared" si="1"/>
        <v>81303.409090909088</v>
      </c>
      <c r="Q50" s="7">
        <v>8151</v>
      </c>
      <c r="R50" s="7">
        <v>0</v>
      </c>
      <c r="S50" s="7">
        <f t="shared" si="2"/>
        <v>0</v>
      </c>
      <c r="T50" s="7">
        <v>5534</v>
      </c>
      <c r="U50" s="7">
        <f t="shared" si="10"/>
        <v>552970.21691836219</v>
      </c>
      <c r="V50" s="7">
        <f t="shared" si="4"/>
        <v>99.922337715641888</v>
      </c>
      <c r="W50" s="14" t="s">
        <v>10</v>
      </c>
      <c r="X50" s="7">
        <v>151280</v>
      </c>
      <c r="Y50" s="7">
        <v>1041727.2727272726</v>
      </c>
      <c r="Z50" s="7">
        <v>1093272.7272727273</v>
      </c>
      <c r="AA50" s="7">
        <v>2264</v>
      </c>
      <c r="AB50" s="7">
        <v>4300</v>
      </c>
      <c r="AC50" s="7">
        <v>0</v>
      </c>
      <c r="AD50" s="7">
        <v>1246045.6800000002</v>
      </c>
      <c r="AE50" s="7">
        <v>112500.00000000001</v>
      </c>
      <c r="AF50" s="7">
        <v>11378.924941062927</v>
      </c>
      <c r="AG50" s="7">
        <f t="shared" si="11"/>
        <v>202948.73974545454</v>
      </c>
      <c r="AH50" s="1">
        <f t="shared" si="5"/>
        <v>17.835493317393894</v>
      </c>
    </row>
    <row r="51" spans="1:34" x14ac:dyDescent="0.25">
      <c r="A51" s="13" t="s">
        <v>0</v>
      </c>
      <c r="B51" s="19">
        <v>45707</v>
      </c>
      <c r="C51" s="7">
        <v>14989</v>
      </c>
      <c r="D51" s="7">
        <v>45176</v>
      </c>
      <c r="E51" s="7">
        <v>0</v>
      </c>
      <c r="F51" s="7">
        <v>338</v>
      </c>
      <c r="G51" s="7">
        <v>13839</v>
      </c>
      <c r="H51" s="7">
        <v>4984</v>
      </c>
      <c r="I51" s="7">
        <v>0</v>
      </c>
      <c r="J51" s="2">
        <v>19.85000038146973</v>
      </c>
      <c r="K51" s="23">
        <f t="shared" si="9"/>
        <v>148866.209</v>
      </c>
      <c r="L51" s="23">
        <f t="shared" si="8"/>
        <v>10.757006214321844</v>
      </c>
      <c r="M51" s="13" t="s">
        <v>9</v>
      </c>
      <c r="N51" s="7">
        <v>121590</v>
      </c>
      <c r="O51" s="7">
        <v>72411</v>
      </c>
      <c r="P51" s="7">
        <f t="shared" si="1"/>
        <v>82285.227272727279</v>
      </c>
      <c r="Q51" s="7">
        <v>8723</v>
      </c>
      <c r="R51" s="7">
        <v>0</v>
      </c>
      <c r="S51" s="7">
        <f t="shared" si="2"/>
        <v>0</v>
      </c>
      <c r="T51" s="7">
        <v>5744</v>
      </c>
      <c r="U51" s="7">
        <f t="shared" si="10"/>
        <v>557910.92954545456</v>
      </c>
      <c r="V51" s="7">
        <f t="shared" si="4"/>
        <v>97.129340101924541</v>
      </c>
      <c r="W51" s="14" t="s">
        <v>10</v>
      </c>
      <c r="X51" s="7">
        <v>156920</v>
      </c>
      <c r="Y51" s="7">
        <v>1073909.0909090908</v>
      </c>
      <c r="Z51" s="7">
        <v>1172909.0909090908</v>
      </c>
      <c r="AA51" s="7">
        <v>1854</v>
      </c>
      <c r="AB51" s="7">
        <v>6045</v>
      </c>
      <c r="AC51" s="7">
        <v>0</v>
      </c>
      <c r="AD51" s="7">
        <v>1279725.48</v>
      </c>
      <c r="AE51" s="7">
        <v>100000</v>
      </c>
      <c r="AF51" s="7">
        <v>11845.798963356017</v>
      </c>
      <c r="AG51" s="7">
        <f t="shared" si="11"/>
        <v>217066.78219999999</v>
      </c>
      <c r="AH51" s="1">
        <f t="shared" si="5"/>
        <v>18.324368231427684</v>
      </c>
    </row>
    <row r="52" spans="1:34" x14ac:dyDescent="0.25">
      <c r="A52" s="13" t="s">
        <v>0</v>
      </c>
      <c r="B52" s="19">
        <v>45708</v>
      </c>
      <c r="C52" s="8">
        <v>15326</v>
      </c>
      <c r="D52" s="8">
        <v>48448</v>
      </c>
      <c r="E52" s="8">
        <v>8000</v>
      </c>
      <c r="F52" s="7">
        <v>664</v>
      </c>
      <c r="G52" s="8">
        <v>11248</v>
      </c>
      <c r="H52" s="8">
        <v>10189</v>
      </c>
      <c r="I52" s="8">
        <v>32653</v>
      </c>
      <c r="J52" s="2">
        <v>22.45000076293945</v>
      </c>
      <c r="K52" s="23">
        <f t="shared" si="9"/>
        <v>209891.28599999999</v>
      </c>
      <c r="L52" s="23">
        <f t="shared" si="8"/>
        <v>18.660320590327167</v>
      </c>
      <c r="M52" s="13" t="s">
        <v>9</v>
      </c>
      <c r="N52" s="8">
        <v>124884.42732500285</v>
      </c>
      <c r="O52" s="8">
        <v>75838</v>
      </c>
      <c r="P52" s="7">
        <f t="shared" si="1"/>
        <v>86179.545454545456</v>
      </c>
      <c r="Q52" s="8">
        <v>3685</v>
      </c>
      <c r="R52" s="8">
        <v>0</v>
      </c>
      <c r="S52" s="7">
        <f t="shared" si="2"/>
        <v>0</v>
      </c>
      <c r="T52" s="8">
        <v>5464</v>
      </c>
      <c r="U52" s="7">
        <f t="shared" si="10"/>
        <v>560292.01448434254</v>
      </c>
      <c r="V52" s="7">
        <f t="shared" si="4"/>
        <v>102.54246238732478</v>
      </c>
      <c r="W52" s="14" t="s">
        <v>10</v>
      </c>
      <c r="X52" s="8">
        <v>127440</v>
      </c>
      <c r="Y52" s="8">
        <v>1351272.7272727271</v>
      </c>
      <c r="Z52" s="8">
        <v>1376727.2727272727</v>
      </c>
      <c r="AA52" s="8">
        <v>1853</v>
      </c>
      <c r="AB52" s="8">
        <v>4230</v>
      </c>
      <c r="AC52" s="8">
        <v>0</v>
      </c>
      <c r="AD52" s="8">
        <v>1237385.1600000001</v>
      </c>
      <c r="AE52" s="8">
        <v>75000</v>
      </c>
      <c r="AF52" s="8">
        <v>11676.938106155396</v>
      </c>
      <c r="AG52" s="7">
        <f t="shared" si="11"/>
        <v>203852.12285454542</v>
      </c>
      <c r="AH52" s="1">
        <f t="shared" si="5"/>
        <v>17.457669210996894</v>
      </c>
    </row>
    <row r="53" spans="1:34" x14ac:dyDescent="0.25">
      <c r="A53" s="13" t="s">
        <v>0</v>
      </c>
      <c r="B53" s="19">
        <v>45709</v>
      </c>
      <c r="C53" s="7">
        <v>14515</v>
      </c>
      <c r="D53" s="7">
        <v>46383</v>
      </c>
      <c r="E53" s="7">
        <v>20250</v>
      </c>
      <c r="F53" s="7">
        <v>409</v>
      </c>
      <c r="G53" s="7">
        <v>8494</v>
      </c>
      <c r="H53" s="7">
        <v>9434</v>
      </c>
      <c r="I53" s="7">
        <v>82653</v>
      </c>
      <c r="J53" s="2">
        <v>20.85000038146973</v>
      </c>
      <c r="K53" s="23">
        <f t="shared" si="9"/>
        <v>284781.82500000001</v>
      </c>
      <c r="L53" s="23">
        <f t="shared" si="8"/>
        <v>33.527410525076526</v>
      </c>
      <c r="M53" s="13" t="s">
        <v>9</v>
      </c>
      <c r="N53" s="7">
        <v>124726.24838148057</v>
      </c>
      <c r="O53" s="7">
        <v>73409</v>
      </c>
      <c r="P53" s="7">
        <f t="shared" si="1"/>
        <v>83419.318181818177</v>
      </c>
      <c r="Q53" s="7">
        <v>3531</v>
      </c>
      <c r="R53" s="7">
        <v>0</v>
      </c>
      <c r="S53" s="7">
        <f t="shared" si="2"/>
        <v>0</v>
      </c>
      <c r="T53" s="7">
        <v>5273</v>
      </c>
      <c r="U53" s="7">
        <f t="shared" si="10"/>
        <v>544387.02294108027</v>
      </c>
      <c r="V53" s="7">
        <f t="shared" si="4"/>
        <v>103.24047467117016</v>
      </c>
      <c r="W53" s="14" t="s">
        <v>10</v>
      </c>
      <c r="X53" s="7">
        <v>117200</v>
      </c>
      <c r="Y53" s="7">
        <v>1230818.1818181816</v>
      </c>
      <c r="Z53" s="7">
        <v>1235272.7272727271</v>
      </c>
      <c r="AA53" s="7">
        <v>1885</v>
      </c>
      <c r="AB53" s="7">
        <v>3506</v>
      </c>
      <c r="AC53" s="7">
        <v>0</v>
      </c>
      <c r="AD53" s="7">
        <v>1172912.3999999999</v>
      </c>
      <c r="AE53" s="7">
        <v>62500</v>
      </c>
      <c r="AF53" s="7">
        <v>11359.388046264648</v>
      </c>
      <c r="AG53" s="7">
        <f t="shared" si="11"/>
        <v>185002.23145454543</v>
      </c>
      <c r="AH53" s="1">
        <f t="shared" si="5"/>
        <v>16.286285027068903</v>
      </c>
    </row>
    <row r="54" spans="1:34" x14ac:dyDescent="0.25">
      <c r="A54" s="13" t="s">
        <v>0</v>
      </c>
      <c r="B54" s="19">
        <v>45710</v>
      </c>
      <c r="C54" s="7">
        <v>14052</v>
      </c>
      <c r="D54" s="7">
        <v>53157</v>
      </c>
      <c r="E54" s="7">
        <v>0</v>
      </c>
      <c r="F54" s="7">
        <v>1318</v>
      </c>
      <c r="G54" s="7">
        <v>13777</v>
      </c>
      <c r="H54" s="7">
        <v>7455</v>
      </c>
      <c r="I54" s="7">
        <v>0</v>
      </c>
      <c r="J54" s="2">
        <v>19</v>
      </c>
      <c r="K54" s="23">
        <f t="shared" si="9"/>
        <v>150724.742</v>
      </c>
      <c r="L54" s="23">
        <f t="shared" si="8"/>
        <v>10.940316614647601</v>
      </c>
      <c r="M54" s="13" t="s">
        <v>9</v>
      </c>
      <c r="N54" s="7">
        <v>119747.28184013069</v>
      </c>
      <c r="O54" s="7">
        <v>72350</v>
      </c>
      <c r="P54" s="7">
        <f t="shared" si="1"/>
        <v>82215.909090909088</v>
      </c>
      <c r="Q54" s="7">
        <v>0</v>
      </c>
      <c r="R54" s="7">
        <v>0</v>
      </c>
      <c r="S54" s="7">
        <f t="shared" si="2"/>
        <v>0</v>
      </c>
      <c r="T54" s="7">
        <v>4563</v>
      </c>
      <c r="U54" s="7">
        <f t="shared" si="10"/>
        <v>520279.01883069263</v>
      </c>
      <c r="V54" s="7">
        <f t="shared" si="4"/>
        <v>114.02126207115771</v>
      </c>
      <c r="W54" s="14" t="s">
        <v>10</v>
      </c>
      <c r="X54" s="7">
        <v>160750</v>
      </c>
      <c r="Y54" s="7">
        <v>1153181.8181818181</v>
      </c>
      <c r="Z54" s="7">
        <v>1235818.1818181816</v>
      </c>
      <c r="AA54" s="7">
        <v>1819</v>
      </c>
      <c r="AB54" s="7">
        <v>4710</v>
      </c>
      <c r="AC54" s="7">
        <v>0</v>
      </c>
      <c r="AD54" s="7">
        <v>1366330.68</v>
      </c>
      <c r="AE54" s="7">
        <v>125000</v>
      </c>
      <c r="AF54" s="7">
        <v>12505.730858421326</v>
      </c>
      <c r="AG54" s="7">
        <f t="shared" si="11"/>
        <v>219166.32383636362</v>
      </c>
      <c r="AH54" s="1">
        <f t="shared" si="5"/>
        <v>17.525271119102776</v>
      </c>
    </row>
    <row r="55" spans="1:34" x14ac:dyDescent="0.25">
      <c r="A55" s="13" t="s">
        <v>0</v>
      </c>
      <c r="B55" s="19">
        <v>45711</v>
      </c>
      <c r="C55" s="7">
        <v>18048</v>
      </c>
      <c r="D55" s="7">
        <v>51352</v>
      </c>
      <c r="E55" s="7">
        <v>0</v>
      </c>
      <c r="F55" s="7">
        <v>475</v>
      </c>
      <c r="G55" s="7">
        <v>4626</v>
      </c>
      <c r="H55" s="7">
        <v>7092</v>
      </c>
      <c r="I55" s="7">
        <v>0</v>
      </c>
      <c r="J55" s="2">
        <v>22.95000076293945</v>
      </c>
      <c r="K55" s="23">
        <f t="shared" si="9"/>
        <v>177852.48800000001</v>
      </c>
      <c r="L55" s="23">
        <f t="shared" si="8"/>
        <v>38.446279290964121</v>
      </c>
      <c r="M55" s="13" t="s">
        <v>9</v>
      </c>
      <c r="N55" s="7">
        <v>124092.96593891829</v>
      </c>
      <c r="O55" s="7">
        <v>72858</v>
      </c>
      <c r="P55" s="7">
        <f t="shared" si="1"/>
        <v>82793.181818181823</v>
      </c>
      <c r="Q55" s="7">
        <v>0</v>
      </c>
      <c r="R55" s="7">
        <v>0</v>
      </c>
      <c r="S55" s="7">
        <f t="shared" si="2"/>
        <v>0</v>
      </c>
      <c r="T55" s="7">
        <v>4790</v>
      </c>
      <c r="U55" s="7">
        <f t="shared" si="10"/>
        <v>525929.90422154707</v>
      </c>
      <c r="V55" s="7">
        <f t="shared" si="4"/>
        <v>109.79747478529167</v>
      </c>
      <c r="W55" s="14" t="s">
        <v>10</v>
      </c>
      <c r="X55" s="7">
        <v>156930</v>
      </c>
      <c r="Y55" s="7">
        <v>1091909.0909090908</v>
      </c>
      <c r="Z55" s="7">
        <v>1206909.0909090908</v>
      </c>
      <c r="AA55" s="7">
        <v>1608</v>
      </c>
      <c r="AB55" s="7">
        <v>5115</v>
      </c>
      <c r="AC55" s="7">
        <v>0</v>
      </c>
      <c r="AD55" s="7">
        <v>1312229.1600000001</v>
      </c>
      <c r="AE55" s="7">
        <v>112500</v>
      </c>
      <c r="AF55" s="7">
        <v>12178.543886566162</v>
      </c>
      <c r="AG55" s="7">
        <f t="shared" si="11"/>
        <v>214335.53739999997</v>
      </c>
      <c r="AH55" s="1">
        <f t="shared" si="5"/>
        <v>17.599438766766525</v>
      </c>
    </row>
    <row r="56" spans="1:34" x14ac:dyDescent="0.25">
      <c r="A56" s="13" t="s">
        <v>0</v>
      </c>
      <c r="B56" s="19">
        <v>45712</v>
      </c>
      <c r="C56" s="7">
        <v>12754</v>
      </c>
      <c r="D56" s="7">
        <v>40017</v>
      </c>
      <c r="E56" s="7">
        <v>13500</v>
      </c>
      <c r="F56" s="7">
        <v>0</v>
      </c>
      <c r="G56" s="7">
        <v>9249</v>
      </c>
      <c r="H56" s="7">
        <v>6870</v>
      </c>
      <c r="I56" s="7">
        <v>56205</v>
      </c>
      <c r="J56" s="2">
        <v>23</v>
      </c>
      <c r="K56" s="23">
        <f t="shared" si="9"/>
        <v>218604.84400000001</v>
      </c>
      <c r="L56" s="23">
        <f t="shared" si="8"/>
        <v>23.635511298518761</v>
      </c>
      <c r="M56" s="13" t="s">
        <v>9</v>
      </c>
      <c r="N56" s="7">
        <v>117023.83509771526</v>
      </c>
      <c r="O56" s="7">
        <v>67666</v>
      </c>
      <c r="P56" s="7">
        <f t="shared" si="1"/>
        <v>76893.181818181823</v>
      </c>
      <c r="Q56" s="7">
        <v>0</v>
      </c>
      <c r="R56" s="7">
        <v>0</v>
      </c>
      <c r="S56" s="7">
        <f t="shared" si="2"/>
        <v>0</v>
      </c>
      <c r="T56" s="7">
        <v>4070</v>
      </c>
      <c r="U56" s="7">
        <f t="shared" si="10"/>
        <v>489462.29964206135</v>
      </c>
      <c r="V56" s="7">
        <f t="shared" si="4"/>
        <v>120.26100728306176</v>
      </c>
      <c r="W56" s="14" t="s">
        <v>10</v>
      </c>
      <c r="X56" s="7">
        <v>154480</v>
      </c>
      <c r="Y56" s="7">
        <v>1083454.5454545454</v>
      </c>
      <c r="Z56" s="7">
        <v>1096545.4545454546</v>
      </c>
      <c r="AA56" s="7">
        <v>1234</v>
      </c>
      <c r="AB56" s="7">
        <v>4160</v>
      </c>
      <c r="AC56" s="7">
        <v>0</v>
      </c>
      <c r="AD56" s="7">
        <v>1295763.48</v>
      </c>
      <c r="AE56" s="7">
        <v>100000</v>
      </c>
      <c r="AF56" s="7">
        <v>12127.55541255951</v>
      </c>
      <c r="AG56" s="7">
        <f t="shared" si="11"/>
        <v>202459.96129090909</v>
      </c>
      <c r="AH56" s="1">
        <f t="shared" si="5"/>
        <v>16.694210366685937</v>
      </c>
    </row>
    <row r="57" spans="1:34" x14ac:dyDescent="0.25">
      <c r="A57" s="13" t="s">
        <v>0</v>
      </c>
      <c r="B57" s="19">
        <v>45713</v>
      </c>
      <c r="C57" s="8">
        <v>13322</v>
      </c>
      <c r="D57" s="8">
        <v>44351</v>
      </c>
      <c r="E57" s="8">
        <v>10800</v>
      </c>
      <c r="F57" s="7">
        <v>1040</v>
      </c>
      <c r="G57" s="8">
        <v>13085</v>
      </c>
      <c r="H57" s="8">
        <v>7180</v>
      </c>
      <c r="I57" s="8">
        <v>44438</v>
      </c>
      <c r="J57" s="2">
        <v>22.20000076293945</v>
      </c>
      <c r="K57" s="23">
        <f t="shared" si="9"/>
        <v>212381.592</v>
      </c>
      <c r="L57" s="23">
        <f t="shared" si="8"/>
        <v>16.230920290408864</v>
      </c>
      <c r="M57" s="13" t="s">
        <v>9</v>
      </c>
      <c r="N57" s="8">
        <v>115696</v>
      </c>
      <c r="O57" s="8">
        <v>68128</v>
      </c>
      <c r="P57" s="7">
        <f t="shared" si="1"/>
        <v>77418.181818181823</v>
      </c>
      <c r="Q57" s="8">
        <v>0</v>
      </c>
      <c r="R57" s="8">
        <v>0</v>
      </c>
      <c r="S57" s="7">
        <f t="shared" si="2"/>
        <v>0</v>
      </c>
      <c r="T57" s="8">
        <v>4488</v>
      </c>
      <c r="U57" s="7">
        <f t="shared" si="10"/>
        <v>491591.88363636367</v>
      </c>
      <c r="V57" s="7">
        <f t="shared" si="4"/>
        <v>109.53473343056231</v>
      </c>
      <c r="W57" s="14" t="s">
        <v>10</v>
      </c>
      <c r="X57" s="8">
        <v>138280</v>
      </c>
      <c r="Y57" s="8">
        <v>950545.45454545459</v>
      </c>
      <c r="Z57" s="8">
        <v>960909.09090909094</v>
      </c>
      <c r="AA57" s="8">
        <v>1736</v>
      </c>
      <c r="AB57" s="8">
        <v>4375</v>
      </c>
      <c r="AC57" s="8">
        <v>0</v>
      </c>
      <c r="AD57" s="8">
        <v>1140729.48</v>
      </c>
      <c r="AE57" s="8">
        <v>100000</v>
      </c>
      <c r="AF57" s="8">
        <v>10598.993621902466</v>
      </c>
      <c r="AG57" s="7">
        <f t="shared" si="11"/>
        <v>185353.17856363635</v>
      </c>
      <c r="AH57" s="1">
        <f t="shared" si="5"/>
        <v>17.487809236964743</v>
      </c>
    </row>
    <row r="58" spans="1:34" x14ac:dyDescent="0.25">
      <c r="A58" s="13" t="s">
        <v>0</v>
      </c>
      <c r="B58" s="19">
        <v>45714</v>
      </c>
      <c r="C58" s="7">
        <v>18700</v>
      </c>
      <c r="D58" s="7">
        <v>47343</v>
      </c>
      <c r="E58" s="7">
        <v>0</v>
      </c>
      <c r="F58" s="7">
        <v>1181</v>
      </c>
      <c r="G58" s="7">
        <v>17321</v>
      </c>
      <c r="H58" s="7">
        <v>4844</v>
      </c>
      <c r="I58" s="7">
        <v>0</v>
      </c>
      <c r="J58" s="2">
        <v>20.5</v>
      </c>
      <c r="K58" s="23">
        <f t="shared" si="9"/>
        <v>184379.21000000002</v>
      </c>
      <c r="L58" s="23">
        <f t="shared" si="8"/>
        <v>10.644836325847239</v>
      </c>
      <c r="M58" s="13" t="s">
        <v>9</v>
      </c>
      <c r="N58" s="7">
        <v>116963.10957868397</v>
      </c>
      <c r="O58" s="7">
        <v>72306</v>
      </c>
      <c r="P58" s="7">
        <f t="shared" si="1"/>
        <v>82165.909090909088</v>
      </c>
      <c r="Q58" s="7">
        <v>0</v>
      </c>
      <c r="R58" s="7">
        <v>0</v>
      </c>
      <c r="S58" s="7">
        <f t="shared" si="2"/>
        <v>0</v>
      </c>
      <c r="T58" s="7">
        <v>4709</v>
      </c>
      <c r="U58" s="7">
        <f t="shared" si="10"/>
        <v>518417.14064166805</v>
      </c>
      <c r="V58" s="7">
        <f t="shared" si="4"/>
        <v>110.090707292773</v>
      </c>
      <c r="W58" s="14" t="s">
        <v>10</v>
      </c>
      <c r="X58" s="7">
        <v>152180</v>
      </c>
      <c r="Y58" s="7">
        <v>1136000</v>
      </c>
      <c r="Z58" s="7">
        <v>1145727.2727272727</v>
      </c>
      <c r="AA58" s="7">
        <v>2108</v>
      </c>
      <c r="AB58" s="7">
        <v>4322</v>
      </c>
      <c r="AC58" s="7">
        <v>0</v>
      </c>
      <c r="AD58" s="7">
        <v>1363123.08</v>
      </c>
      <c r="AE58" s="7">
        <v>100000</v>
      </c>
      <c r="AF58" s="7">
        <v>12465.095261440278</v>
      </c>
      <c r="AG58" s="7">
        <f t="shared" si="11"/>
        <v>208662.71892727271</v>
      </c>
      <c r="AH58" s="1">
        <f t="shared" si="5"/>
        <v>16.739761273445961</v>
      </c>
    </row>
    <row r="59" spans="1:34" x14ac:dyDescent="0.25">
      <c r="A59" s="13" t="s">
        <v>0</v>
      </c>
      <c r="B59" s="19">
        <v>45715</v>
      </c>
      <c r="C59" s="26">
        <v>14996.333333328366</v>
      </c>
      <c r="D59" s="26">
        <v>42784</v>
      </c>
      <c r="E59" s="7">
        <v>0</v>
      </c>
      <c r="F59" s="7">
        <v>0</v>
      </c>
      <c r="G59" s="26">
        <v>13190.333333343267</v>
      </c>
      <c r="H59" s="26">
        <v>5033.3333333330229</v>
      </c>
      <c r="I59" s="7">
        <v>0</v>
      </c>
      <c r="J59" s="2">
        <v>14.5</v>
      </c>
      <c r="K59" s="23">
        <f t="shared" si="9"/>
        <v>145872.17633329312</v>
      </c>
      <c r="L59" s="23">
        <f t="shared" si="8"/>
        <v>11.059021227655348</v>
      </c>
      <c r="M59" s="13" t="s">
        <v>9</v>
      </c>
      <c r="N59" s="7">
        <v>118660</v>
      </c>
      <c r="O59" s="7">
        <v>63510</v>
      </c>
      <c r="P59" s="7">
        <f t="shared" si="1"/>
        <v>72170.454545454544</v>
      </c>
      <c r="Q59" s="7">
        <v>1870</v>
      </c>
      <c r="R59" s="7">
        <v>0</v>
      </c>
      <c r="S59" s="7">
        <f t="shared" si="2"/>
        <v>0</v>
      </c>
      <c r="T59" s="7">
        <v>4329</v>
      </c>
      <c r="U59" s="7">
        <f t="shared" si="10"/>
        <v>472189.85909090913</v>
      </c>
      <c r="V59" s="7">
        <f t="shared" si="4"/>
        <v>109.07596652596654</v>
      </c>
      <c r="W59" s="14" t="s">
        <v>10</v>
      </c>
      <c r="X59" s="7">
        <v>144500</v>
      </c>
      <c r="Y59" s="7">
        <v>954727.27272727271</v>
      </c>
      <c r="Z59" s="7">
        <v>972818.18181818188</v>
      </c>
      <c r="AA59" s="7">
        <v>2090</v>
      </c>
      <c r="AB59" s="7">
        <v>3163</v>
      </c>
      <c r="AC59" s="7">
        <v>0</v>
      </c>
      <c r="AD59" s="7">
        <v>1151635.32</v>
      </c>
      <c r="AE59" s="7">
        <v>62500</v>
      </c>
      <c r="AF59" s="7">
        <v>10648.877243957519</v>
      </c>
      <c r="AG59" s="7">
        <f t="shared" si="11"/>
        <v>182876.93889090908</v>
      </c>
      <c r="AH59" s="1">
        <f t="shared" si="5"/>
        <v>17.17335402609498</v>
      </c>
    </row>
    <row r="60" spans="1:34" x14ac:dyDescent="0.25">
      <c r="A60" s="13" t="s">
        <v>0</v>
      </c>
      <c r="B60" s="19">
        <v>45716</v>
      </c>
      <c r="C60" s="26">
        <v>11292.666666671634</v>
      </c>
      <c r="D60" s="26">
        <v>38225</v>
      </c>
      <c r="E60" s="7">
        <v>0</v>
      </c>
      <c r="F60" s="7">
        <v>0</v>
      </c>
      <c r="G60" s="26">
        <v>9059.6666666716337</v>
      </c>
      <c r="H60" s="26">
        <v>5222.6666666669771</v>
      </c>
      <c r="I60" s="7">
        <v>0</v>
      </c>
      <c r="J60" s="2">
        <v>15.80000019073486</v>
      </c>
      <c r="K60" s="23">
        <f>C60*8.101+D60*0.57+E60*6.85+F60*5</f>
        <v>113270.14266670692</v>
      </c>
      <c r="L60" s="23">
        <f t="shared" si="8"/>
        <v>12.502683248093545</v>
      </c>
      <c r="M60" s="13" t="s">
        <v>9</v>
      </c>
      <c r="N60" s="7">
        <v>123770</v>
      </c>
      <c r="O60" s="7">
        <v>67717</v>
      </c>
      <c r="P60" s="7">
        <f t="shared" si="1"/>
        <v>76951.136363636368</v>
      </c>
      <c r="Q60" s="7">
        <v>6864</v>
      </c>
      <c r="R60" s="7">
        <v>0</v>
      </c>
      <c r="S60" s="7">
        <f t="shared" si="2"/>
        <v>0</v>
      </c>
      <c r="T60" s="7">
        <v>5110</v>
      </c>
      <c r="U60" s="7">
        <f t="shared" si="10"/>
        <v>522111.84772727278</v>
      </c>
      <c r="V60" s="7">
        <f t="shared" si="4"/>
        <v>102.17452988792031</v>
      </c>
      <c r="W60" s="14" t="s">
        <v>10</v>
      </c>
      <c r="X60" s="7">
        <v>157420</v>
      </c>
      <c r="Y60" s="7">
        <v>1066363.6363636362</v>
      </c>
      <c r="Z60" s="7">
        <v>1077727.2727272727</v>
      </c>
      <c r="AA60" s="7">
        <v>2049</v>
      </c>
      <c r="AB60" s="7">
        <v>6027</v>
      </c>
      <c r="AC60" s="7">
        <v>0</v>
      </c>
      <c r="AD60" s="7">
        <v>1277052.48</v>
      </c>
      <c r="AE60" s="7">
        <v>87500</v>
      </c>
      <c r="AF60" s="7">
        <v>11950.250148773193</v>
      </c>
      <c r="AG60" s="7">
        <f t="shared" si="11"/>
        <v>213983.32356363634</v>
      </c>
      <c r="AH60" s="1">
        <f t="shared" si="5"/>
        <v>17.906179443917644</v>
      </c>
    </row>
    <row r="61" spans="1:34" x14ac:dyDescent="0.25">
      <c r="A61" s="13" t="s">
        <v>0</v>
      </c>
      <c r="B61" s="19">
        <v>45717</v>
      </c>
      <c r="C61" s="7">
        <v>7589</v>
      </c>
      <c r="D61" s="7">
        <v>33666</v>
      </c>
      <c r="E61" s="7">
        <v>0</v>
      </c>
      <c r="F61" s="7">
        <v>0</v>
      </c>
      <c r="G61" s="7">
        <v>4929</v>
      </c>
      <c r="H61" s="7">
        <v>5412</v>
      </c>
      <c r="I61" s="7">
        <v>0</v>
      </c>
      <c r="J61" s="2">
        <v>18</v>
      </c>
      <c r="K61" s="23">
        <f>C61*8.002+D61*0.57+E61*7.1+F61*5</f>
        <v>79916.79800000001</v>
      </c>
      <c r="L61" s="23">
        <f t="shared" si="8"/>
        <v>16.213592615134917</v>
      </c>
      <c r="M61" s="13" t="s">
        <v>9</v>
      </c>
      <c r="N61" s="7">
        <v>128208</v>
      </c>
      <c r="O61" s="7">
        <v>70759</v>
      </c>
      <c r="P61" s="7">
        <f t="shared" si="1"/>
        <v>80407.954545454544</v>
      </c>
      <c r="Q61" s="7">
        <v>8624</v>
      </c>
      <c r="R61" s="7">
        <v>0</v>
      </c>
      <c r="S61" s="7">
        <f t="shared" si="2"/>
        <v>0</v>
      </c>
      <c r="T61" s="7">
        <v>5593</v>
      </c>
      <c r="U61" s="7">
        <f>N61*0.57+P61*5.245+Q61*4.18+S61*8.97</f>
        <v>530866.60159090906</v>
      </c>
      <c r="V61" s="7">
        <f t="shared" si="4"/>
        <v>94.916252742876637</v>
      </c>
      <c r="W61" s="14" t="s">
        <v>10</v>
      </c>
      <c r="X61" s="7">
        <v>142400</v>
      </c>
      <c r="Y61" s="7">
        <v>936454.54545454541</v>
      </c>
      <c r="Z61" s="7">
        <v>949272.72727272729</v>
      </c>
      <c r="AA61" s="7">
        <v>2869</v>
      </c>
      <c r="AB61" s="7">
        <v>4608</v>
      </c>
      <c r="AC61" s="7">
        <v>0</v>
      </c>
      <c r="AD61" s="7">
        <v>1128540.6000000001</v>
      </c>
      <c r="AE61" s="7">
        <v>100000</v>
      </c>
      <c r="AF61" s="7">
        <v>10433.94094614029</v>
      </c>
      <c r="AG61" s="7">
        <f t="shared" si="11"/>
        <v>191308.79081818182</v>
      </c>
      <c r="AH61" s="1">
        <f t="shared" si="5"/>
        <v>18.335238028057894</v>
      </c>
    </row>
    <row r="62" spans="1:34" x14ac:dyDescent="0.25">
      <c r="A62" s="13" t="s">
        <v>0</v>
      </c>
      <c r="B62" s="19">
        <v>45718</v>
      </c>
      <c r="C62" s="7">
        <v>10719</v>
      </c>
      <c r="D62" s="7">
        <v>33833</v>
      </c>
      <c r="E62" s="7">
        <v>0</v>
      </c>
      <c r="F62" s="7">
        <v>0</v>
      </c>
      <c r="G62" s="7">
        <v>7916</v>
      </c>
      <c r="H62" s="7">
        <v>2530</v>
      </c>
      <c r="I62" s="7">
        <v>0</v>
      </c>
      <c r="J62" s="2">
        <v>19</v>
      </c>
      <c r="K62" s="23">
        <f t="shared" ref="K62:K90" si="12">C62*8.002+D62*0.57+E62*7.1+F62*5</f>
        <v>105058.24800000001</v>
      </c>
      <c r="L62" s="23">
        <f t="shared" si="8"/>
        <v>13.271633148054574</v>
      </c>
      <c r="M62" s="13" t="s">
        <v>9</v>
      </c>
      <c r="N62" s="7">
        <v>124754.78625482321</v>
      </c>
      <c r="O62" s="7">
        <v>67499</v>
      </c>
      <c r="P62" s="7">
        <f t="shared" si="1"/>
        <v>76703.409090909088</v>
      </c>
      <c r="Q62" s="7">
        <v>8470</v>
      </c>
      <c r="R62" s="7">
        <v>0</v>
      </c>
      <c r="S62" s="7">
        <f t="shared" si="2"/>
        <v>0</v>
      </c>
      <c r="T62" s="7">
        <v>5448</v>
      </c>
      <c r="U62" s="7">
        <f>N62*0.57+P62*5.245+Q62*4.18+S62*8.97</f>
        <v>508824.20884706738</v>
      </c>
      <c r="V62" s="7">
        <f t="shared" si="4"/>
        <v>93.396514105555681</v>
      </c>
      <c r="W62" s="14" t="s">
        <v>10</v>
      </c>
      <c r="X62" s="7">
        <v>155920</v>
      </c>
      <c r="Y62" s="7">
        <v>1122636.3636363635</v>
      </c>
      <c r="Z62" s="7">
        <v>1135636.3636363638</v>
      </c>
      <c r="AA62" s="7">
        <v>3852</v>
      </c>
      <c r="AB62" s="7">
        <v>3439</v>
      </c>
      <c r="AC62" s="7">
        <v>0</v>
      </c>
      <c r="AD62" s="7">
        <v>1355211</v>
      </c>
      <c r="AE62" s="7">
        <v>100000</v>
      </c>
      <c r="AF62" s="7">
        <v>12419.927847290039</v>
      </c>
      <c r="AG62" s="7">
        <f t="shared" si="11"/>
        <v>210789.065</v>
      </c>
      <c r="AH62" s="1">
        <f t="shared" si="5"/>
        <v>16.971842960101661</v>
      </c>
    </row>
    <row r="63" spans="1:34" x14ac:dyDescent="0.25">
      <c r="A63" s="13" t="s">
        <v>0</v>
      </c>
      <c r="B63" s="19">
        <v>45719</v>
      </c>
      <c r="C63" s="7">
        <v>16666</v>
      </c>
      <c r="D63" s="7">
        <v>36075</v>
      </c>
      <c r="E63" s="7">
        <v>22500</v>
      </c>
      <c r="F63" s="7">
        <v>0</v>
      </c>
      <c r="G63" s="7">
        <v>9343</v>
      </c>
      <c r="H63" s="7">
        <v>5065</v>
      </c>
      <c r="I63" s="7">
        <v>90000</v>
      </c>
      <c r="J63" s="2">
        <v>18.10000038146973</v>
      </c>
      <c r="K63" s="23">
        <f t="shared" si="12"/>
        <v>313674.08200000005</v>
      </c>
      <c r="L63" s="23">
        <f t="shared" si="8"/>
        <v>33.573165150379971</v>
      </c>
      <c r="M63" s="13" t="s">
        <v>9</v>
      </c>
      <c r="N63" s="7">
        <v>94623.597852423787</v>
      </c>
      <c r="O63" s="7">
        <v>36389</v>
      </c>
      <c r="P63" s="7">
        <f t="shared" si="1"/>
        <v>41351.13636363636</v>
      </c>
      <c r="Q63" s="7">
        <v>5511</v>
      </c>
      <c r="R63" s="7">
        <v>0</v>
      </c>
      <c r="S63" s="7">
        <f t="shared" si="2"/>
        <v>0</v>
      </c>
      <c r="T63" s="7">
        <v>2867</v>
      </c>
      <c r="U63" s="7">
        <f t="shared" ref="U63:U90" si="13">N63*0.57+P63*5.245+Q63*4.18+S63*8.97</f>
        <v>293858.14100315422</v>
      </c>
      <c r="V63" s="7">
        <f t="shared" si="4"/>
        <v>102.4967356132383</v>
      </c>
      <c r="W63" s="14" t="s">
        <v>10</v>
      </c>
      <c r="X63" s="7">
        <v>148090</v>
      </c>
      <c r="Y63" s="7">
        <v>985181.81818181812</v>
      </c>
      <c r="Z63" s="7">
        <v>1000545.4545454545</v>
      </c>
      <c r="AA63" s="7">
        <v>3877</v>
      </c>
      <c r="AB63" s="7">
        <v>3555</v>
      </c>
      <c r="AC63" s="7">
        <v>0</v>
      </c>
      <c r="AD63" s="7">
        <v>1181572.92</v>
      </c>
      <c r="AE63" s="7">
        <v>87500</v>
      </c>
      <c r="AF63" s="7">
        <v>11046.140864181518</v>
      </c>
      <c r="AG63" s="7">
        <f t="shared" si="11"/>
        <v>195573.53016363634</v>
      </c>
      <c r="AH63" s="1">
        <f t="shared" si="5"/>
        <v>17.705145404926689</v>
      </c>
    </row>
    <row r="64" spans="1:34" x14ac:dyDescent="0.25">
      <c r="A64" s="13" t="s">
        <v>0</v>
      </c>
      <c r="B64" s="19">
        <v>45720</v>
      </c>
      <c r="C64" s="7">
        <v>11820</v>
      </c>
      <c r="D64" s="7">
        <v>37503</v>
      </c>
      <c r="E64" s="7">
        <v>14000</v>
      </c>
      <c r="F64" s="7">
        <v>0</v>
      </c>
      <c r="G64" s="7">
        <v>6778</v>
      </c>
      <c r="H64" s="7">
        <v>6406</v>
      </c>
      <c r="I64" s="7">
        <v>56000</v>
      </c>
      <c r="J64" s="2">
        <v>17.29999923706055</v>
      </c>
      <c r="K64" s="23">
        <f t="shared" si="12"/>
        <v>215360.35</v>
      </c>
      <c r="L64" s="23">
        <f t="shared" si="8"/>
        <v>31.773436116848629</v>
      </c>
      <c r="M64" s="13" t="s">
        <v>9</v>
      </c>
      <c r="N64" s="7">
        <v>123505.06577806199</v>
      </c>
      <c r="O64" s="7">
        <v>68598</v>
      </c>
      <c r="P64" s="7">
        <f t="shared" si="1"/>
        <v>77952.272727272721</v>
      </c>
      <c r="Q64" s="7">
        <v>8415</v>
      </c>
      <c r="R64" s="7">
        <v>0</v>
      </c>
      <c r="S64" s="7">
        <f t="shared" si="2"/>
        <v>0</v>
      </c>
      <c r="T64" s="7">
        <v>5592</v>
      </c>
      <c r="U64" s="7">
        <f t="shared" si="13"/>
        <v>514432.25794804079</v>
      </c>
      <c r="V64" s="7">
        <f t="shared" si="4"/>
        <v>91.994323667389267</v>
      </c>
      <c r="W64" s="14" t="s">
        <v>10</v>
      </c>
      <c r="X64" s="7">
        <v>145690</v>
      </c>
      <c r="Y64" s="7">
        <v>1029363.6363636365</v>
      </c>
      <c r="Z64" s="7">
        <v>1036363.6363636361</v>
      </c>
      <c r="AA64" s="7">
        <v>3889</v>
      </c>
      <c r="AB64" s="7">
        <v>3739</v>
      </c>
      <c r="AC64" s="7">
        <v>0</v>
      </c>
      <c r="AD64" s="7">
        <v>1236422.8799999999</v>
      </c>
      <c r="AE64" s="7">
        <v>87500</v>
      </c>
      <c r="AF64" s="7">
        <v>11319.725953674317</v>
      </c>
      <c r="AG64" s="7">
        <f t="shared" si="11"/>
        <v>198389.64319999999</v>
      </c>
      <c r="AH64" s="1">
        <f t="shared" si="5"/>
        <v>17.526011143017456</v>
      </c>
    </row>
    <row r="65" spans="1:34" x14ac:dyDescent="0.25">
      <c r="A65" s="13" t="s">
        <v>0</v>
      </c>
      <c r="B65" s="19">
        <v>45721</v>
      </c>
      <c r="C65" s="8">
        <v>7927</v>
      </c>
      <c r="D65" s="8">
        <v>41653</v>
      </c>
      <c r="E65" s="8">
        <v>10000</v>
      </c>
      <c r="F65" s="7">
        <v>0</v>
      </c>
      <c r="G65" s="8">
        <v>7954</v>
      </c>
      <c r="H65" s="8">
        <v>7372</v>
      </c>
      <c r="I65" s="8">
        <v>41667</v>
      </c>
      <c r="J65" s="2">
        <v>16.29999923706055</v>
      </c>
      <c r="K65" s="23">
        <f t="shared" si="12"/>
        <v>158174.06400000001</v>
      </c>
      <c r="L65" s="23">
        <f t="shared" si="8"/>
        <v>19.886103092783507</v>
      </c>
      <c r="M65" s="13" t="s">
        <v>9</v>
      </c>
      <c r="N65" s="8">
        <v>121379.03599569201</v>
      </c>
      <c r="O65" s="8">
        <v>57941</v>
      </c>
      <c r="P65" s="7">
        <f t="shared" si="1"/>
        <v>65842.045454545456</v>
      </c>
      <c r="Q65" s="8">
        <v>7513</v>
      </c>
      <c r="R65" s="8">
        <v>0</v>
      </c>
      <c r="S65" s="7">
        <f t="shared" si="2"/>
        <v>0</v>
      </c>
      <c r="T65" s="8">
        <v>5460</v>
      </c>
      <c r="U65" s="7">
        <f t="shared" si="13"/>
        <v>445931.91892663541</v>
      </c>
      <c r="V65" s="7">
        <f t="shared" si="4"/>
        <v>81.672512623925897</v>
      </c>
      <c r="W65" s="14" t="s">
        <v>10</v>
      </c>
      <c r="X65" s="8">
        <v>126260</v>
      </c>
      <c r="Y65" s="8">
        <v>737090.90909090906</v>
      </c>
      <c r="Z65" s="8">
        <v>747090.90909090906</v>
      </c>
      <c r="AA65" s="8">
        <v>3630</v>
      </c>
      <c r="AB65" s="8">
        <v>3277</v>
      </c>
      <c r="AC65" s="8">
        <v>0</v>
      </c>
      <c r="AD65" s="8">
        <v>888291.3600000001</v>
      </c>
      <c r="AE65" s="8">
        <v>37500</v>
      </c>
      <c r="AF65" s="8">
        <v>8227.653149261474</v>
      </c>
      <c r="AG65" s="7">
        <f t="shared" si="11"/>
        <v>159169.07040000003</v>
      </c>
      <c r="AH65" s="1">
        <f t="shared" si="5"/>
        <v>19.345622319322889</v>
      </c>
    </row>
    <row r="66" spans="1:34" x14ac:dyDescent="0.25">
      <c r="A66" s="13" t="s">
        <v>0</v>
      </c>
      <c r="B66" s="19">
        <v>45722</v>
      </c>
      <c r="C66" s="7">
        <v>15049</v>
      </c>
      <c r="D66" s="7">
        <v>35618</v>
      </c>
      <c r="E66" s="7">
        <v>0</v>
      </c>
      <c r="F66" s="7">
        <v>0</v>
      </c>
      <c r="G66" s="7">
        <v>14665</v>
      </c>
      <c r="H66" s="7">
        <v>4786</v>
      </c>
      <c r="I66" s="7">
        <v>0</v>
      </c>
      <c r="J66" s="2">
        <v>19.20000076293945</v>
      </c>
      <c r="K66" s="23">
        <f t="shared" si="12"/>
        <v>140724.35800000001</v>
      </c>
      <c r="L66" s="23">
        <f t="shared" si="8"/>
        <v>9.5959330378452101</v>
      </c>
      <c r="M66" s="13" t="s">
        <v>9</v>
      </c>
      <c r="N66" s="7">
        <v>51860</v>
      </c>
      <c r="O66" s="7">
        <v>5724</v>
      </c>
      <c r="P66" s="7">
        <f t="shared" ref="P66:P129" si="14">O66/0.88</f>
        <v>6504.545454545455</v>
      </c>
      <c r="Q66" s="7">
        <v>1439</v>
      </c>
      <c r="R66" s="7">
        <v>0</v>
      </c>
      <c r="S66" s="7">
        <f t="shared" si="2"/>
        <v>0</v>
      </c>
      <c r="T66" s="7">
        <v>447</v>
      </c>
      <c r="U66" s="7">
        <f t="shared" si="13"/>
        <v>69691.560909090913</v>
      </c>
      <c r="V66" s="7">
        <f t="shared" si="4"/>
        <v>155.90953223510272</v>
      </c>
      <c r="W66" s="14" t="s">
        <v>10</v>
      </c>
      <c r="X66" s="7">
        <v>159080</v>
      </c>
      <c r="Y66" s="7">
        <v>1139636.3636363635</v>
      </c>
      <c r="Z66" s="7">
        <v>1157909.0909090908</v>
      </c>
      <c r="AA66" s="7">
        <v>2082</v>
      </c>
      <c r="AB66" s="7">
        <v>3754</v>
      </c>
      <c r="AC66" s="7">
        <v>1756</v>
      </c>
      <c r="AD66" s="7">
        <v>1359380.88</v>
      </c>
      <c r="AE66" s="7">
        <v>75000</v>
      </c>
      <c r="AF66" s="7">
        <v>12666.949757556915</v>
      </c>
      <c r="AG66" s="7">
        <f t="shared" si="11"/>
        <v>208990.04047272727</v>
      </c>
      <c r="AH66" s="1">
        <f t="shared" si="5"/>
        <v>16.498844984211523</v>
      </c>
    </row>
    <row r="67" spans="1:34" x14ac:dyDescent="0.25">
      <c r="A67" s="13" t="s">
        <v>0</v>
      </c>
      <c r="B67" s="19">
        <v>45723</v>
      </c>
      <c r="C67" s="7">
        <v>17603</v>
      </c>
      <c r="D67" s="7">
        <v>44504</v>
      </c>
      <c r="E67" s="7">
        <v>0</v>
      </c>
      <c r="F67" s="7">
        <v>0</v>
      </c>
      <c r="G67" s="7">
        <v>14828</v>
      </c>
      <c r="H67" s="7">
        <v>8971</v>
      </c>
      <c r="I67" s="7">
        <v>0</v>
      </c>
      <c r="J67" s="2">
        <v>15.94999980926514</v>
      </c>
      <c r="K67" s="23">
        <f t="shared" si="12"/>
        <v>166226.486</v>
      </c>
      <c r="L67" s="23">
        <f t="shared" si="8"/>
        <v>11.210310628540599</v>
      </c>
      <c r="M67" s="13" t="s">
        <v>9</v>
      </c>
      <c r="N67" s="7">
        <v>84293</v>
      </c>
      <c r="O67" s="7">
        <v>0</v>
      </c>
      <c r="P67" s="7">
        <f t="shared" si="14"/>
        <v>0</v>
      </c>
      <c r="Q67" s="7">
        <v>10560</v>
      </c>
      <c r="R67" s="7">
        <v>0</v>
      </c>
      <c r="S67" s="7">
        <f t="shared" ref="S67:S130" si="15">R67/0.75</f>
        <v>0</v>
      </c>
      <c r="T67" s="26">
        <v>464.66666666668607</v>
      </c>
      <c r="U67" s="7">
        <f t="shared" si="13"/>
        <v>92187.81</v>
      </c>
      <c r="V67" s="7">
        <f t="shared" ref="V67:V130" si="16">U67/T67</f>
        <v>198.39557388808353</v>
      </c>
      <c r="W67" s="14" t="s">
        <v>10</v>
      </c>
      <c r="X67" s="7">
        <v>129270</v>
      </c>
      <c r="Y67" s="7">
        <v>1103000</v>
      </c>
      <c r="Z67" s="7">
        <v>1115181.8181818181</v>
      </c>
      <c r="AA67" s="7">
        <v>3737</v>
      </c>
      <c r="AB67" s="7">
        <v>3509</v>
      </c>
      <c r="AC67" s="7">
        <v>35</v>
      </c>
      <c r="AD67" s="7">
        <v>1087697.1599999999</v>
      </c>
      <c r="AE67" s="7">
        <v>75000</v>
      </c>
      <c r="AF67" s="7">
        <v>10230.377526721953</v>
      </c>
      <c r="AG67" s="7">
        <f t="shared" si="11"/>
        <v>189251.67558181816</v>
      </c>
      <c r="AH67" s="1">
        <f t="shared" ref="AH67:AH130" si="17">AG67/AF67</f>
        <v>18.498992347788626</v>
      </c>
    </row>
    <row r="68" spans="1:34" x14ac:dyDescent="0.25">
      <c r="A68" s="13" t="s">
        <v>0</v>
      </c>
      <c r="B68" s="19">
        <v>45724</v>
      </c>
      <c r="C68" s="7">
        <v>10569</v>
      </c>
      <c r="D68" s="7">
        <v>32975</v>
      </c>
      <c r="E68" s="7">
        <v>0</v>
      </c>
      <c r="F68" s="7">
        <v>0</v>
      </c>
      <c r="G68" s="7">
        <v>10201</v>
      </c>
      <c r="H68" s="7">
        <v>6074</v>
      </c>
      <c r="I68" s="7">
        <v>0</v>
      </c>
      <c r="J68" s="2">
        <v>15.05000019073486</v>
      </c>
      <c r="K68" s="23">
        <f t="shared" si="12"/>
        <v>103368.88800000001</v>
      </c>
      <c r="L68" s="23">
        <f t="shared" si="8"/>
        <v>10.133211253798647</v>
      </c>
      <c r="M68" s="13" t="s">
        <v>9</v>
      </c>
      <c r="N68" s="7">
        <v>85925</v>
      </c>
      <c r="O68" s="7">
        <v>0</v>
      </c>
      <c r="P68" s="7">
        <f t="shared" si="14"/>
        <v>0</v>
      </c>
      <c r="Q68" s="7">
        <v>20850</v>
      </c>
      <c r="R68" s="7">
        <v>0</v>
      </c>
      <c r="S68" s="7">
        <f t="shared" si="15"/>
        <v>0</v>
      </c>
      <c r="T68" s="26">
        <v>482.33333333331393</v>
      </c>
      <c r="U68" s="7">
        <f t="shared" si="13"/>
        <v>136130.25</v>
      </c>
      <c r="V68" s="7">
        <f t="shared" si="16"/>
        <v>282.23272287492495</v>
      </c>
      <c r="W68" s="14" t="s">
        <v>10</v>
      </c>
      <c r="X68" s="7">
        <v>120390</v>
      </c>
      <c r="Y68" s="7">
        <v>1120090.9090909092</v>
      </c>
      <c r="Z68" s="7">
        <v>1128636.3636363638</v>
      </c>
      <c r="AA68" s="7">
        <v>3777</v>
      </c>
      <c r="AB68" s="7">
        <v>4812</v>
      </c>
      <c r="AC68" s="7">
        <v>0</v>
      </c>
      <c r="AD68" s="7">
        <v>1067275.44</v>
      </c>
      <c r="AE68" s="7">
        <v>62500</v>
      </c>
      <c r="AF68" s="7">
        <v>10454.178421173096</v>
      </c>
      <c r="AG68" s="7">
        <f t="shared" si="11"/>
        <v>190873.88614545454</v>
      </c>
      <c r="AH68" s="1">
        <f t="shared" si="17"/>
        <v>18.258143151533854</v>
      </c>
    </row>
    <row r="69" spans="1:34" x14ac:dyDescent="0.25">
      <c r="A69" s="13" t="s">
        <v>0</v>
      </c>
      <c r="B69" s="19">
        <v>45725</v>
      </c>
      <c r="C69" s="7">
        <v>14991</v>
      </c>
      <c r="D69" s="7">
        <v>45697</v>
      </c>
      <c r="E69" s="7">
        <v>0</v>
      </c>
      <c r="F69" s="7">
        <v>0</v>
      </c>
      <c r="G69" s="7">
        <v>1251</v>
      </c>
      <c r="H69" s="7">
        <v>6268</v>
      </c>
      <c r="I69" s="7">
        <v>0</v>
      </c>
      <c r="J69" s="2">
        <v>17.20000076293945</v>
      </c>
      <c r="K69" s="23">
        <f t="shared" si="12"/>
        <v>146005.272</v>
      </c>
      <c r="L69" s="23">
        <f t="shared" si="8"/>
        <v>116.71084892086331</v>
      </c>
      <c r="M69" s="13" t="s">
        <v>9</v>
      </c>
      <c r="N69" s="7">
        <v>89639</v>
      </c>
      <c r="O69" s="7">
        <v>12690</v>
      </c>
      <c r="P69" s="7">
        <f t="shared" si="14"/>
        <v>14420.454545454546</v>
      </c>
      <c r="Q69" s="7">
        <v>13818</v>
      </c>
      <c r="R69" s="7">
        <v>0</v>
      </c>
      <c r="S69" s="7">
        <f t="shared" si="15"/>
        <v>0</v>
      </c>
      <c r="T69" s="7">
        <v>500</v>
      </c>
      <c r="U69" s="7">
        <f t="shared" si="13"/>
        <v>184488.75409090909</v>
      </c>
      <c r="V69" s="7">
        <f t="shared" si="16"/>
        <v>368.97750818181817</v>
      </c>
      <c r="W69" s="14" t="s">
        <v>10</v>
      </c>
      <c r="X69" s="7">
        <v>153300</v>
      </c>
      <c r="Y69" s="7">
        <v>1069727.2727272727</v>
      </c>
      <c r="Z69" s="7">
        <v>1084181.8181818181</v>
      </c>
      <c r="AA69" s="7">
        <v>3620</v>
      </c>
      <c r="AB69" s="7">
        <v>5299</v>
      </c>
      <c r="AC69" s="7">
        <v>0</v>
      </c>
      <c r="AD69" s="7">
        <v>1182214.44</v>
      </c>
      <c r="AE69" s="7">
        <v>68750</v>
      </c>
      <c r="AF69" s="7">
        <v>11179.596045684815</v>
      </c>
      <c r="AG69" s="7">
        <f t="shared" si="11"/>
        <v>210744.01205454546</v>
      </c>
      <c r="AH69" s="1">
        <f t="shared" si="17"/>
        <v>18.850771637307059</v>
      </c>
    </row>
    <row r="70" spans="1:34" x14ac:dyDescent="0.25">
      <c r="A70" s="13" t="s">
        <v>0</v>
      </c>
      <c r="B70" s="19">
        <v>45726</v>
      </c>
      <c r="C70" s="8">
        <v>12460</v>
      </c>
      <c r="D70" s="8">
        <v>37577</v>
      </c>
      <c r="E70" s="8">
        <v>10000</v>
      </c>
      <c r="F70" s="7">
        <v>0</v>
      </c>
      <c r="G70" s="8">
        <v>7642</v>
      </c>
      <c r="H70" s="8">
        <v>4550</v>
      </c>
      <c r="I70" s="8">
        <v>41667</v>
      </c>
      <c r="J70" s="2">
        <v>18.04999923706055</v>
      </c>
      <c r="K70" s="23">
        <f t="shared" si="12"/>
        <v>192123.81</v>
      </c>
      <c r="L70" s="23">
        <f t="shared" si="8"/>
        <v>25.140514263281862</v>
      </c>
      <c r="M70" s="13" t="s">
        <v>9</v>
      </c>
      <c r="N70" s="8">
        <v>48828</v>
      </c>
      <c r="O70" s="8">
        <v>8403</v>
      </c>
      <c r="P70" s="7">
        <f t="shared" si="14"/>
        <v>9548.863636363636</v>
      </c>
      <c r="Q70" s="8">
        <v>4000</v>
      </c>
      <c r="R70" s="8">
        <v>0</v>
      </c>
      <c r="S70" s="7">
        <f t="shared" si="15"/>
        <v>0</v>
      </c>
      <c r="T70" s="8">
        <v>434</v>
      </c>
      <c r="U70" s="7">
        <f t="shared" si="13"/>
        <v>94635.749772727271</v>
      </c>
      <c r="V70" s="7">
        <f t="shared" si="16"/>
        <v>218.05472297863426</v>
      </c>
      <c r="W70" s="14" t="s">
        <v>10</v>
      </c>
      <c r="X70" s="8">
        <v>156820</v>
      </c>
      <c r="Y70" s="8">
        <v>1006454.5454545454</v>
      </c>
      <c r="Z70" s="8">
        <v>1101090.9090909089</v>
      </c>
      <c r="AA70" s="8">
        <v>3324</v>
      </c>
      <c r="AB70" s="8">
        <v>4988</v>
      </c>
      <c r="AC70" s="8">
        <v>0</v>
      </c>
      <c r="AD70" s="8">
        <v>1201353.1200000001</v>
      </c>
      <c r="AE70" s="8">
        <v>87500</v>
      </c>
      <c r="AF70" s="8">
        <v>11422.390558605193</v>
      </c>
      <c r="AG70" s="7">
        <f t="shared" si="11"/>
        <v>210176.06043636362</v>
      </c>
      <c r="AH70" s="1">
        <f t="shared" si="17"/>
        <v>18.400356681730251</v>
      </c>
    </row>
    <row r="71" spans="1:34" x14ac:dyDescent="0.25">
      <c r="A71" s="13" t="s">
        <v>0</v>
      </c>
      <c r="B71" s="19">
        <v>45727</v>
      </c>
      <c r="C71" s="7">
        <v>16764</v>
      </c>
      <c r="D71" s="7">
        <v>38546</v>
      </c>
      <c r="E71" s="7">
        <v>10000</v>
      </c>
      <c r="F71" s="7">
        <v>0</v>
      </c>
      <c r="G71" s="7">
        <v>12765</v>
      </c>
      <c r="H71" s="7">
        <v>5219</v>
      </c>
      <c r="I71" s="7">
        <v>47667</v>
      </c>
      <c r="J71" s="2">
        <v>19.54999923706055</v>
      </c>
      <c r="K71" s="23">
        <f t="shared" si="12"/>
        <v>227116.74800000002</v>
      </c>
      <c r="L71" s="23">
        <f t="shared" si="8"/>
        <v>17.792146337641991</v>
      </c>
      <c r="M71" s="13" t="s">
        <v>9</v>
      </c>
      <c r="N71" s="7">
        <v>114156</v>
      </c>
      <c r="O71" s="7">
        <v>71590</v>
      </c>
      <c r="P71" s="7">
        <f t="shared" si="14"/>
        <v>81352.272727272721</v>
      </c>
      <c r="Q71" s="7">
        <v>0</v>
      </c>
      <c r="R71" s="7">
        <v>0</v>
      </c>
      <c r="S71" s="7">
        <f t="shared" si="15"/>
        <v>0</v>
      </c>
      <c r="T71" s="7">
        <v>4865</v>
      </c>
      <c r="U71" s="7">
        <f t="shared" si="13"/>
        <v>491761.5904545454</v>
      </c>
      <c r="V71" s="7">
        <f t="shared" si="16"/>
        <v>101.08151910679247</v>
      </c>
      <c r="W71" s="14" t="s">
        <v>10</v>
      </c>
      <c r="X71" s="7">
        <v>147840</v>
      </c>
      <c r="Y71" s="7">
        <v>1051636.3636363638</v>
      </c>
      <c r="Z71" s="7">
        <v>1145090.9090909089</v>
      </c>
      <c r="AA71" s="7">
        <v>3578</v>
      </c>
      <c r="AB71" s="7">
        <v>3465</v>
      </c>
      <c r="AC71" s="7">
        <v>0</v>
      </c>
      <c r="AD71" s="7">
        <v>1195793.28</v>
      </c>
      <c r="AE71" s="7">
        <v>75000</v>
      </c>
      <c r="AF71" s="7">
        <v>11178.091125297546</v>
      </c>
      <c r="AG71" s="7">
        <f t="shared" si="11"/>
        <v>200254.24465454544</v>
      </c>
      <c r="AH71" s="1">
        <f t="shared" si="17"/>
        <v>17.914887471380759</v>
      </c>
    </row>
    <row r="72" spans="1:34" x14ac:dyDescent="0.25">
      <c r="A72" s="13" t="s">
        <v>0</v>
      </c>
      <c r="B72" s="19">
        <v>45728</v>
      </c>
      <c r="C72" s="7">
        <v>12884</v>
      </c>
      <c r="D72" s="7">
        <v>38420</v>
      </c>
      <c r="E72" s="7">
        <v>22500</v>
      </c>
      <c r="F72" s="7">
        <v>0</v>
      </c>
      <c r="G72" s="7">
        <v>15453</v>
      </c>
      <c r="H72" s="7">
        <v>4305</v>
      </c>
      <c r="I72" s="7">
        <v>91836</v>
      </c>
      <c r="J72" s="2">
        <v>17.14999961853027</v>
      </c>
      <c r="K72" s="23">
        <f t="shared" si="12"/>
        <v>284747.16800000001</v>
      </c>
      <c r="L72" s="23">
        <f t="shared" si="8"/>
        <v>18.426659418883066</v>
      </c>
      <c r="M72" s="13" t="s">
        <v>9</v>
      </c>
      <c r="N72" s="7">
        <v>108284</v>
      </c>
      <c r="O72" s="7">
        <v>63210</v>
      </c>
      <c r="P72" s="7">
        <f t="shared" si="14"/>
        <v>71829.545454545456</v>
      </c>
      <c r="Q72" s="7">
        <v>0</v>
      </c>
      <c r="R72" s="7">
        <v>0</v>
      </c>
      <c r="S72" s="7">
        <f t="shared" si="15"/>
        <v>0</v>
      </c>
      <c r="T72" s="7">
        <v>4620</v>
      </c>
      <c r="U72" s="7">
        <f t="shared" si="13"/>
        <v>438467.84590909095</v>
      </c>
      <c r="V72" s="7">
        <f t="shared" si="16"/>
        <v>94.906460153482882</v>
      </c>
      <c r="W72" s="14" t="s">
        <v>10</v>
      </c>
      <c r="X72" s="7">
        <v>151530</v>
      </c>
      <c r="Y72" s="7">
        <v>1028454.5454545454</v>
      </c>
      <c r="Z72" s="7">
        <v>1114000</v>
      </c>
      <c r="AA72" s="7">
        <v>3743</v>
      </c>
      <c r="AB72" s="7">
        <v>3332</v>
      </c>
      <c r="AC72" s="7">
        <v>0</v>
      </c>
      <c r="AD72" s="7">
        <v>1168421.76</v>
      </c>
      <c r="AE72" s="7">
        <v>100000</v>
      </c>
      <c r="AF72" s="7">
        <v>10850.013944740296</v>
      </c>
      <c r="AG72" s="7">
        <f t="shared" si="11"/>
        <v>201246.38094545453</v>
      </c>
      <c r="AH72" s="1">
        <f t="shared" si="17"/>
        <v>18.548029704884542</v>
      </c>
    </row>
    <row r="73" spans="1:34" x14ac:dyDescent="0.25">
      <c r="A73" s="13" t="s">
        <v>0</v>
      </c>
      <c r="B73" s="19">
        <v>45729</v>
      </c>
      <c r="C73" s="7">
        <v>15286</v>
      </c>
      <c r="D73" s="7">
        <v>36737</v>
      </c>
      <c r="E73" s="7">
        <v>16000</v>
      </c>
      <c r="F73" s="7">
        <v>0</v>
      </c>
      <c r="G73" s="7">
        <v>16485</v>
      </c>
      <c r="H73" s="7">
        <v>4874</v>
      </c>
      <c r="I73" s="7">
        <v>65306</v>
      </c>
      <c r="J73" s="2">
        <v>14.5</v>
      </c>
      <c r="K73" s="23">
        <f t="shared" si="12"/>
        <v>256858.66200000001</v>
      </c>
      <c r="L73" s="23">
        <f t="shared" ref="L73:L136" si="18">K73/G73</f>
        <v>15.581356505914469</v>
      </c>
      <c r="M73" s="13" t="s">
        <v>9</v>
      </c>
      <c r="N73" s="7">
        <v>120000</v>
      </c>
      <c r="O73" s="7">
        <v>74600</v>
      </c>
      <c r="P73" s="7">
        <f t="shared" si="14"/>
        <v>84772.727272727279</v>
      </c>
      <c r="Q73" s="7">
        <v>0</v>
      </c>
      <c r="R73" s="7">
        <v>0</v>
      </c>
      <c r="S73" s="7">
        <f t="shared" si="15"/>
        <v>0</v>
      </c>
      <c r="T73" s="7">
        <v>5140</v>
      </c>
      <c r="U73" s="7">
        <f t="shared" si="13"/>
        <v>513032.95454545459</v>
      </c>
      <c r="V73" s="7">
        <f t="shared" si="16"/>
        <v>99.811858860983378</v>
      </c>
      <c r="W73" s="14" t="s">
        <v>10</v>
      </c>
      <c r="X73" s="7">
        <v>151460</v>
      </c>
      <c r="Y73" s="7">
        <v>1119090.9090909092</v>
      </c>
      <c r="Z73" s="7">
        <v>1218090.9090909092</v>
      </c>
      <c r="AA73" s="7">
        <v>3769</v>
      </c>
      <c r="AB73" s="7">
        <v>4081</v>
      </c>
      <c r="AC73" s="7">
        <v>0</v>
      </c>
      <c r="AD73" s="7">
        <v>1277159.3999999999</v>
      </c>
      <c r="AE73" s="7">
        <v>100000</v>
      </c>
      <c r="AF73" s="7">
        <v>11716.905296173096</v>
      </c>
      <c r="AG73" s="7">
        <f t="shared" si="11"/>
        <v>212574.59100000001</v>
      </c>
      <c r="AH73" s="1">
        <f t="shared" si="17"/>
        <v>18.142554337230141</v>
      </c>
    </row>
    <row r="74" spans="1:34" x14ac:dyDescent="0.25">
      <c r="A74" s="13" t="s">
        <v>0</v>
      </c>
      <c r="B74" s="19">
        <v>45730</v>
      </c>
      <c r="C74" s="7">
        <v>10127</v>
      </c>
      <c r="D74" s="7">
        <v>43784</v>
      </c>
      <c r="E74" s="7">
        <v>20000</v>
      </c>
      <c r="F74" s="7">
        <v>0</v>
      </c>
      <c r="G74" s="7">
        <v>12858</v>
      </c>
      <c r="H74" s="7">
        <v>6143</v>
      </c>
      <c r="I74" s="7">
        <v>81632</v>
      </c>
      <c r="J74" s="2">
        <v>16.45000076293945</v>
      </c>
      <c r="K74" s="23">
        <f t="shared" si="12"/>
        <v>247993.13399999999</v>
      </c>
      <c r="L74" s="23">
        <f t="shared" si="18"/>
        <v>19.287069062062528</v>
      </c>
      <c r="M74" s="13" t="s">
        <v>9</v>
      </c>
      <c r="N74" s="7">
        <v>120000</v>
      </c>
      <c r="O74" s="7">
        <v>71710</v>
      </c>
      <c r="P74" s="7">
        <f t="shared" si="14"/>
        <v>81488.636363636368</v>
      </c>
      <c r="Q74" s="7">
        <v>0</v>
      </c>
      <c r="R74" s="7">
        <v>0</v>
      </c>
      <c r="S74" s="7">
        <f t="shared" si="15"/>
        <v>0</v>
      </c>
      <c r="T74" s="7">
        <v>4055</v>
      </c>
      <c r="U74" s="7">
        <f t="shared" si="13"/>
        <v>495807.89772727276</v>
      </c>
      <c r="V74" s="7">
        <f t="shared" si="16"/>
        <v>122.27075159735456</v>
      </c>
      <c r="W74" s="14" t="s">
        <v>10</v>
      </c>
      <c r="X74" s="7">
        <v>152990</v>
      </c>
      <c r="Y74" s="7">
        <v>1062454.5454545454</v>
      </c>
      <c r="Z74" s="7">
        <v>1159909.0909090908</v>
      </c>
      <c r="AA74" s="7">
        <v>3826</v>
      </c>
      <c r="AB74" s="7">
        <v>5808</v>
      </c>
      <c r="AC74" s="7">
        <v>0</v>
      </c>
      <c r="AD74" s="7">
        <v>1217498.04</v>
      </c>
      <c r="AE74" s="7">
        <v>87500</v>
      </c>
      <c r="AF74" s="7">
        <v>11383.936558017731</v>
      </c>
      <c r="AG74" s="7">
        <f t="shared" si="11"/>
        <v>217319.31605454543</v>
      </c>
      <c r="AH74" s="1">
        <f t="shared" si="17"/>
        <v>19.089997115407936</v>
      </c>
    </row>
    <row r="75" spans="1:34" x14ac:dyDescent="0.25">
      <c r="A75" s="13" t="s">
        <v>0</v>
      </c>
      <c r="B75" s="19">
        <v>45731</v>
      </c>
      <c r="C75" s="8">
        <v>16149</v>
      </c>
      <c r="D75" s="8">
        <v>37253</v>
      </c>
      <c r="E75" s="8">
        <v>0</v>
      </c>
      <c r="F75" s="7">
        <v>0</v>
      </c>
      <c r="G75" s="8">
        <v>10891</v>
      </c>
      <c r="H75" s="8">
        <v>3546</v>
      </c>
      <c r="I75" s="8">
        <v>0</v>
      </c>
      <c r="J75" s="2">
        <v>18.95000076293945</v>
      </c>
      <c r="K75" s="23">
        <f t="shared" si="12"/>
        <v>150458.508</v>
      </c>
      <c r="L75" s="23">
        <f t="shared" si="18"/>
        <v>13.814939674960977</v>
      </c>
      <c r="M75" s="13" t="s">
        <v>9</v>
      </c>
      <c r="N75" s="8">
        <v>120000</v>
      </c>
      <c r="O75" s="8">
        <v>74690</v>
      </c>
      <c r="P75" s="7">
        <f t="shared" si="14"/>
        <v>84875</v>
      </c>
      <c r="Q75" s="8">
        <v>0</v>
      </c>
      <c r="R75" s="8">
        <v>0</v>
      </c>
      <c r="S75" s="7">
        <f t="shared" si="15"/>
        <v>0</v>
      </c>
      <c r="T75" s="8">
        <v>4265</v>
      </c>
      <c r="U75" s="7">
        <f t="shared" si="13"/>
        <v>513569.375</v>
      </c>
      <c r="V75" s="7">
        <f t="shared" si="16"/>
        <v>120.41485932004689</v>
      </c>
      <c r="W75" s="14" t="s">
        <v>10</v>
      </c>
      <c r="X75" s="8">
        <v>155120</v>
      </c>
      <c r="Y75" s="8">
        <v>1066818.1818181819</v>
      </c>
      <c r="Z75" s="8">
        <v>1173727.2727272727</v>
      </c>
      <c r="AA75" s="8">
        <v>4269</v>
      </c>
      <c r="AB75" s="8">
        <v>4385</v>
      </c>
      <c r="AC75" s="8">
        <v>0</v>
      </c>
      <c r="AD75" s="8">
        <v>1221026.3999999999</v>
      </c>
      <c r="AE75" s="8">
        <v>87500</v>
      </c>
      <c r="AF75" s="8">
        <v>11348.897846221924</v>
      </c>
      <c r="AG75" s="7">
        <f t="shared" si="11"/>
        <v>213366.88690909091</v>
      </c>
      <c r="AH75" s="1">
        <f t="shared" si="17"/>
        <v>18.800670320609264</v>
      </c>
    </row>
    <row r="76" spans="1:34" x14ac:dyDescent="0.25">
      <c r="A76" s="13" t="s">
        <v>0</v>
      </c>
      <c r="B76" s="19">
        <v>45732</v>
      </c>
      <c r="C76" s="7">
        <v>9984</v>
      </c>
      <c r="D76" s="7">
        <v>40279</v>
      </c>
      <c r="E76" s="7">
        <v>0</v>
      </c>
      <c r="F76" s="7">
        <v>0</v>
      </c>
      <c r="G76" s="7">
        <v>12762</v>
      </c>
      <c r="H76" s="7">
        <v>4886</v>
      </c>
      <c r="I76" s="7">
        <v>0</v>
      </c>
      <c r="J76" s="2">
        <v>19.45000076293945</v>
      </c>
      <c r="K76" s="23">
        <f t="shared" si="12"/>
        <v>102850.99800000001</v>
      </c>
      <c r="L76" s="23">
        <f t="shared" si="18"/>
        <v>8.0591598495533621</v>
      </c>
      <c r="M76" s="13" t="s">
        <v>9</v>
      </c>
      <c r="N76" s="7">
        <v>120000</v>
      </c>
      <c r="O76" s="7">
        <v>78900</v>
      </c>
      <c r="P76" s="7">
        <f t="shared" si="14"/>
        <v>89659.090909090912</v>
      </c>
      <c r="Q76" s="7">
        <v>0</v>
      </c>
      <c r="R76" s="7">
        <v>0</v>
      </c>
      <c r="S76" s="7">
        <f t="shared" si="15"/>
        <v>0</v>
      </c>
      <c r="T76" s="7">
        <v>4555</v>
      </c>
      <c r="U76" s="7">
        <f t="shared" si="13"/>
        <v>538661.93181818188</v>
      </c>
      <c r="V76" s="7">
        <f t="shared" si="16"/>
        <v>118.25728470212555</v>
      </c>
      <c r="W76" s="14" t="s">
        <v>10</v>
      </c>
      <c r="X76" s="7">
        <v>152840</v>
      </c>
      <c r="Y76" s="7">
        <v>1134363.6363636362</v>
      </c>
      <c r="Z76" s="7">
        <v>1238545.4545454546</v>
      </c>
      <c r="AA76" s="7">
        <v>4880</v>
      </c>
      <c r="AB76" s="7">
        <v>3812</v>
      </c>
      <c r="AC76" s="7">
        <v>0</v>
      </c>
      <c r="AD76" s="7">
        <v>1312549.92</v>
      </c>
      <c r="AE76" s="7">
        <v>100000.00000000001</v>
      </c>
      <c r="AF76" s="7">
        <v>12133.432336006164</v>
      </c>
      <c r="AG76" s="7">
        <f t="shared" si="11"/>
        <v>216969.86698181817</v>
      </c>
      <c r="AH76" s="1">
        <f t="shared" si="17"/>
        <v>17.881985984951385</v>
      </c>
    </row>
    <row r="77" spans="1:34" x14ac:dyDescent="0.25">
      <c r="A77" s="13" t="s">
        <v>0</v>
      </c>
      <c r="B77" s="19">
        <v>45733</v>
      </c>
      <c r="C77" s="7">
        <v>12846</v>
      </c>
      <c r="D77" s="7">
        <v>47770</v>
      </c>
      <c r="E77" s="7">
        <v>26250</v>
      </c>
      <c r="F77" s="7">
        <v>419</v>
      </c>
      <c r="G77" s="7">
        <v>18316</v>
      </c>
      <c r="H77" s="7">
        <v>8806</v>
      </c>
      <c r="I77" s="7">
        <v>109375</v>
      </c>
      <c r="J77" s="2">
        <v>20.35000038146973</v>
      </c>
      <c r="K77" s="23">
        <f t="shared" si="12"/>
        <v>318492.592</v>
      </c>
      <c r="L77" s="23">
        <f t="shared" si="18"/>
        <v>17.388763485477178</v>
      </c>
      <c r="M77" s="13" t="s">
        <v>9</v>
      </c>
      <c r="N77" s="7">
        <v>124180</v>
      </c>
      <c r="O77" s="7">
        <v>75850</v>
      </c>
      <c r="P77" s="7">
        <f t="shared" si="14"/>
        <v>86193.181818181823</v>
      </c>
      <c r="Q77" s="7">
        <v>0</v>
      </c>
      <c r="R77" s="7">
        <v>0</v>
      </c>
      <c r="S77" s="7">
        <f t="shared" si="15"/>
        <v>0</v>
      </c>
      <c r="T77" s="7">
        <v>4405</v>
      </c>
      <c r="U77" s="7">
        <f t="shared" si="13"/>
        <v>522865.83863636362</v>
      </c>
      <c r="V77" s="7">
        <f t="shared" si="16"/>
        <v>118.69826075740377</v>
      </c>
      <c r="W77" s="14" t="s">
        <v>10</v>
      </c>
      <c r="X77" s="7">
        <v>135820</v>
      </c>
      <c r="Y77" s="7">
        <v>1336818.1818181816</v>
      </c>
      <c r="Z77" s="7">
        <v>1372454.5454545454</v>
      </c>
      <c r="AA77" s="7">
        <v>4922</v>
      </c>
      <c r="AB77" s="7">
        <v>3644</v>
      </c>
      <c r="AC77" s="7">
        <v>0</v>
      </c>
      <c r="AD77" s="7">
        <v>1276624.8</v>
      </c>
      <c r="AE77" s="7">
        <v>49999.999999999993</v>
      </c>
      <c r="AF77" s="7">
        <v>12364.182688407898</v>
      </c>
      <c r="AG77" s="7">
        <f t="shared" si="11"/>
        <v>213820.63563636362</v>
      </c>
      <c r="AH77" s="1">
        <f t="shared" si="17"/>
        <v>17.293551949602964</v>
      </c>
    </row>
    <row r="78" spans="1:34" x14ac:dyDescent="0.25">
      <c r="A78" s="13" t="s">
        <v>0</v>
      </c>
      <c r="B78" s="19">
        <v>45734</v>
      </c>
      <c r="C78" s="7">
        <v>14740</v>
      </c>
      <c r="D78" s="7">
        <v>48745</v>
      </c>
      <c r="E78" s="7">
        <v>24500</v>
      </c>
      <c r="F78" s="7">
        <v>0</v>
      </c>
      <c r="G78" s="7">
        <v>18031</v>
      </c>
      <c r="H78" s="7">
        <v>7232</v>
      </c>
      <c r="I78" s="7">
        <v>102083</v>
      </c>
      <c r="J78" s="2">
        <v>22.54999923706055</v>
      </c>
      <c r="K78" s="23">
        <f t="shared" si="12"/>
        <v>319684.13</v>
      </c>
      <c r="L78" s="23">
        <f t="shared" si="18"/>
        <v>17.729694969774279</v>
      </c>
      <c r="M78" s="13" t="s">
        <v>9</v>
      </c>
      <c r="N78" s="7">
        <v>115220</v>
      </c>
      <c r="O78" s="7">
        <v>71940</v>
      </c>
      <c r="P78" s="7">
        <f t="shared" si="14"/>
        <v>81750</v>
      </c>
      <c r="Q78" s="7">
        <v>0</v>
      </c>
      <c r="R78" s="7">
        <v>0</v>
      </c>
      <c r="S78" s="7">
        <f t="shared" si="15"/>
        <v>0</v>
      </c>
      <c r="T78" s="7">
        <v>3660</v>
      </c>
      <c r="U78" s="7">
        <f t="shared" si="13"/>
        <v>494454.15</v>
      </c>
      <c r="V78" s="7">
        <f t="shared" si="16"/>
        <v>135.09676229508199</v>
      </c>
      <c r="W78" s="14" t="s">
        <v>10</v>
      </c>
      <c r="X78" s="7">
        <v>131307</v>
      </c>
      <c r="Y78" s="7">
        <v>1336272.7272727273</v>
      </c>
      <c r="Z78" s="7">
        <v>1351727.2727272727</v>
      </c>
      <c r="AA78" s="7">
        <v>4997</v>
      </c>
      <c r="AB78" s="7">
        <v>4106</v>
      </c>
      <c r="AC78" s="7">
        <v>0</v>
      </c>
      <c r="AD78" s="7">
        <v>1287958.32</v>
      </c>
      <c r="AE78" s="7">
        <v>75000</v>
      </c>
      <c r="AF78" s="7">
        <v>12386.768425254822</v>
      </c>
      <c r="AG78" s="7">
        <f t="shared" si="11"/>
        <v>214399.41025454545</v>
      </c>
      <c r="AH78" s="1">
        <f t="shared" si="17"/>
        <v>17.30874453238475</v>
      </c>
    </row>
    <row r="79" spans="1:34" x14ac:dyDescent="0.25">
      <c r="A79" s="13" t="s">
        <v>0</v>
      </c>
      <c r="B79" s="19">
        <v>45735</v>
      </c>
      <c r="C79" s="7">
        <v>10557</v>
      </c>
      <c r="D79" s="7">
        <v>42792</v>
      </c>
      <c r="E79" s="7">
        <v>22100</v>
      </c>
      <c r="F79" s="7">
        <v>0</v>
      </c>
      <c r="G79" s="7">
        <v>18879</v>
      </c>
      <c r="H79" s="7">
        <v>7702</v>
      </c>
      <c r="I79" s="7">
        <v>88400</v>
      </c>
      <c r="J79" s="2">
        <v>24.14999961853027</v>
      </c>
      <c r="K79" s="23">
        <f t="shared" si="12"/>
        <v>265778.554</v>
      </c>
      <c r="L79" s="23">
        <f t="shared" si="18"/>
        <v>14.077999576248741</v>
      </c>
      <c r="M79" s="13" t="s">
        <v>9</v>
      </c>
      <c r="N79" s="7">
        <v>116940</v>
      </c>
      <c r="O79" s="7">
        <v>74510</v>
      </c>
      <c r="P79" s="7">
        <f t="shared" si="14"/>
        <v>84670.454545454544</v>
      </c>
      <c r="Q79" s="7">
        <v>0</v>
      </c>
      <c r="R79" s="7">
        <v>0</v>
      </c>
      <c r="S79" s="7">
        <f t="shared" si="15"/>
        <v>0</v>
      </c>
      <c r="T79" s="7">
        <v>4170</v>
      </c>
      <c r="U79" s="7">
        <f t="shared" si="13"/>
        <v>510752.33409090911</v>
      </c>
      <c r="V79" s="7">
        <f t="shared" si="16"/>
        <v>122.48257412252016</v>
      </c>
      <c r="W79" s="14" t="s">
        <v>10</v>
      </c>
      <c r="X79" s="7">
        <v>149720</v>
      </c>
      <c r="Y79" s="7">
        <v>1019818.1818181819</v>
      </c>
      <c r="Z79" s="7">
        <v>1130818.1818181816</v>
      </c>
      <c r="AA79" s="7">
        <v>5016</v>
      </c>
      <c r="AB79" s="7">
        <v>3697</v>
      </c>
      <c r="AC79" s="7">
        <v>0</v>
      </c>
      <c r="AD79" s="7">
        <v>1191837.24</v>
      </c>
      <c r="AE79" s="7">
        <v>87500</v>
      </c>
      <c r="AF79" s="7">
        <v>11104.970434112549</v>
      </c>
      <c r="AG79" s="7">
        <f t="shared" si="11"/>
        <v>205939.45859999998</v>
      </c>
      <c r="AH79" s="1">
        <f t="shared" si="17"/>
        <v>18.544800260556261</v>
      </c>
    </row>
    <row r="80" spans="1:34" x14ac:dyDescent="0.25">
      <c r="A80" s="13" t="s">
        <v>0</v>
      </c>
      <c r="B80" s="19">
        <v>45736</v>
      </c>
      <c r="C80" s="8">
        <v>12636</v>
      </c>
      <c r="D80" s="8">
        <v>42186</v>
      </c>
      <c r="E80" s="8">
        <v>27500</v>
      </c>
      <c r="F80" s="7">
        <v>1899</v>
      </c>
      <c r="G80" s="8">
        <v>19029</v>
      </c>
      <c r="H80" s="8">
        <v>7737</v>
      </c>
      <c r="I80" s="8">
        <v>112244</v>
      </c>
      <c r="J80" s="2">
        <v>18.70000076293945</v>
      </c>
      <c r="K80" s="23">
        <f t="shared" si="12"/>
        <v>329904.29200000002</v>
      </c>
      <c r="L80" s="23">
        <f t="shared" si="18"/>
        <v>17.336922171422568</v>
      </c>
      <c r="M80" s="13" t="s">
        <v>9</v>
      </c>
      <c r="N80" s="8">
        <v>51380</v>
      </c>
      <c r="O80" s="8">
        <v>22700</v>
      </c>
      <c r="P80" s="7">
        <f t="shared" si="14"/>
        <v>25795.454545454544</v>
      </c>
      <c r="Q80" s="8">
        <v>0</v>
      </c>
      <c r="R80" s="8">
        <v>0</v>
      </c>
      <c r="S80" s="7">
        <f t="shared" si="15"/>
        <v>0</v>
      </c>
      <c r="T80" s="8">
        <v>1420</v>
      </c>
      <c r="U80" s="7">
        <f t="shared" si="13"/>
        <v>164583.75909090909</v>
      </c>
      <c r="V80" s="7">
        <f t="shared" si="16"/>
        <v>115.90405569782331</v>
      </c>
      <c r="W80" s="14" t="s">
        <v>10</v>
      </c>
      <c r="X80" s="8">
        <v>83550</v>
      </c>
      <c r="Y80" s="8">
        <v>472181.81818181812</v>
      </c>
      <c r="Z80" s="8">
        <v>521909.09090909082</v>
      </c>
      <c r="AA80" s="8">
        <v>3943</v>
      </c>
      <c r="AB80" s="8">
        <v>3361</v>
      </c>
      <c r="AC80" s="8">
        <v>0</v>
      </c>
      <c r="AD80" s="8">
        <v>553845.6</v>
      </c>
      <c r="AE80" s="8">
        <v>37500</v>
      </c>
      <c r="AF80" s="8">
        <v>5074.6886568832397</v>
      </c>
      <c r="AG80" s="7">
        <f t="shared" si="11"/>
        <v>116410.95672727271</v>
      </c>
      <c r="AH80" s="1">
        <f t="shared" si="17"/>
        <v>22.939526855381452</v>
      </c>
    </row>
    <row r="81" spans="1:34" x14ac:dyDescent="0.25">
      <c r="A81" s="13" t="s">
        <v>0</v>
      </c>
      <c r="B81" s="19">
        <v>45737</v>
      </c>
      <c r="C81" s="7">
        <v>11011</v>
      </c>
      <c r="D81" s="7">
        <v>47785</v>
      </c>
      <c r="E81" s="7">
        <v>10000</v>
      </c>
      <c r="F81" s="7">
        <v>782</v>
      </c>
      <c r="G81" s="7">
        <v>18483</v>
      </c>
      <c r="H81" s="7">
        <v>8165</v>
      </c>
      <c r="I81" s="7">
        <v>40000</v>
      </c>
      <c r="J81" s="2">
        <v>16</v>
      </c>
      <c r="K81" s="23">
        <f t="shared" si="12"/>
        <v>190257.47200000001</v>
      </c>
      <c r="L81" s="23">
        <f t="shared" si="18"/>
        <v>10.293646702375156</v>
      </c>
      <c r="M81" s="13" t="s">
        <v>9</v>
      </c>
      <c r="N81" s="7">
        <v>121880</v>
      </c>
      <c r="O81" s="7">
        <v>72830</v>
      </c>
      <c r="P81" s="7">
        <f t="shared" si="14"/>
        <v>82761.363636363632</v>
      </c>
      <c r="Q81" s="7">
        <v>2276</v>
      </c>
      <c r="R81" s="7">
        <v>0</v>
      </c>
      <c r="S81" s="7">
        <f t="shared" si="15"/>
        <v>0</v>
      </c>
      <c r="T81" s="7">
        <v>4740</v>
      </c>
      <c r="U81" s="7">
        <f t="shared" si="13"/>
        <v>513068.63227272721</v>
      </c>
      <c r="V81" s="7">
        <f t="shared" si="16"/>
        <v>108.24232748369772</v>
      </c>
      <c r="W81" s="14" t="s">
        <v>10</v>
      </c>
      <c r="X81" s="7">
        <v>152180</v>
      </c>
      <c r="Y81" s="7">
        <v>1055545.4545454546</v>
      </c>
      <c r="Z81" s="7">
        <v>1168818.1818181819</v>
      </c>
      <c r="AA81" s="7">
        <v>4877</v>
      </c>
      <c r="AB81" s="7">
        <v>3460</v>
      </c>
      <c r="AC81" s="7">
        <v>0</v>
      </c>
      <c r="AD81" s="7">
        <v>1244228.04</v>
      </c>
      <c r="AE81" s="7">
        <v>87500</v>
      </c>
      <c r="AF81" s="7">
        <v>11363.865611572266</v>
      </c>
      <c r="AG81" s="7">
        <f t="shared" si="11"/>
        <v>208759.74787272728</v>
      </c>
      <c r="AH81" s="1">
        <f t="shared" si="17"/>
        <v>18.370487209927855</v>
      </c>
    </row>
    <row r="82" spans="1:34" x14ac:dyDescent="0.25">
      <c r="A82" s="13" t="s">
        <v>0</v>
      </c>
      <c r="B82" s="19">
        <v>45738</v>
      </c>
      <c r="C82" s="7">
        <v>12229</v>
      </c>
      <c r="D82" s="7">
        <v>46059</v>
      </c>
      <c r="E82" s="7">
        <v>6000</v>
      </c>
      <c r="F82" s="7">
        <v>483</v>
      </c>
      <c r="G82" s="7">
        <v>16267</v>
      </c>
      <c r="H82" s="7">
        <v>7959</v>
      </c>
      <c r="I82" s="7">
        <v>24000</v>
      </c>
      <c r="J82" s="2">
        <v>16.54999923706055</v>
      </c>
      <c r="K82" s="23">
        <f t="shared" si="12"/>
        <v>169125.08800000002</v>
      </c>
      <c r="L82" s="23">
        <f t="shared" si="18"/>
        <v>10.396821048749002</v>
      </c>
      <c r="M82" s="13" t="s">
        <v>9</v>
      </c>
      <c r="N82" s="7">
        <v>123564</v>
      </c>
      <c r="O82" s="7">
        <v>60240</v>
      </c>
      <c r="P82" s="7">
        <f t="shared" si="14"/>
        <v>68454.545454545456</v>
      </c>
      <c r="Q82" s="7">
        <v>7833</v>
      </c>
      <c r="R82" s="7">
        <v>0</v>
      </c>
      <c r="S82" s="7">
        <f t="shared" si="15"/>
        <v>0</v>
      </c>
      <c r="T82" s="7">
        <v>4620</v>
      </c>
      <c r="U82" s="7">
        <f t="shared" si="13"/>
        <v>462217.51090909092</v>
      </c>
      <c r="V82" s="7">
        <f t="shared" si="16"/>
        <v>100.04708028335301</v>
      </c>
      <c r="W82" s="14" t="s">
        <v>10</v>
      </c>
      <c r="X82" s="7">
        <v>153700</v>
      </c>
      <c r="Y82" s="7">
        <v>1118545.4545454546</v>
      </c>
      <c r="Z82" s="7">
        <v>1229909.0909090908</v>
      </c>
      <c r="AA82" s="7">
        <v>4880</v>
      </c>
      <c r="AB82" s="7">
        <v>3690</v>
      </c>
      <c r="AC82" s="7">
        <v>0</v>
      </c>
      <c r="AD82" s="7">
        <v>1281329.28</v>
      </c>
      <c r="AE82" s="7">
        <v>112500</v>
      </c>
      <c r="AF82" s="7">
        <v>11985.31001443863</v>
      </c>
      <c r="AG82" s="7">
        <f t="shared" si="11"/>
        <v>216217.07556363635</v>
      </c>
      <c r="AH82" s="1">
        <f t="shared" si="17"/>
        <v>18.0401737880089</v>
      </c>
    </row>
    <row r="83" spans="1:34" x14ac:dyDescent="0.25">
      <c r="A83" s="13" t="s">
        <v>0</v>
      </c>
      <c r="B83" s="19">
        <v>45739</v>
      </c>
      <c r="C83" s="7">
        <v>13933</v>
      </c>
      <c r="D83" s="7">
        <v>47635</v>
      </c>
      <c r="E83" s="7">
        <v>0</v>
      </c>
      <c r="F83" s="7">
        <v>774</v>
      </c>
      <c r="G83" s="7">
        <v>14205</v>
      </c>
      <c r="H83" s="7">
        <v>7528</v>
      </c>
      <c r="I83" s="7">
        <v>0</v>
      </c>
      <c r="J83" s="2">
        <v>16.75</v>
      </c>
      <c r="K83" s="23">
        <f t="shared" si="12"/>
        <v>142513.81599999999</v>
      </c>
      <c r="L83" s="23">
        <f t="shared" si="18"/>
        <v>10.03265160154875</v>
      </c>
      <c r="M83" s="13" t="s">
        <v>9</v>
      </c>
      <c r="N83" s="7">
        <v>101304</v>
      </c>
      <c r="O83" s="7">
        <v>55550</v>
      </c>
      <c r="P83" s="7">
        <f t="shared" si="14"/>
        <v>63125</v>
      </c>
      <c r="Q83" s="7">
        <v>5897</v>
      </c>
      <c r="R83" s="7">
        <v>0</v>
      </c>
      <c r="S83" s="7">
        <f t="shared" si="15"/>
        <v>0</v>
      </c>
      <c r="T83" s="7">
        <v>4165</v>
      </c>
      <c r="U83" s="7">
        <f t="shared" si="13"/>
        <v>413483.36499999999</v>
      </c>
      <c r="V83" s="7">
        <f t="shared" si="16"/>
        <v>99.275717887154855</v>
      </c>
      <c r="W83" s="14" t="s">
        <v>10</v>
      </c>
      <c r="X83" s="7">
        <v>151540</v>
      </c>
      <c r="Y83" s="7">
        <v>1053727.2727272727</v>
      </c>
      <c r="Z83" s="7">
        <v>1162909.0909090908</v>
      </c>
      <c r="AA83" s="7">
        <v>4864</v>
      </c>
      <c r="AB83" s="7">
        <v>3226</v>
      </c>
      <c r="AC83" s="7">
        <v>0</v>
      </c>
      <c r="AD83" s="7">
        <v>1215145.8</v>
      </c>
      <c r="AE83" s="7">
        <v>100000</v>
      </c>
      <c r="AF83" s="7">
        <v>11440.196306762695</v>
      </c>
      <c r="AG83" s="7">
        <f t="shared" si="11"/>
        <v>207071.30518181817</v>
      </c>
      <c r="AH83" s="1">
        <f t="shared" si="17"/>
        <v>18.100327968971229</v>
      </c>
    </row>
    <row r="84" spans="1:34" x14ac:dyDescent="0.25">
      <c r="A84" s="13" t="s">
        <v>0</v>
      </c>
      <c r="B84" s="19">
        <v>45740</v>
      </c>
      <c r="C84" s="7">
        <v>13319</v>
      </c>
      <c r="D84" s="7">
        <v>45875</v>
      </c>
      <c r="E84" s="7">
        <v>18375</v>
      </c>
      <c r="F84" s="7">
        <v>673</v>
      </c>
      <c r="G84" s="7">
        <v>12726</v>
      </c>
      <c r="H84" s="7">
        <v>8876</v>
      </c>
      <c r="I84" s="7">
        <v>75000</v>
      </c>
      <c r="J84" s="2">
        <v>18.29999923706055</v>
      </c>
      <c r="K84" s="23">
        <f t="shared" si="12"/>
        <v>266554.88800000004</v>
      </c>
      <c r="L84" s="23">
        <f t="shared" si="18"/>
        <v>20.94569291214836</v>
      </c>
      <c r="M84" s="13" t="s">
        <v>9</v>
      </c>
      <c r="N84" s="7">
        <v>109120</v>
      </c>
      <c r="O84" s="7">
        <v>60666</v>
      </c>
      <c r="P84" s="7">
        <f t="shared" si="14"/>
        <v>68938.636363636368</v>
      </c>
      <c r="Q84" s="7">
        <v>6952</v>
      </c>
      <c r="R84" s="7">
        <v>0</v>
      </c>
      <c r="S84" s="7">
        <f t="shared" si="15"/>
        <v>0</v>
      </c>
      <c r="T84" s="7">
        <v>4779</v>
      </c>
      <c r="U84" s="7">
        <f t="shared" si="13"/>
        <v>452840.90772727272</v>
      </c>
      <c r="V84" s="7">
        <f t="shared" si="16"/>
        <v>94.756415092545041</v>
      </c>
      <c r="W84" s="14" t="s">
        <v>10</v>
      </c>
      <c r="X84" s="7">
        <v>155941</v>
      </c>
      <c r="Y84" s="7">
        <v>1135272.7272727273</v>
      </c>
      <c r="Z84" s="7">
        <v>1259272.7272727273</v>
      </c>
      <c r="AA84" s="7">
        <v>4932</v>
      </c>
      <c r="AB84" s="7">
        <v>3355</v>
      </c>
      <c r="AC84" s="7">
        <v>0</v>
      </c>
      <c r="AD84" s="7">
        <v>1310518.44</v>
      </c>
      <c r="AE84" s="7">
        <v>112500</v>
      </c>
      <c r="AF84" s="7">
        <v>12104.656089134216</v>
      </c>
      <c r="AG84" s="7">
        <f t="shared" si="11"/>
        <v>217829.64659999998</v>
      </c>
      <c r="AH84" s="1">
        <f t="shared" si="17"/>
        <v>17.995525440457204</v>
      </c>
    </row>
    <row r="85" spans="1:34" x14ac:dyDescent="0.25">
      <c r="A85" s="13" t="s">
        <v>0</v>
      </c>
      <c r="B85" s="19">
        <v>45741</v>
      </c>
      <c r="C85" s="8">
        <v>6468</v>
      </c>
      <c r="D85" s="8">
        <v>47996</v>
      </c>
      <c r="E85" s="8">
        <v>14800</v>
      </c>
      <c r="F85" s="7">
        <v>858</v>
      </c>
      <c r="G85" s="8">
        <v>14865</v>
      </c>
      <c r="H85" s="8">
        <v>9753</v>
      </c>
      <c r="I85" s="8">
        <v>60816</v>
      </c>
      <c r="J85" s="2">
        <v>21.95000076293945</v>
      </c>
      <c r="K85" s="23">
        <f t="shared" si="12"/>
        <v>188484.65600000002</v>
      </c>
      <c r="L85" s="23">
        <f t="shared" si="18"/>
        <v>12.679761587621933</v>
      </c>
      <c r="M85" s="13" t="s">
        <v>9</v>
      </c>
      <c r="N85" s="8">
        <v>15100</v>
      </c>
      <c r="O85" s="7">
        <v>60666</v>
      </c>
      <c r="P85" s="7">
        <f t="shared" si="14"/>
        <v>68938.636363636368</v>
      </c>
      <c r="Q85" s="8">
        <v>0</v>
      </c>
      <c r="R85" s="8">
        <v>0</v>
      </c>
      <c r="S85" s="7">
        <f t="shared" si="15"/>
        <v>0</v>
      </c>
      <c r="T85" s="8">
        <v>2484.5</v>
      </c>
      <c r="U85" s="7">
        <f t="shared" si="13"/>
        <v>370190.14772727276</v>
      </c>
      <c r="V85" s="7">
        <f t="shared" si="16"/>
        <v>148.99985821182241</v>
      </c>
      <c r="W85" s="14" t="s">
        <v>10</v>
      </c>
      <c r="X85" s="8">
        <v>154080</v>
      </c>
      <c r="Y85" s="8">
        <v>1129454.5454545454</v>
      </c>
      <c r="Z85" s="8">
        <v>1249272.7272727271</v>
      </c>
      <c r="AA85" s="8">
        <v>2883</v>
      </c>
      <c r="AB85" s="8">
        <v>3741</v>
      </c>
      <c r="AC85" s="8">
        <v>2516</v>
      </c>
      <c r="AD85" s="8">
        <v>1299184.92</v>
      </c>
      <c r="AE85" s="8">
        <v>87500</v>
      </c>
      <c r="AF85" s="8">
        <v>12259.564162330627</v>
      </c>
      <c r="AG85" s="7">
        <f t="shared" si="11"/>
        <v>210771.0556181818</v>
      </c>
      <c r="AH85" s="1">
        <f t="shared" si="17"/>
        <v>17.192377545182875</v>
      </c>
    </row>
    <row r="86" spans="1:34" x14ac:dyDescent="0.25">
      <c r="A86" s="13" t="s">
        <v>0</v>
      </c>
      <c r="B86" s="19">
        <v>45742</v>
      </c>
      <c r="C86" s="7">
        <v>18500</v>
      </c>
      <c r="D86" s="7">
        <v>45616</v>
      </c>
      <c r="E86" s="7">
        <v>26000</v>
      </c>
      <c r="F86" s="7">
        <v>0</v>
      </c>
      <c r="G86" s="7">
        <v>13651</v>
      </c>
      <c r="H86" s="7">
        <v>6568</v>
      </c>
      <c r="I86" s="7">
        <v>106122</v>
      </c>
      <c r="J86" s="2">
        <v>25.60000038146973</v>
      </c>
      <c r="K86" s="23">
        <f t="shared" si="12"/>
        <v>358638.12</v>
      </c>
      <c r="L86" s="23">
        <f t="shared" si="18"/>
        <v>26.271930261519302</v>
      </c>
      <c r="M86" s="13" t="s">
        <v>9</v>
      </c>
      <c r="N86" s="7">
        <v>23044</v>
      </c>
      <c r="O86" s="7">
        <v>3000</v>
      </c>
      <c r="P86" s="7">
        <f t="shared" si="14"/>
        <v>3409.090909090909</v>
      </c>
      <c r="Q86" s="7">
        <v>99</v>
      </c>
      <c r="R86" s="7">
        <v>0</v>
      </c>
      <c r="S86" s="7">
        <f t="shared" si="15"/>
        <v>0</v>
      </c>
      <c r="T86" s="7">
        <v>190</v>
      </c>
      <c r="U86" s="7">
        <f t="shared" si="13"/>
        <v>31429.581818181818</v>
      </c>
      <c r="V86" s="7">
        <f>U86/T86</f>
        <v>165.41885167464113</v>
      </c>
      <c r="W86" s="14" t="s">
        <v>10</v>
      </c>
      <c r="X86" s="7">
        <v>142680</v>
      </c>
      <c r="Y86" s="7">
        <v>1032090.9090909091</v>
      </c>
      <c r="Z86" s="7">
        <v>1145727.2727272727</v>
      </c>
      <c r="AA86" s="7">
        <v>4731</v>
      </c>
      <c r="AB86" s="7">
        <v>3598</v>
      </c>
      <c r="AC86" s="7">
        <v>0</v>
      </c>
      <c r="AD86" s="7">
        <v>1192051.08</v>
      </c>
      <c r="AE86" s="7">
        <v>112500</v>
      </c>
      <c r="AF86" s="7">
        <v>10908.229376506806</v>
      </c>
      <c r="AG86" s="7">
        <f t="shared" si="11"/>
        <v>202531.72983636364</v>
      </c>
      <c r="AH86" s="1">
        <f t="shared" si="17"/>
        <v>18.566874865370803</v>
      </c>
    </row>
    <row r="87" spans="1:34" x14ac:dyDescent="0.25">
      <c r="A87" s="13" t="s">
        <v>0</v>
      </c>
      <c r="B87" s="19">
        <v>45743</v>
      </c>
      <c r="C87" s="7">
        <v>14233</v>
      </c>
      <c r="D87" s="7">
        <v>50693</v>
      </c>
      <c r="E87" s="7">
        <v>22500</v>
      </c>
      <c r="F87" s="7">
        <v>0</v>
      </c>
      <c r="G87" s="7">
        <f t="shared" ref="G87:G92" si="19">G$86+(G$93-G$86)*(ROW()-86)/(93-86)</f>
        <v>13248.285714285714</v>
      </c>
      <c r="H87" s="7">
        <v>9627</v>
      </c>
      <c r="I87" s="7">
        <v>91836</v>
      </c>
      <c r="J87" s="2">
        <v>28.64999961853027</v>
      </c>
      <c r="K87" s="23">
        <f t="shared" si="12"/>
        <v>302537.47600000002</v>
      </c>
      <c r="L87" s="23">
        <f t="shared" si="18"/>
        <v>22.835971575837309</v>
      </c>
      <c r="M87" s="13" t="s">
        <v>9</v>
      </c>
      <c r="N87" s="7">
        <v>117480</v>
      </c>
      <c r="O87" s="7">
        <v>61200</v>
      </c>
      <c r="P87" s="7">
        <f t="shared" si="14"/>
        <v>69545.454545454544</v>
      </c>
      <c r="Q87" s="7">
        <v>5115</v>
      </c>
      <c r="R87" s="7">
        <v>0</v>
      </c>
      <c r="S87" s="7">
        <f t="shared" si="15"/>
        <v>0</v>
      </c>
      <c r="T87" s="7">
        <v>5100</v>
      </c>
      <c r="U87" s="7">
        <f t="shared" si="13"/>
        <v>453110.20909090911</v>
      </c>
      <c r="V87" s="7">
        <f t="shared" si="16"/>
        <v>88.845139037433157</v>
      </c>
      <c r="W87" s="14" t="s">
        <v>10</v>
      </c>
      <c r="X87" s="7">
        <v>156160</v>
      </c>
      <c r="Y87" s="7">
        <v>1161454.5454545454</v>
      </c>
      <c r="Z87" s="7">
        <v>1291727.2727272727</v>
      </c>
      <c r="AA87" s="7">
        <v>5494</v>
      </c>
      <c r="AB87" s="7">
        <v>3556</v>
      </c>
      <c r="AC87" s="7">
        <v>0</v>
      </c>
      <c r="AD87" s="7">
        <v>1342059.8400000001</v>
      </c>
      <c r="AE87" s="7">
        <v>100000</v>
      </c>
      <c r="AF87" s="7">
        <v>12678.286844635009</v>
      </c>
      <c r="AG87" s="7">
        <f t="shared" si="11"/>
        <v>222340.82487272727</v>
      </c>
      <c r="AH87" s="1">
        <f t="shared" si="17"/>
        <v>17.537134756247752</v>
      </c>
    </row>
    <row r="88" spans="1:34" x14ac:dyDescent="0.25">
      <c r="A88" s="13" t="s">
        <v>0</v>
      </c>
      <c r="B88" s="19">
        <v>45744</v>
      </c>
      <c r="C88" s="7">
        <v>16435</v>
      </c>
      <c r="D88" s="7">
        <v>51538</v>
      </c>
      <c r="E88" s="7">
        <v>22500</v>
      </c>
      <c r="F88" s="7">
        <v>0</v>
      </c>
      <c r="G88" s="7">
        <f t="shared" si="19"/>
        <v>12845.571428571429</v>
      </c>
      <c r="H88" s="7">
        <v>9122</v>
      </c>
      <c r="I88" s="7">
        <v>90000</v>
      </c>
      <c r="J88" s="2">
        <v>30.45000076293945</v>
      </c>
      <c r="K88" s="23">
        <f t="shared" si="12"/>
        <v>320639.53000000003</v>
      </c>
      <c r="L88" s="23">
        <f t="shared" si="18"/>
        <v>24.961095096698141</v>
      </c>
      <c r="M88" s="13" t="s">
        <v>9</v>
      </c>
      <c r="N88" s="7">
        <v>115080</v>
      </c>
      <c r="O88" s="7">
        <v>63200</v>
      </c>
      <c r="P88" s="7">
        <f t="shared" si="14"/>
        <v>71818.181818181823</v>
      </c>
      <c r="Q88" s="7">
        <v>1465</v>
      </c>
      <c r="R88" s="7">
        <v>0</v>
      </c>
      <c r="S88" s="7">
        <f t="shared" si="15"/>
        <v>0</v>
      </c>
      <c r="T88" s="7">
        <v>5060</v>
      </c>
      <c r="U88" s="7">
        <f t="shared" si="13"/>
        <v>448405.66363636364</v>
      </c>
      <c r="V88" s="7">
        <f t="shared" si="16"/>
        <v>88.617720086237867</v>
      </c>
      <c r="W88" s="14" t="s">
        <v>10</v>
      </c>
      <c r="X88" s="7">
        <v>159820</v>
      </c>
      <c r="Y88" s="7">
        <v>1176000</v>
      </c>
      <c r="Z88" s="7">
        <v>1309636.3636363635</v>
      </c>
      <c r="AA88" s="7">
        <v>6158</v>
      </c>
      <c r="AB88" s="7">
        <v>3040</v>
      </c>
      <c r="AC88" s="7">
        <v>0</v>
      </c>
      <c r="AD88" s="7">
        <v>1377771.12</v>
      </c>
      <c r="AE88" s="7">
        <v>87500</v>
      </c>
      <c r="AF88" s="7">
        <v>12620.877496795654</v>
      </c>
      <c r="AG88" s="7">
        <f t="shared" si="11"/>
        <v>224799.83043636361</v>
      </c>
      <c r="AH88" s="1">
        <f t="shared" si="17"/>
        <v>17.811743319229475</v>
      </c>
    </row>
    <row r="89" spans="1:34" x14ac:dyDescent="0.25">
      <c r="A89" s="13" t="s">
        <v>0</v>
      </c>
      <c r="B89" s="19">
        <v>45745</v>
      </c>
      <c r="C89" s="7">
        <v>10840</v>
      </c>
      <c r="D89" s="7">
        <v>50515</v>
      </c>
      <c r="E89" s="7">
        <v>30000</v>
      </c>
      <c r="F89" s="7">
        <v>0</v>
      </c>
      <c r="G89" s="7">
        <f t="shared" si="19"/>
        <v>12442.857142857143</v>
      </c>
      <c r="H89" s="7">
        <v>6864</v>
      </c>
      <c r="I89" s="7">
        <v>120000</v>
      </c>
      <c r="J89" s="2">
        <v>31.85000038146973</v>
      </c>
      <c r="K89" s="23">
        <f t="shared" si="12"/>
        <v>328535.23</v>
      </c>
      <c r="L89" s="23">
        <f t="shared" si="18"/>
        <v>26.40352020665901</v>
      </c>
      <c r="M89" s="13" t="s">
        <v>9</v>
      </c>
      <c r="N89" s="7">
        <v>110680</v>
      </c>
      <c r="O89" s="7">
        <v>62000</v>
      </c>
      <c r="P89" s="7">
        <f t="shared" si="14"/>
        <v>70454.545454545456</v>
      </c>
      <c r="Q89" s="7">
        <v>4728</v>
      </c>
      <c r="R89" s="7">
        <v>0</v>
      </c>
      <c r="S89" s="7">
        <f t="shared" si="15"/>
        <v>0</v>
      </c>
      <c r="T89" s="7">
        <v>5620</v>
      </c>
      <c r="U89" s="7">
        <f t="shared" si="13"/>
        <v>452384.7309090909</v>
      </c>
      <c r="V89" s="7">
        <f t="shared" si="16"/>
        <v>80.495503720478808</v>
      </c>
      <c r="W89" s="14" t="s">
        <v>10</v>
      </c>
      <c r="X89" s="7">
        <v>152600</v>
      </c>
      <c r="Y89" s="7">
        <v>1126909.0909090908</v>
      </c>
      <c r="Z89" s="7">
        <v>1247272.7272727273</v>
      </c>
      <c r="AA89" s="7">
        <v>6068</v>
      </c>
      <c r="AB89" s="7">
        <v>2101</v>
      </c>
      <c r="AC89" s="7">
        <v>0</v>
      </c>
      <c r="AD89" s="7">
        <v>1310411.52</v>
      </c>
      <c r="AE89" s="7">
        <v>112499.99999999999</v>
      </c>
      <c r="AF89" s="7">
        <v>12191.30358757019</v>
      </c>
      <c r="AG89" s="7">
        <f t="shared" si="11"/>
        <v>212439.30916363635</v>
      </c>
      <c r="AH89" s="1">
        <f t="shared" si="17"/>
        <v>17.42547937041218</v>
      </c>
    </row>
    <row r="90" spans="1:34" x14ac:dyDescent="0.25">
      <c r="A90" s="13" t="s">
        <v>0</v>
      </c>
      <c r="B90" s="19">
        <v>45746</v>
      </c>
      <c r="C90" s="26">
        <v>12178.666666667908</v>
      </c>
      <c r="D90" s="7">
        <v>43991</v>
      </c>
      <c r="E90" s="7">
        <v>0</v>
      </c>
      <c r="F90" s="7">
        <v>0</v>
      </c>
      <c r="G90" s="7">
        <f t="shared" si="19"/>
        <v>12040.142857142857</v>
      </c>
      <c r="H90" s="7">
        <v>8086</v>
      </c>
      <c r="I90" s="7">
        <v>0</v>
      </c>
      <c r="J90" s="2">
        <v>25.89999961853027</v>
      </c>
      <c r="K90" s="23">
        <f t="shared" si="12"/>
        <v>122528.56066667661</v>
      </c>
      <c r="L90" s="23">
        <f t="shared" si="18"/>
        <v>10.176670004707304</v>
      </c>
      <c r="M90" s="13" t="s">
        <v>9</v>
      </c>
      <c r="N90" s="8">
        <v>95004</v>
      </c>
      <c r="O90" s="8">
        <v>46800</v>
      </c>
      <c r="P90" s="7">
        <f t="shared" si="14"/>
        <v>53181.818181818184</v>
      </c>
      <c r="Q90" s="8">
        <v>3234</v>
      </c>
      <c r="R90" s="8">
        <v>0</v>
      </c>
      <c r="S90" s="7">
        <f t="shared" si="15"/>
        <v>0</v>
      </c>
      <c r="T90" s="8">
        <v>3895</v>
      </c>
      <c r="U90" s="7">
        <f t="shared" si="13"/>
        <v>346609.03636363638</v>
      </c>
      <c r="V90" s="7">
        <f t="shared" si="16"/>
        <v>88.988199323141558</v>
      </c>
      <c r="W90" s="14" t="s">
        <v>10</v>
      </c>
      <c r="X90" s="8">
        <v>151770</v>
      </c>
      <c r="Y90" s="8">
        <v>1094000</v>
      </c>
      <c r="Z90" s="8">
        <v>1212636.3636363638</v>
      </c>
      <c r="AA90" s="8">
        <v>6272</v>
      </c>
      <c r="AB90" s="8">
        <v>5809</v>
      </c>
      <c r="AC90" s="8">
        <v>0</v>
      </c>
      <c r="AD90" s="8">
        <v>1261228.3199999998</v>
      </c>
      <c r="AE90" s="8">
        <v>87500</v>
      </c>
      <c r="AF90" s="8">
        <v>11705.724423866272</v>
      </c>
      <c r="AG90" s="7">
        <f t="shared" si="11"/>
        <v>227209.18843636365</v>
      </c>
      <c r="AH90" s="1">
        <f t="shared" si="17"/>
        <v>19.410092037799654</v>
      </c>
    </row>
    <row r="91" spans="1:34" x14ac:dyDescent="0.25">
      <c r="A91" s="13" t="s">
        <v>0</v>
      </c>
      <c r="B91" s="19">
        <v>45747</v>
      </c>
      <c r="C91" s="26">
        <v>13517.333333335817</v>
      </c>
      <c r="D91" s="7">
        <v>26819</v>
      </c>
      <c r="E91" s="7">
        <v>0</v>
      </c>
      <c r="F91" s="7">
        <v>0</v>
      </c>
      <c r="G91" s="7">
        <f t="shared" si="19"/>
        <v>11637.428571428571</v>
      </c>
      <c r="H91" s="7">
        <v>4506</v>
      </c>
      <c r="I91" s="7">
        <v>0</v>
      </c>
      <c r="J91" s="2">
        <v>21.25</v>
      </c>
      <c r="K91" s="23">
        <f>C91*8.002+D91*0.57+E91*7.1+F91*5</f>
        <v>123452.53133335321</v>
      </c>
      <c r="L91" s="23">
        <f t="shared" si="18"/>
        <v>10.608231068884542</v>
      </c>
      <c r="M91" s="13" t="s">
        <v>9</v>
      </c>
      <c r="N91" s="7">
        <v>11968</v>
      </c>
      <c r="O91" s="8">
        <v>46500</v>
      </c>
      <c r="P91" s="7">
        <f t="shared" si="14"/>
        <v>52840.909090909088</v>
      </c>
      <c r="Q91" s="7">
        <v>0</v>
      </c>
      <c r="R91" s="7">
        <v>0</v>
      </c>
      <c r="S91" s="7">
        <f t="shared" si="15"/>
        <v>0</v>
      </c>
      <c r="T91" s="24">
        <v>3798.397783790715</v>
      </c>
      <c r="U91" s="7">
        <f>N91*0.57+P91*5.245+Q91*4.18+S91*8.97</f>
        <v>283972.32818181819</v>
      </c>
      <c r="V91" s="7">
        <f t="shared" si="16"/>
        <v>74.761081999795252</v>
      </c>
      <c r="W91" s="14" t="s">
        <v>10</v>
      </c>
      <c r="X91" s="7">
        <v>88100</v>
      </c>
      <c r="Y91" s="7">
        <v>405272.72727272729</v>
      </c>
      <c r="Z91" s="7">
        <v>453272.72727272729</v>
      </c>
      <c r="AA91" s="7">
        <v>6220</v>
      </c>
      <c r="AB91" s="7">
        <v>3548</v>
      </c>
      <c r="AC91" s="7">
        <v>0</v>
      </c>
      <c r="AD91" s="7">
        <v>469592.64</v>
      </c>
      <c r="AE91" s="7">
        <v>25000</v>
      </c>
      <c r="AF91" s="7">
        <v>4361.9750000000004</v>
      </c>
      <c r="AG91" s="7">
        <f t="shared" si="11"/>
        <v>120840.88959999999</v>
      </c>
      <c r="AH91" s="1">
        <f t="shared" si="17"/>
        <v>27.703251302449001</v>
      </c>
    </row>
    <row r="92" spans="1:34" x14ac:dyDescent="0.25">
      <c r="A92" s="13" t="s">
        <v>0</v>
      </c>
      <c r="B92" s="19">
        <v>45748</v>
      </c>
      <c r="C92" s="7">
        <v>14856</v>
      </c>
      <c r="D92" s="7">
        <v>50052</v>
      </c>
      <c r="E92" s="7">
        <v>0</v>
      </c>
      <c r="F92" s="7">
        <v>0</v>
      </c>
      <c r="G92" s="7">
        <f t="shared" si="19"/>
        <v>11234.714285714286</v>
      </c>
      <c r="H92" s="7">
        <v>6919</v>
      </c>
      <c r="I92" s="7">
        <v>0</v>
      </c>
      <c r="J92" s="2">
        <v>23.25</v>
      </c>
      <c r="K92" s="23">
        <f>C92*7.902+D92*0.56+E92*7.3+F92*5</f>
        <v>145421.23200000002</v>
      </c>
      <c r="L92" s="23">
        <f t="shared" si="18"/>
        <v>12.943919026486784</v>
      </c>
      <c r="M92" s="13" t="s">
        <v>9</v>
      </c>
      <c r="N92" s="7">
        <v>22452.702571682632</v>
      </c>
      <c r="O92" s="7">
        <v>40022</v>
      </c>
      <c r="P92" s="7">
        <f t="shared" si="14"/>
        <v>45479.545454545456</v>
      </c>
      <c r="Q92" s="7">
        <v>0</v>
      </c>
      <c r="R92" s="7">
        <v>0</v>
      </c>
      <c r="S92" s="7">
        <f t="shared" si="15"/>
        <v>0</v>
      </c>
      <c r="T92" s="24">
        <v>3701.7955675818957</v>
      </c>
      <c r="U92" s="7">
        <f>N92*0.56+P92*4.884+Q92*4.25+S92*8.89</f>
        <v>234695.6134401423</v>
      </c>
      <c r="V92" s="7">
        <f t="shared" si="16"/>
        <v>63.400479349931061</v>
      </c>
      <c r="W92" s="14" t="s">
        <v>10</v>
      </c>
      <c r="X92" s="7">
        <v>152200</v>
      </c>
      <c r="Y92" s="7">
        <v>1074454.5454545454</v>
      </c>
      <c r="Z92" s="7">
        <v>1204181.8181818181</v>
      </c>
      <c r="AA92" s="7">
        <v>6276</v>
      </c>
      <c r="AB92" s="7">
        <v>2948</v>
      </c>
      <c r="AC92" s="7">
        <v>0</v>
      </c>
      <c r="AD92" s="7">
        <v>1254064.6800000002</v>
      </c>
      <c r="AE92" s="7">
        <v>87500</v>
      </c>
      <c r="AF92" s="7">
        <v>11607.328440685273</v>
      </c>
      <c r="AG92" s="7">
        <f>X92*0.56+Y92*0.0285+Z92*0.032+AA92*3+AB92*5+AD92*0.015+AE92*0.045</f>
        <v>210704.24292727275</v>
      </c>
      <c r="AH92" s="1">
        <f t="shared" si="17"/>
        <v>18.152690690540432</v>
      </c>
    </row>
    <row r="93" spans="1:34" x14ac:dyDescent="0.25">
      <c r="A93" s="13" t="s">
        <v>0</v>
      </c>
      <c r="B93" s="19">
        <v>45749</v>
      </c>
      <c r="C93" s="7">
        <v>12147</v>
      </c>
      <c r="D93" s="7">
        <v>42132</v>
      </c>
      <c r="E93" s="7">
        <v>30000</v>
      </c>
      <c r="F93" s="7">
        <v>0</v>
      </c>
      <c r="G93" s="7">
        <v>10832</v>
      </c>
      <c r="H93" s="7">
        <v>7688</v>
      </c>
      <c r="I93" s="7">
        <v>122448</v>
      </c>
      <c r="J93" s="2">
        <v>26</v>
      </c>
      <c r="K93" s="23">
        <f t="shared" ref="K93:K121" si="20">C93*7.902+D93*0.56+E93*7.3+F93*5</f>
        <v>338579.51399999997</v>
      </c>
      <c r="L93" s="23">
        <f t="shared" si="18"/>
        <v>31.257340657311666</v>
      </c>
      <c r="M93" s="13" t="s">
        <v>9</v>
      </c>
      <c r="N93" s="7">
        <v>23131.297428317368</v>
      </c>
      <c r="O93" s="7">
        <v>41022</v>
      </c>
      <c r="P93" s="7">
        <f t="shared" si="14"/>
        <v>46615.909090909088</v>
      </c>
      <c r="Q93" s="7">
        <v>0</v>
      </c>
      <c r="R93" s="7">
        <v>0</v>
      </c>
      <c r="S93" s="7">
        <f t="shared" si="15"/>
        <v>0</v>
      </c>
      <c r="T93" s="24">
        <v>3605.1933513726108</v>
      </c>
      <c r="U93" s="7">
        <f t="shared" ref="U93:U121" si="21">N93*0.56+P93*4.884+Q93*4.25+S93*8.89</f>
        <v>240625.62655985774</v>
      </c>
      <c r="V93" s="7">
        <f t="shared" si="16"/>
        <v>66.744166847041356</v>
      </c>
      <c r="W93" s="14" t="s">
        <v>10</v>
      </c>
      <c r="X93" s="7">
        <v>116600</v>
      </c>
      <c r="Y93" s="7">
        <v>1224636.3636363635</v>
      </c>
      <c r="Z93" s="7">
        <v>1244181.8181818181</v>
      </c>
      <c r="AA93" s="7">
        <v>6221</v>
      </c>
      <c r="AB93" s="7">
        <v>2947</v>
      </c>
      <c r="AC93" s="7">
        <v>0</v>
      </c>
      <c r="AD93" s="7">
        <v>1186491.24</v>
      </c>
      <c r="AE93" s="7">
        <v>62500</v>
      </c>
      <c r="AF93" s="7">
        <v>11670.221868324279</v>
      </c>
      <c r="AG93" s="7">
        <f t="shared" ref="AG93:AG152" si="22">X93*0.56+Y93*0.0285+Z93*0.032+AA93*3+AB93*5+AD93*0.015+AE93*0.045</f>
        <v>194019.82314545455</v>
      </c>
      <c r="AH93" s="1">
        <f t="shared" si="17"/>
        <v>16.625204330696565</v>
      </c>
    </row>
    <row r="94" spans="1:34" x14ac:dyDescent="0.25">
      <c r="A94" s="13" t="s">
        <v>0</v>
      </c>
      <c r="B94" s="19">
        <v>45750</v>
      </c>
      <c r="C94" s="7">
        <v>19121</v>
      </c>
      <c r="D94" s="7">
        <v>42513</v>
      </c>
      <c r="E94" s="7">
        <v>57100</v>
      </c>
      <c r="F94" s="7">
        <v>1188</v>
      </c>
      <c r="G94" s="7">
        <v>11953</v>
      </c>
      <c r="H94" s="7">
        <v>7312</v>
      </c>
      <c r="I94" s="7">
        <v>235600</v>
      </c>
      <c r="J94" s="2">
        <v>23.64999961853027</v>
      </c>
      <c r="K94" s="23">
        <f t="shared" si="20"/>
        <v>597671.42200000002</v>
      </c>
      <c r="L94" s="23">
        <f t="shared" si="18"/>
        <v>50.001792186062076</v>
      </c>
      <c r="M94" s="13" t="s">
        <v>9</v>
      </c>
      <c r="N94" s="7">
        <v>27880</v>
      </c>
      <c r="O94" s="7">
        <v>64066</v>
      </c>
      <c r="P94" s="7">
        <f t="shared" si="14"/>
        <v>72802.272727272721</v>
      </c>
      <c r="Q94" s="7">
        <v>0</v>
      </c>
      <c r="R94" s="7">
        <v>0</v>
      </c>
      <c r="S94" s="7">
        <f t="shared" si="15"/>
        <v>0</v>
      </c>
      <c r="T94" s="24">
        <v>3508.5911351633258</v>
      </c>
      <c r="U94" s="7">
        <f t="shared" si="21"/>
        <v>371179.1</v>
      </c>
      <c r="V94" s="7">
        <f t="shared" si="16"/>
        <v>105.79149456316502</v>
      </c>
      <c r="W94" s="14" t="s">
        <v>10</v>
      </c>
      <c r="X94" s="7">
        <v>116600</v>
      </c>
      <c r="Y94" s="7">
        <v>1302818.1818181819</v>
      </c>
      <c r="Z94" s="7">
        <v>1312363.6363636362</v>
      </c>
      <c r="AA94" s="7">
        <v>5649</v>
      </c>
      <c r="AB94" s="7">
        <v>2985</v>
      </c>
      <c r="AC94" s="7">
        <v>0</v>
      </c>
      <c r="AD94" s="7">
        <v>1239844.3199999998</v>
      </c>
      <c r="AE94" s="7">
        <v>75000</v>
      </c>
      <c r="AF94" s="7">
        <v>12249.57018705368</v>
      </c>
      <c r="AG94" s="7">
        <f t="shared" si="22"/>
        <v>198266.61934545456</v>
      </c>
      <c r="AH94" s="1">
        <f t="shared" si="17"/>
        <v>16.185598051023742</v>
      </c>
    </row>
    <row r="95" spans="1:34" x14ac:dyDescent="0.25">
      <c r="A95" s="13" t="s">
        <v>0</v>
      </c>
      <c r="B95" s="19">
        <v>45751</v>
      </c>
      <c r="C95" s="7">
        <v>17234</v>
      </c>
      <c r="D95" s="7">
        <v>41565</v>
      </c>
      <c r="E95" s="7">
        <v>9000</v>
      </c>
      <c r="F95" s="7">
        <v>145</v>
      </c>
      <c r="G95" s="7">
        <v>12245</v>
      </c>
      <c r="H95" s="7">
        <v>4095</v>
      </c>
      <c r="I95" s="7">
        <v>37500</v>
      </c>
      <c r="J95" s="2">
        <v>22.85000038146973</v>
      </c>
      <c r="K95" s="23">
        <f t="shared" si="20"/>
        <v>225884.46799999999</v>
      </c>
      <c r="L95" s="23">
        <f t="shared" si="18"/>
        <v>18.447077827684769</v>
      </c>
      <c r="M95" s="13" t="s">
        <v>9</v>
      </c>
      <c r="N95" s="7">
        <v>13988</v>
      </c>
      <c r="O95" s="7">
        <v>64065</v>
      </c>
      <c r="P95" s="7">
        <f t="shared" si="14"/>
        <v>72801.136363636368</v>
      </c>
      <c r="Q95" s="7">
        <v>0</v>
      </c>
      <c r="R95" s="7">
        <v>0</v>
      </c>
      <c r="S95" s="7">
        <f t="shared" si="15"/>
        <v>0</v>
      </c>
      <c r="T95" s="24">
        <v>3411.9889189545065</v>
      </c>
      <c r="U95" s="7">
        <f t="shared" si="21"/>
        <v>363394.03000000009</v>
      </c>
      <c r="V95" s="7">
        <f t="shared" si="16"/>
        <v>106.5050440173617</v>
      </c>
      <c r="W95" s="14" t="s">
        <v>10</v>
      </c>
      <c r="X95" s="7">
        <v>153300</v>
      </c>
      <c r="Y95" s="7">
        <v>1217818.1818181816</v>
      </c>
      <c r="Z95" s="7">
        <v>1351272.7272727273</v>
      </c>
      <c r="AA95" s="7">
        <v>4264</v>
      </c>
      <c r="AB95" s="7">
        <v>2876</v>
      </c>
      <c r="AC95" s="7">
        <v>0</v>
      </c>
      <c r="AD95" s="7">
        <v>1399903.56</v>
      </c>
      <c r="AE95" s="7">
        <v>87500</v>
      </c>
      <c r="AF95" s="7">
        <v>13095.063947277069</v>
      </c>
      <c r="AG95" s="7">
        <f t="shared" si="22"/>
        <v>215904.59885454547</v>
      </c>
      <c r="AH95" s="1">
        <f t="shared" si="17"/>
        <v>16.4874795360919</v>
      </c>
    </row>
    <row r="96" spans="1:34" x14ac:dyDescent="0.25">
      <c r="A96" s="13" t="s">
        <v>0</v>
      </c>
      <c r="B96" s="19">
        <v>45752</v>
      </c>
      <c r="C96" s="8">
        <v>12821</v>
      </c>
      <c r="D96" s="8">
        <v>46761</v>
      </c>
      <c r="E96" s="8">
        <v>0</v>
      </c>
      <c r="F96" s="7">
        <v>927</v>
      </c>
      <c r="G96" s="8">
        <v>7672</v>
      </c>
      <c r="H96" s="8">
        <v>6123</v>
      </c>
      <c r="I96" s="8">
        <v>0</v>
      </c>
      <c r="J96" s="2">
        <v>24.75</v>
      </c>
      <c r="K96" s="23">
        <f t="shared" si="20"/>
        <v>132132.70199999999</v>
      </c>
      <c r="L96" s="23">
        <f t="shared" si="18"/>
        <v>17.222719238790404</v>
      </c>
      <c r="M96" s="13" t="s">
        <v>9</v>
      </c>
      <c r="N96" s="7">
        <v>73563.523407056928</v>
      </c>
      <c r="O96" s="7">
        <v>42486.191843186134</v>
      </c>
      <c r="P96" s="7">
        <f t="shared" si="14"/>
        <v>48279.76345816606</v>
      </c>
      <c r="Q96" s="7">
        <v>0</v>
      </c>
      <c r="R96" s="7">
        <v>0</v>
      </c>
      <c r="S96" s="7">
        <f t="shared" si="15"/>
        <v>0</v>
      </c>
      <c r="T96" s="24">
        <v>3315.3867027451051</v>
      </c>
      <c r="U96" s="7">
        <f t="shared" si="21"/>
        <v>276993.93783763493</v>
      </c>
      <c r="V96" s="7">
        <f t="shared" si="16"/>
        <v>83.54800289459051</v>
      </c>
      <c r="W96" s="14" t="s">
        <v>10</v>
      </c>
      <c r="X96" s="8">
        <v>158600</v>
      </c>
      <c r="Y96" s="8">
        <v>1181909.0909090908</v>
      </c>
      <c r="Z96" s="8">
        <v>1309454.5454545454</v>
      </c>
      <c r="AA96" s="8">
        <v>3454</v>
      </c>
      <c r="AB96" s="8">
        <v>3168</v>
      </c>
      <c r="AC96" s="8">
        <v>0</v>
      </c>
      <c r="AD96" s="8">
        <v>1355104.08</v>
      </c>
      <c r="AE96" s="8">
        <v>100000</v>
      </c>
      <c r="AF96" s="8">
        <v>12573.211115837097</v>
      </c>
      <c r="AG96" s="7">
        <f t="shared" si="22"/>
        <v>215431.51574545456</v>
      </c>
      <c r="AH96" s="1">
        <f t="shared" si="17"/>
        <v>17.134168333028232</v>
      </c>
    </row>
    <row r="97" spans="1:34" x14ac:dyDescent="0.25">
      <c r="A97" s="13" t="s">
        <v>0</v>
      </c>
      <c r="B97" s="19">
        <v>45753</v>
      </c>
      <c r="C97" s="7">
        <v>9146</v>
      </c>
      <c r="D97" s="7">
        <v>44504</v>
      </c>
      <c r="E97" s="7">
        <v>0</v>
      </c>
      <c r="F97" s="7">
        <v>0</v>
      </c>
      <c r="G97" s="7">
        <v>2936</v>
      </c>
      <c r="H97" s="7">
        <v>6928</v>
      </c>
      <c r="I97" s="7">
        <v>0</v>
      </c>
      <c r="J97" s="2">
        <v>28.04999923706055</v>
      </c>
      <c r="K97" s="23">
        <f t="shared" si="20"/>
        <v>97193.932000000001</v>
      </c>
      <c r="L97" s="23">
        <f t="shared" si="18"/>
        <v>33.104200272479567</v>
      </c>
      <c r="M97" s="13" t="s">
        <v>9</v>
      </c>
      <c r="N97" s="7">
        <v>86084</v>
      </c>
      <c r="O97" s="7">
        <v>50433</v>
      </c>
      <c r="P97" s="7">
        <f t="shared" si="14"/>
        <v>57310.227272727272</v>
      </c>
      <c r="Q97" s="7">
        <v>0</v>
      </c>
      <c r="R97" s="7">
        <v>0</v>
      </c>
      <c r="S97" s="7">
        <f t="shared" si="15"/>
        <v>0</v>
      </c>
      <c r="T97" s="7">
        <v>4073</v>
      </c>
      <c r="U97" s="7">
        <f t="shared" si="21"/>
        <v>328110.19000000006</v>
      </c>
      <c r="V97" s="7">
        <f t="shared" si="16"/>
        <v>80.55737539896883</v>
      </c>
      <c r="W97" s="14" t="s">
        <v>10</v>
      </c>
      <c r="X97" s="7">
        <v>155900</v>
      </c>
      <c r="Y97" s="7">
        <v>1220909.0909090908</v>
      </c>
      <c r="Z97" s="7">
        <v>1346727.2727272727</v>
      </c>
      <c r="AA97" s="7">
        <v>3443</v>
      </c>
      <c r="AB97" s="7">
        <v>3254</v>
      </c>
      <c r="AC97" s="7">
        <v>0</v>
      </c>
      <c r="AD97" s="7">
        <v>1400545.08</v>
      </c>
      <c r="AE97" s="7">
        <v>112500</v>
      </c>
      <c r="AF97" s="7">
        <v>12876.650473594666</v>
      </c>
      <c r="AG97" s="7">
        <f t="shared" si="22"/>
        <v>217864.85801818181</v>
      </c>
      <c r="AH97" s="1">
        <f t="shared" si="17"/>
        <v>16.919373439928616</v>
      </c>
    </row>
    <row r="98" spans="1:34" x14ac:dyDescent="0.25">
      <c r="A98" s="13" t="s">
        <v>0</v>
      </c>
      <c r="B98" s="19">
        <v>45754</v>
      </c>
      <c r="C98" s="7">
        <v>18975</v>
      </c>
      <c r="D98" s="7">
        <v>49349</v>
      </c>
      <c r="E98" s="7">
        <v>6400</v>
      </c>
      <c r="F98" s="7">
        <v>0</v>
      </c>
      <c r="G98" s="7">
        <v>9577</v>
      </c>
      <c r="H98" s="7">
        <v>11147</v>
      </c>
      <c r="I98" s="7">
        <v>26122</v>
      </c>
      <c r="J98" s="2">
        <v>36</v>
      </c>
      <c r="K98" s="23">
        <f t="shared" si="20"/>
        <v>224295.89</v>
      </c>
      <c r="L98" s="23">
        <f t="shared" si="18"/>
        <v>23.420266262921583</v>
      </c>
      <c r="M98" s="13" t="s">
        <v>9</v>
      </c>
      <c r="N98" s="7">
        <v>15012</v>
      </c>
      <c r="O98" s="7">
        <v>50233</v>
      </c>
      <c r="P98" s="7">
        <f t="shared" si="14"/>
        <v>57082.954545454544</v>
      </c>
      <c r="Q98" s="7">
        <v>0</v>
      </c>
      <c r="R98" s="7">
        <v>0</v>
      </c>
      <c r="S98" s="7">
        <f t="shared" si="15"/>
        <v>0</v>
      </c>
      <c r="T98" s="7">
        <v>3012</v>
      </c>
      <c r="U98" s="7">
        <f t="shared" si="21"/>
        <v>287199.87</v>
      </c>
      <c r="V98" s="7">
        <f>U98/T98</f>
        <v>95.35188247011952</v>
      </c>
      <c r="W98" s="14" t="s">
        <v>10</v>
      </c>
      <c r="X98" s="7">
        <v>159240</v>
      </c>
      <c r="Y98" s="7">
        <v>1157727.2727272727</v>
      </c>
      <c r="Z98" s="7">
        <v>1275545.4545454546</v>
      </c>
      <c r="AA98" s="7">
        <v>3510</v>
      </c>
      <c r="AB98" s="7">
        <v>3151</v>
      </c>
      <c r="AC98" s="7">
        <v>0</v>
      </c>
      <c r="AD98" s="7">
        <v>1332864.7200000002</v>
      </c>
      <c r="AE98" s="7">
        <v>87500</v>
      </c>
      <c r="AF98" s="7">
        <v>12311.506949615479</v>
      </c>
      <c r="AG98" s="7">
        <f t="shared" si="22"/>
        <v>213202.55261818186</v>
      </c>
      <c r="AH98" s="1">
        <f t="shared" si="17"/>
        <v>17.317340069798746</v>
      </c>
    </row>
    <row r="99" spans="1:34" x14ac:dyDescent="0.25">
      <c r="A99" s="13" t="s">
        <v>0</v>
      </c>
      <c r="B99" s="19">
        <v>45755</v>
      </c>
      <c r="C99" s="7">
        <v>16215</v>
      </c>
      <c r="D99" s="7">
        <v>43050</v>
      </c>
      <c r="E99" s="7">
        <v>30000</v>
      </c>
      <c r="F99" s="7">
        <v>800</v>
      </c>
      <c r="G99" s="7">
        <v>9029</v>
      </c>
      <c r="H99" s="7">
        <v>8600</v>
      </c>
      <c r="I99" s="7">
        <v>120000</v>
      </c>
      <c r="J99" s="2">
        <v>32.049999237060547</v>
      </c>
      <c r="K99" s="23">
        <f t="shared" si="20"/>
        <v>375238.93000000005</v>
      </c>
      <c r="L99" s="23">
        <f t="shared" si="18"/>
        <v>41.559301140768639</v>
      </c>
      <c r="M99" s="13" t="s">
        <v>9</v>
      </c>
      <c r="N99" s="7">
        <v>12660</v>
      </c>
      <c r="O99" s="7">
        <v>50433</v>
      </c>
      <c r="P99" s="7">
        <f t="shared" si="14"/>
        <v>57310.227272727272</v>
      </c>
      <c r="Q99" s="7">
        <v>0</v>
      </c>
      <c r="R99" s="7">
        <v>0</v>
      </c>
      <c r="S99" s="7">
        <f t="shared" si="15"/>
        <v>0</v>
      </c>
      <c r="T99" s="7">
        <v>1951</v>
      </c>
      <c r="U99" s="7">
        <f t="shared" si="21"/>
        <v>286992.75</v>
      </c>
      <c r="V99" s="7">
        <f t="shared" si="16"/>
        <v>147.10033316248078</v>
      </c>
      <c r="W99" s="14" t="s">
        <v>10</v>
      </c>
      <c r="X99" s="7">
        <v>145350</v>
      </c>
      <c r="Y99" s="7">
        <v>1130818.1818181816</v>
      </c>
      <c r="Z99" s="7">
        <v>1323454.5454545454</v>
      </c>
      <c r="AA99" s="7">
        <v>3490</v>
      </c>
      <c r="AB99" s="7">
        <v>2917</v>
      </c>
      <c r="AC99" s="7">
        <v>0</v>
      </c>
      <c r="AD99" s="7">
        <v>1292662.8</v>
      </c>
      <c r="AE99" s="7">
        <v>100000</v>
      </c>
      <c r="AF99" s="7">
        <v>12408.846038246154</v>
      </c>
      <c r="AG99" s="7">
        <f t="shared" si="22"/>
        <v>204919.80563636366</v>
      </c>
      <c r="AH99" s="1">
        <f t="shared" si="17"/>
        <v>16.514009844651653</v>
      </c>
    </row>
    <row r="100" spans="1:34" x14ac:dyDescent="0.25">
      <c r="A100" s="13" t="s">
        <v>0</v>
      </c>
      <c r="B100" s="19">
        <v>45756</v>
      </c>
      <c r="C100" s="7">
        <v>10594</v>
      </c>
      <c r="D100" s="7">
        <v>43639</v>
      </c>
      <c r="E100" s="7">
        <v>25000</v>
      </c>
      <c r="F100" s="7">
        <v>1477</v>
      </c>
      <c r="G100" s="7">
        <v>11948</v>
      </c>
      <c r="H100" s="7">
        <v>7375</v>
      </c>
      <c r="I100" s="7">
        <v>103061</v>
      </c>
      <c r="J100" s="2">
        <v>25.39999961853027</v>
      </c>
      <c r="K100" s="23">
        <f t="shared" si="20"/>
        <v>298036.62800000003</v>
      </c>
      <c r="L100" s="23">
        <f t="shared" si="18"/>
        <v>24.944478406427855</v>
      </c>
      <c r="M100" s="13" t="s">
        <v>9</v>
      </c>
      <c r="N100" s="7">
        <v>33800</v>
      </c>
      <c r="O100" s="7">
        <v>13910</v>
      </c>
      <c r="P100" s="7">
        <f t="shared" si="14"/>
        <v>15806.818181818182</v>
      </c>
      <c r="Q100" s="7">
        <v>0</v>
      </c>
      <c r="R100" s="7">
        <v>0</v>
      </c>
      <c r="S100" s="7">
        <f t="shared" si="15"/>
        <v>0</v>
      </c>
      <c r="T100" s="7">
        <v>890</v>
      </c>
      <c r="U100" s="7">
        <f t="shared" si="21"/>
        <v>96128.5</v>
      </c>
      <c r="V100" s="7">
        <f t="shared" si="16"/>
        <v>108.00955056179775</v>
      </c>
      <c r="W100" s="14" t="s">
        <v>10</v>
      </c>
      <c r="X100" s="7">
        <v>159000</v>
      </c>
      <c r="Y100" s="7">
        <v>1142727.2727272727</v>
      </c>
      <c r="Z100" s="7">
        <v>1342454.5454545454</v>
      </c>
      <c r="AA100" s="7">
        <v>3424</v>
      </c>
      <c r="AB100" s="7">
        <v>2877</v>
      </c>
      <c r="AC100" s="7">
        <v>0</v>
      </c>
      <c r="AD100" s="7">
        <v>1313726.04</v>
      </c>
      <c r="AE100" s="7">
        <v>100000</v>
      </c>
      <c r="AF100" s="7">
        <v>12717.270143508911</v>
      </c>
      <c r="AG100" s="7">
        <f t="shared" si="22"/>
        <v>213429.16332727275</v>
      </c>
      <c r="AH100" s="1">
        <f t="shared" si="17"/>
        <v>16.782624015910383</v>
      </c>
    </row>
    <row r="101" spans="1:34" x14ac:dyDescent="0.25">
      <c r="A101" s="13" t="s">
        <v>0</v>
      </c>
      <c r="B101" s="19">
        <v>45757</v>
      </c>
      <c r="C101" s="8">
        <v>16547</v>
      </c>
      <c r="D101" s="8">
        <v>42533</v>
      </c>
      <c r="E101" s="8">
        <v>26250</v>
      </c>
      <c r="F101" s="7">
        <v>774</v>
      </c>
      <c r="G101" s="8">
        <v>12439</v>
      </c>
      <c r="H101" s="8">
        <v>7468</v>
      </c>
      <c r="I101" s="8">
        <v>107142</v>
      </c>
      <c r="J101" s="2">
        <v>26.20000076293945</v>
      </c>
      <c r="K101" s="23">
        <f t="shared" si="20"/>
        <v>350067.87400000001</v>
      </c>
      <c r="L101" s="23">
        <f t="shared" si="18"/>
        <v>28.142766621111022</v>
      </c>
      <c r="M101" s="13" t="s">
        <v>9</v>
      </c>
      <c r="N101" s="7">
        <v>112576</v>
      </c>
      <c r="O101" s="7">
        <v>64300</v>
      </c>
      <c r="P101" s="7">
        <f t="shared" si="14"/>
        <v>73068.181818181823</v>
      </c>
      <c r="Q101" s="7">
        <v>0</v>
      </c>
      <c r="R101" s="7">
        <v>0</v>
      </c>
      <c r="S101" s="7">
        <f t="shared" si="15"/>
        <v>0</v>
      </c>
      <c r="T101" s="7">
        <v>4492</v>
      </c>
      <c r="U101" s="7">
        <f t="shared" si="21"/>
        <v>419907.56000000006</v>
      </c>
      <c r="V101" s="7">
        <f t="shared" si="16"/>
        <v>93.478975957257362</v>
      </c>
      <c r="W101" s="14" t="s">
        <v>10</v>
      </c>
      <c r="X101" s="8">
        <v>138100</v>
      </c>
      <c r="Y101" s="8">
        <v>912181.81818181823</v>
      </c>
      <c r="Z101" s="8">
        <v>1073181.8181818181</v>
      </c>
      <c r="AA101" s="8">
        <v>3472</v>
      </c>
      <c r="AB101" s="8">
        <v>3007</v>
      </c>
      <c r="AC101" s="8">
        <v>0</v>
      </c>
      <c r="AD101" s="8">
        <v>1038834.72</v>
      </c>
      <c r="AE101" s="8">
        <v>50000</v>
      </c>
      <c r="AF101" s="8">
        <v>9927.3960914611816</v>
      </c>
      <c r="AG101" s="7">
        <f t="shared" si="22"/>
        <v>180958.52080000003</v>
      </c>
      <c r="AH101" s="1">
        <f t="shared" si="17"/>
        <v>18.228195906844824</v>
      </c>
    </row>
    <row r="102" spans="1:34" x14ac:dyDescent="0.25">
      <c r="A102" s="13" t="s">
        <v>0</v>
      </c>
      <c r="B102" s="19">
        <v>45758</v>
      </c>
      <c r="C102" s="7">
        <v>9744</v>
      </c>
      <c r="D102" s="7">
        <v>46633</v>
      </c>
      <c r="E102" s="7">
        <v>16100</v>
      </c>
      <c r="F102" s="7">
        <v>1506</v>
      </c>
      <c r="G102" s="7">
        <v>11433</v>
      </c>
      <c r="H102" s="7">
        <v>7944</v>
      </c>
      <c r="I102" s="7">
        <v>64400</v>
      </c>
      <c r="J102" s="2">
        <v>23.85000038146973</v>
      </c>
      <c r="K102" s="23">
        <f t="shared" si="20"/>
        <v>228171.568</v>
      </c>
      <c r="L102" s="23">
        <f t="shared" si="18"/>
        <v>19.957278754482637</v>
      </c>
      <c r="M102" s="13" t="s">
        <v>9</v>
      </c>
      <c r="N102" s="7">
        <v>117224</v>
      </c>
      <c r="O102" s="7">
        <v>75704</v>
      </c>
      <c r="P102" s="7">
        <f t="shared" si="14"/>
        <v>86027.272727272721</v>
      </c>
      <c r="Q102" s="7">
        <v>825</v>
      </c>
      <c r="R102" s="7">
        <v>0</v>
      </c>
      <c r="S102" s="7">
        <f t="shared" si="15"/>
        <v>0</v>
      </c>
      <c r="T102" s="7">
        <v>4670</v>
      </c>
      <c r="U102" s="7">
        <f t="shared" si="21"/>
        <v>489308.89</v>
      </c>
      <c r="V102" s="7">
        <f t="shared" si="16"/>
        <v>104.7770642398287</v>
      </c>
      <c r="W102" s="14" t="s">
        <v>10</v>
      </c>
      <c r="X102" s="7">
        <v>123150</v>
      </c>
      <c r="Y102" s="7">
        <v>1429000</v>
      </c>
      <c r="Z102" s="7">
        <v>1446363.6363636362</v>
      </c>
      <c r="AA102" s="7">
        <v>3513</v>
      </c>
      <c r="AB102" s="7">
        <v>2952</v>
      </c>
      <c r="AC102" s="7">
        <v>0</v>
      </c>
      <c r="AD102" s="7">
        <v>1230969.96</v>
      </c>
      <c r="AE102" s="7">
        <v>62500</v>
      </c>
      <c r="AF102" s="7">
        <v>12421.736012649537</v>
      </c>
      <c r="AG102" s="7">
        <f t="shared" si="22"/>
        <v>202550.18576363634</v>
      </c>
      <c r="AH102" s="1">
        <f t="shared" si="17"/>
        <v>16.306109351975572</v>
      </c>
    </row>
    <row r="103" spans="1:34" x14ac:dyDescent="0.25">
      <c r="A103" s="13" t="s">
        <v>0</v>
      </c>
      <c r="B103" s="19">
        <v>45759</v>
      </c>
      <c r="C103" s="7">
        <v>17940</v>
      </c>
      <c r="D103" s="7">
        <v>43968</v>
      </c>
      <c r="E103" s="7">
        <v>0</v>
      </c>
      <c r="F103" s="7">
        <v>1560</v>
      </c>
      <c r="G103" s="7">
        <v>9881</v>
      </c>
      <c r="H103" s="7">
        <v>6140</v>
      </c>
      <c r="I103" s="7">
        <v>0</v>
      </c>
      <c r="J103" s="2">
        <v>18.95000076293945</v>
      </c>
      <c r="K103" s="23">
        <f t="shared" si="20"/>
        <v>174183.96000000002</v>
      </c>
      <c r="L103" s="23">
        <f t="shared" si="18"/>
        <v>17.628171237728978</v>
      </c>
      <c r="M103" s="13" t="s">
        <v>9</v>
      </c>
      <c r="N103" s="7">
        <v>122352</v>
      </c>
      <c r="O103" s="7">
        <v>74564</v>
      </c>
      <c r="P103" s="7">
        <f t="shared" si="14"/>
        <v>84731.818181818177</v>
      </c>
      <c r="Q103" s="7">
        <v>4213</v>
      </c>
      <c r="R103" s="7">
        <v>0</v>
      </c>
      <c r="S103" s="7">
        <f t="shared" si="15"/>
        <v>0</v>
      </c>
      <c r="T103" s="7">
        <v>5077</v>
      </c>
      <c r="U103" s="7">
        <f t="shared" si="21"/>
        <v>500252.57</v>
      </c>
      <c r="V103" s="7">
        <f t="shared" si="16"/>
        <v>98.533104195390976</v>
      </c>
      <c r="W103" s="14" t="s">
        <v>10</v>
      </c>
      <c r="X103" s="7">
        <v>116870</v>
      </c>
      <c r="Y103" s="7">
        <v>1332454.5454545454</v>
      </c>
      <c r="Z103" s="7">
        <v>1343454.5454545454</v>
      </c>
      <c r="AA103" s="7">
        <v>3813</v>
      </c>
      <c r="AB103" s="7">
        <v>653</v>
      </c>
      <c r="AC103" s="7">
        <v>0</v>
      </c>
      <c r="AD103" s="7">
        <v>1148534.6399999999</v>
      </c>
      <c r="AE103" s="7">
        <v>87500</v>
      </c>
      <c r="AF103" s="7">
        <v>11693.322011947632</v>
      </c>
      <c r="AG103" s="7">
        <f t="shared" si="22"/>
        <v>182282.21960000001</v>
      </c>
      <c r="AH103" s="1">
        <f t="shared" si="17"/>
        <v>15.588574351561812</v>
      </c>
    </row>
    <row r="104" spans="1:34" x14ac:dyDescent="0.25">
      <c r="A104" s="13" t="s">
        <v>0</v>
      </c>
      <c r="B104" s="19">
        <v>45760</v>
      </c>
      <c r="C104" s="7">
        <v>16232</v>
      </c>
      <c r="D104" s="7">
        <v>43377</v>
      </c>
      <c r="E104" s="7">
        <v>0</v>
      </c>
      <c r="F104" s="7">
        <v>0</v>
      </c>
      <c r="G104" s="7">
        <v>5671</v>
      </c>
      <c r="H104" s="7">
        <v>3946</v>
      </c>
      <c r="I104" s="7">
        <v>0</v>
      </c>
      <c r="J104" s="2">
        <v>20.39999961853027</v>
      </c>
      <c r="K104" s="23">
        <f t="shared" si="20"/>
        <v>152556.38399999999</v>
      </c>
      <c r="L104" s="23">
        <f t="shared" si="18"/>
        <v>26.901143360959264</v>
      </c>
      <c r="M104" s="13" t="s">
        <v>9</v>
      </c>
      <c r="N104" s="7">
        <v>123808</v>
      </c>
      <c r="O104" s="7">
        <v>73954</v>
      </c>
      <c r="P104" s="7">
        <f t="shared" si="14"/>
        <v>84038.636363636368</v>
      </c>
      <c r="Q104" s="7">
        <v>4323</v>
      </c>
      <c r="R104" s="7">
        <v>0</v>
      </c>
      <c r="S104" s="7">
        <f t="shared" si="15"/>
        <v>0</v>
      </c>
      <c r="T104" s="7">
        <v>4858</v>
      </c>
      <c r="U104" s="7">
        <f t="shared" si="21"/>
        <v>498149.93000000005</v>
      </c>
      <c r="V104" s="7">
        <f t="shared" si="16"/>
        <v>102.54218402634831</v>
      </c>
      <c r="W104" s="14" t="s">
        <v>10</v>
      </c>
      <c r="X104" s="7">
        <v>154260</v>
      </c>
      <c r="Y104" s="7">
        <v>1227363.6363636362</v>
      </c>
      <c r="Z104" s="7">
        <v>1251363.6363636362</v>
      </c>
      <c r="AA104" s="7">
        <v>4504</v>
      </c>
      <c r="AB104" s="7">
        <v>4465</v>
      </c>
      <c r="AC104" s="7">
        <v>0</v>
      </c>
      <c r="AD104" s="7">
        <v>1273203.3599999999</v>
      </c>
      <c r="AE104" s="7">
        <v>87500</v>
      </c>
      <c r="AF104" s="7">
        <v>11993.417626533508</v>
      </c>
      <c r="AG104" s="7">
        <f t="shared" si="22"/>
        <v>220281.65040000001</v>
      </c>
      <c r="AH104" s="1">
        <f t="shared" si="17"/>
        <v>18.366879004751929</v>
      </c>
    </row>
    <row r="105" spans="1:34" x14ac:dyDescent="0.25">
      <c r="A105" s="13" t="s">
        <v>0</v>
      </c>
      <c r="B105" s="19">
        <v>45761</v>
      </c>
      <c r="C105" s="7">
        <v>14039</v>
      </c>
      <c r="D105" s="7">
        <v>44000</v>
      </c>
      <c r="E105" s="7">
        <v>27500</v>
      </c>
      <c r="F105" s="7">
        <v>0</v>
      </c>
      <c r="G105" s="7">
        <v>7461</v>
      </c>
      <c r="H105" s="7">
        <v>7462</v>
      </c>
      <c r="I105" s="7">
        <v>110000</v>
      </c>
      <c r="J105" s="2">
        <v>18.10000038146973</v>
      </c>
      <c r="K105" s="23">
        <f t="shared" si="20"/>
        <v>336326.17800000001</v>
      </c>
      <c r="L105" s="23">
        <f t="shared" si="18"/>
        <v>45.077895456373142</v>
      </c>
      <c r="M105" s="13" t="s">
        <v>9</v>
      </c>
      <c r="N105" s="7">
        <v>118296</v>
      </c>
      <c r="O105" s="7">
        <v>57356</v>
      </c>
      <c r="P105" s="7">
        <f t="shared" si="14"/>
        <v>65177.272727272728</v>
      </c>
      <c r="Q105" s="7">
        <v>4059</v>
      </c>
      <c r="R105" s="7">
        <v>0</v>
      </c>
      <c r="S105" s="7">
        <f t="shared" si="15"/>
        <v>0</v>
      </c>
      <c r="T105" s="7">
        <v>3617</v>
      </c>
      <c r="U105" s="7">
        <f t="shared" si="21"/>
        <v>401822.31000000006</v>
      </c>
      <c r="V105" s="7">
        <f t="shared" si="16"/>
        <v>111.09270389825824</v>
      </c>
      <c r="W105" s="14" t="s">
        <v>10</v>
      </c>
      <c r="X105" s="7">
        <v>71880</v>
      </c>
      <c r="Y105" s="7">
        <v>444818</v>
      </c>
      <c r="Z105" s="7">
        <v>452091</v>
      </c>
      <c r="AA105" s="7">
        <v>23</v>
      </c>
      <c r="AB105" s="7">
        <v>3657</v>
      </c>
      <c r="AC105" s="7">
        <v>0</v>
      </c>
      <c r="AD105" s="7">
        <v>469379</v>
      </c>
      <c r="AE105" s="7">
        <v>25000</v>
      </c>
      <c r="AF105" s="7">
        <v>4370</v>
      </c>
      <c r="AG105" s="7">
        <f t="shared" si="22"/>
        <v>93916.71</v>
      </c>
      <c r="AH105" s="1">
        <f t="shared" si="17"/>
        <v>21.491237986270026</v>
      </c>
    </row>
    <row r="106" spans="1:34" x14ac:dyDescent="0.25">
      <c r="A106" s="13" t="s">
        <v>0</v>
      </c>
      <c r="B106" s="19">
        <v>45762</v>
      </c>
      <c r="C106" s="8">
        <v>14381</v>
      </c>
      <c r="D106" s="8">
        <v>43511</v>
      </c>
      <c r="E106" s="8">
        <v>12675</v>
      </c>
      <c r="F106" s="7">
        <v>0</v>
      </c>
      <c r="G106" s="8">
        <v>9939</v>
      </c>
      <c r="H106" s="8">
        <v>7662</v>
      </c>
      <c r="I106" s="8">
        <v>51734</v>
      </c>
      <c r="J106" s="2">
        <v>19.04999923706055</v>
      </c>
      <c r="K106" s="23">
        <f t="shared" si="20"/>
        <v>230532.32199999999</v>
      </c>
      <c r="L106" s="23">
        <f t="shared" si="18"/>
        <v>23.194719991950898</v>
      </c>
      <c r="M106" s="13" t="s">
        <v>9</v>
      </c>
      <c r="N106" s="7">
        <v>113836</v>
      </c>
      <c r="O106" s="7">
        <v>58354</v>
      </c>
      <c r="P106" s="7">
        <f t="shared" si="14"/>
        <v>66311.363636363632</v>
      </c>
      <c r="Q106" s="7">
        <v>3663</v>
      </c>
      <c r="R106" s="7">
        <v>0</v>
      </c>
      <c r="S106" s="7">
        <f t="shared" si="15"/>
        <v>0</v>
      </c>
      <c r="T106" s="7">
        <v>3927</v>
      </c>
      <c r="U106" s="7">
        <f t="shared" si="21"/>
        <v>403180.61</v>
      </c>
      <c r="V106" s="7">
        <f t="shared" si="16"/>
        <v>102.66885918003565</v>
      </c>
      <c r="W106" s="14" t="s">
        <v>10</v>
      </c>
      <c r="X106" s="8">
        <v>21100</v>
      </c>
      <c r="Y106" s="1">
        <v>377022.59090900398</v>
      </c>
      <c r="Z106" s="1">
        <v>383181.88636374474</v>
      </c>
      <c r="AA106" s="8">
        <v>0</v>
      </c>
      <c r="AB106" s="8">
        <v>3937</v>
      </c>
      <c r="AC106" s="8">
        <v>0</v>
      </c>
      <c r="AD106" s="8">
        <v>1069385</v>
      </c>
      <c r="AE106" s="8">
        <v>96849</v>
      </c>
      <c r="AF106" s="24">
        <v>3701.81975259818</v>
      </c>
      <c r="AG106" s="7">
        <f t="shared" si="22"/>
        <v>74906.944204546453</v>
      </c>
      <c r="AH106" s="1">
        <f t="shared" si="17"/>
        <v>20.235167893296762</v>
      </c>
    </row>
    <row r="107" spans="1:34" x14ac:dyDescent="0.25">
      <c r="A107" s="13" t="s">
        <v>0</v>
      </c>
      <c r="B107" s="19">
        <v>45763</v>
      </c>
      <c r="C107" s="7">
        <v>15022</v>
      </c>
      <c r="D107" s="7">
        <v>45287</v>
      </c>
      <c r="E107" s="7">
        <v>12250</v>
      </c>
      <c r="F107" s="7">
        <v>1706</v>
      </c>
      <c r="G107" s="7">
        <v>12388</v>
      </c>
      <c r="H107" s="7">
        <v>5718</v>
      </c>
      <c r="I107" s="7">
        <v>50000</v>
      </c>
      <c r="J107" s="2">
        <v>25</v>
      </c>
      <c r="K107" s="23">
        <f t="shared" si="20"/>
        <v>242019.56400000001</v>
      </c>
      <c r="L107" s="23">
        <f t="shared" si="18"/>
        <v>19.536613174039395</v>
      </c>
      <c r="M107" s="13" t="s">
        <v>9</v>
      </c>
      <c r="N107" s="7">
        <v>116460</v>
      </c>
      <c r="O107" s="7">
        <v>63800</v>
      </c>
      <c r="P107" s="7">
        <f t="shared" si="14"/>
        <v>72500</v>
      </c>
      <c r="Q107" s="7">
        <v>2872</v>
      </c>
      <c r="R107" s="7">
        <v>0</v>
      </c>
      <c r="S107" s="7">
        <f t="shared" si="15"/>
        <v>0</v>
      </c>
      <c r="T107" s="7">
        <v>4075</v>
      </c>
      <c r="U107" s="7">
        <f t="shared" si="21"/>
        <v>431513.59999999998</v>
      </c>
      <c r="V107" s="7">
        <f t="shared" si="16"/>
        <v>105.89290797546012</v>
      </c>
      <c r="W107" s="14" t="s">
        <v>10</v>
      </c>
      <c r="X107" s="7">
        <v>20800</v>
      </c>
      <c r="Y107" s="1">
        <v>309227.18181800842</v>
      </c>
      <c r="Z107" s="1">
        <v>314272.77272725105</v>
      </c>
      <c r="AA107" s="7">
        <v>0</v>
      </c>
      <c r="AB107" s="7">
        <v>3704</v>
      </c>
      <c r="AC107" s="7">
        <v>0</v>
      </c>
      <c r="AD107" s="7">
        <v>1069385</v>
      </c>
      <c r="AE107" s="7">
        <v>96849</v>
      </c>
      <c r="AF107" s="24">
        <v>3033.6395051945001</v>
      </c>
      <c r="AG107" s="7">
        <f t="shared" si="22"/>
        <v>69436.683409085279</v>
      </c>
      <c r="AH107" s="1">
        <f t="shared" si="17"/>
        <v>22.888904001345203</v>
      </c>
    </row>
    <row r="108" spans="1:34" x14ac:dyDescent="0.25">
      <c r="A108" s="13" t="s">
        <v>0</v>
      </c>
      <c r="B108" s="19">
        <v>45764</v>
      </c>
      <c r="C108" s="7">
        <v>16157</v>
      </c>
      <c r="D108" s="7">
        <v>47166</v>
      </c>
      <c r="E108" s="7">
        <v>26100</v>
      </c>
      <c r="F108" s="7">
        <v>0</v>
      </c>
      <c r="G108" s="7">
        <v>14114</v>
      </c>
      <c r="H108" s="7">
        <v>7304</v>
      </c>
      <c r="I108" s="7">
        <v>105924</v>
      </c>
      <c r="J108" s="2">
        <v>28.45000076293945</v>
      </c>
      <c r="K108" s="23">
        <f t="shared" si="20"/>
        <v>344615.57400000002</v>
      </c>
      <c r="L108" s="23">
        <f t="shared" si="18"/>
        <v>24.416577440838886</v>
      </c>
      <c r="M108" s="13" t="s">
        <v>9</v>
      </c>
      <c r="N108" s="7">
        <v>121216</v>
      </c>
      <c r="O108" s="7">
        <v>71123</v>
      </c>
      <c r="P108" s="7">
        <f t="shared" si="14"/>
        <v>80821.590909090912</v>
      </c>
      <c r="Q108" s="7">
        <v>4796</v>
      </c>
      <c r="R108" s="7">
        <v>0</v>
      </c>
      <c r="S108" s="7">
        <f t="shared" si="15"/>
        <v>0</v>
      </c>
      <c r="T108" s="7">
        <v>4809</v>
      </c>
      <c r="U108" s="7">
        <f t="shared" si="21"/>
        <v>482996.61000000004</v>
      </c>
      <c r="V108" s="7">
        <f t="shared" si="16"/>
        <v>100.43597629444793</v>
      </c>
      <c r="W108" s="14" t="s">
        <v>10</v>
      </c>
      <c r="X108" s="7">
        <v>18100</v>
      </c>
      <c r="Y108" s="1">
        <v>241431.77272725105</v>
      </c>
      <c r="Z108" s="1">
        <v>245363.65909099579</v>
      </c>
      <c r="AA108" s="7">
        <v>0</v>
      </c>
      <c r="AB108" s="7">
        <v>3892</v>
      </c>
      <c r="AC108" s="7">
        <v>0</v>
      </c>
      <c r="AD108" s="7">
        <v>1069385</v>
      </c>
      <c r="AE108" s="7">
        <v>96849</v>
      </c>
      <c r="AF108" s="24">
        <v>2365.4592577926815</v>
      </c>
      <c r="AG108" s="7">
        <f t="shared" si="22"/>
        <v>64727.422613638526</v>
      </c>
      <c r="AH108" s="1">
        <f t="shared" si="17"/>
        <v>27.363575339715915</v>
      </c>
    </row>
    <row r="109" spans="1:34" x14ac:dyDescent="0.25">
      <c r="A109" s="13" t="s">
        <v>0</v>
      </c>
      <c r="B109" s="19">
        <v>45765</v>
      </c>
      <c r="C109" s="7">
        <v>16768</v>
      </c>
      <c r="D109" s="7">
        <v>48514</v>
      </c>
      <c r="E109" s="7">
        <v>0</v>
      </c>
      <c r="F109" s="7">
        <v>818</v>
      </c>
      <c r="G109" s="7">
        <v>10929</v>
      </c>
      <c r="H109" s="7">
        <v>6866</v>
      </c>
      <c r="I109" s="7">
        <v>0</v>
      </c>
      <c r="J109" s="2">
        <v>20</v>
      </c>
      <c r="K109" s="23">
        <f t="shared" si="20"/>
        <v>163758.576</v>
      </c>
      <c r="L109" s="23">
        <f t="shared" si="18"/>
        <v>14.983857260499589</v>
      </c>
      <c r="M109" s="13" t="s">
        <v>9</v>
      </c>
      <c r="N109" s="7">
        <v>121040</v>
      </c>
      <c r="O109" s="7">
        <v>73888</v>
      </c>
      <c r="P109" s="7">
        <f t="shared" si="14"/>
        <v>83963.636363636368</v>
      </c>
      <c r="Q109" s="7">
        <v>4488</v>
      </c>
      <c r="R109" s="7">
        <v>0</v>
      </c>
      <c r="S109" s="7">
        <f t="shared" si="15"/>
        <v>0</v>
      </c>
      <c r="T109" s="7">
        <v>4937</v>
      </c>
      <c r="U109" s="7">
        <f t="shared" si="21"/>
        <v>496934.80000000005</v>
      </c>
      <c r="V109" s="7">
        <f t="shared" si="16"/>
        <v>100.6552157180474</v>
      </c>
      <c r="W109" s="14" t="s">
        <v>10</v>
      </c>
      <c r="X109" s="7">
        <v>44500</v>
      </c>
      <c r="Y109" s="7">
        <v>173636.36363636365</v>
      </c>
      <c r="Z109" s="7">
        <v>176454.54545454544</v>
      </c>
      <c r="AA109" s="7">
        <v>0</v>
      </c>
      <c r="AB109" s="7">
        <v>4004</v>
      </c>
      <c r="AC109" s="7">
        <v>0</v>
      </c>
      <c r="AD109" s="7">
        <v>184009.32</v>
      </c>
      <c r="AE109" s="7">
        <v>0</v>
      </c>
      <c r="AF109" s="7">
        <v>1697.2790103912353</v>
      </c>
      <c r="AG109" s="7">
        <f t="shared" si="22"/>
        <v>58295.321618181821</v>
      </c>
      <c r="AH109" s="1">
        <f t="shared" si="17"/>
        <v>34.346339795213943</v>
      </c>
    </row>
    <row r="110" spans="1:34" x14ac:dyDescent="0.25">
      <c r="A110" s="13" t="s">
        <v>0</v>
      </c>
      <c r="B110" s="19">
        <v>45766</v>
      </c>
      <c r="C110" s="7">
        <v>17170</v>
      </c>
      <c r="D110" s="7">
        <v>49015</v>
      </c>
      <c r="E110" s="7">
        <v>0</v>
      </c>
      <c r="F110" s="7">
        <v>2035</v>
      </c>
      <c r="G110" s="7">
        <v>11822</v>
      </c>
      <c r="H110" s="7">
        <v>5992</v>
      </c>
      <c r="I110" s="7">
        <v>0</v>
      </c>
      <c r="J110" s="2">
        <v>20.64999961853027</v>
      </c>
      <c r="K110" s="23">
        <f t="shared" si="20"/>
        <v>173300.74</v>
      </c>
      <c r="L110" s="23">
        <f t="shared" si="18"/>
        <v>14.659172728810692</v>
      </c>
      <c r="M110" s="13" t="s">
        <v>9</v>
      </c>
      <c r="N110" s="7">
        <v>127592</v>
      </c>
      <c r="O110" s="7">
        <v>74252</v>
      </c>
      <c r="P110" s="7">
        <f t="shared" si="14"/>
        <v>84377.272727272721</v>
      </c>
      <c r="Q110" s="7">
        <v>7711</v>
      </c>
      <c r="R110" s="7">
        <v>0</v>
      </c>
      <c r="S110" s="7">
        <f t="shared" si="15"/>
        <v>0</v>
      </c>
      <c r="T110" s="7">
        <v>5596</v>
      </c>
      <c r="U110" s="7">
        <f t="shared" si="21"/>
        <v>516321.87</v>
      </c>
      <c r="V110" s="7">
        <f t="shared" si="16"/>
        <v>92.266238384560396</v>
      </c>
      <c r="W110" s="14" t="s">
        <v>10</v>
      </c>
      <c r="X110" s="7">
        <v>155380</v>
      </c>
      <c r="Y110" s="7">
        <v>1221090.9090909092</v>
      </c>
      <c r="Z110" s="7">
        <v>1236272.7272727273</v>
      </c>
      <c r="AA110" s="7">
        <v>0</v>
      </c>
      <c r="AB110" s="7">
        <v>3702</v>
      </c>
      <c r="AC110" s="7">
        <v>0</v>
      </c>
      <c r="AD110" s="7">
        <v>1280473.92</v>
      </c>
      <c r="AE110" s="7">
        <v>87500</v>
      </c>
      <c r="AF110" s="7">
        <v>11970.089987754822</v>
      </c>
      <c r="AG110" s="7">
        <f t="shared" si="22"/>
        <v>203029.22698181818</v>
      </c>
      <c r="AH110" s="1">
        <f t="shared" si="17"/>
        <v>16.961378501708282</v>
      </c>
    </row>
    <row r="111" spans="1:34" x14ac:dyDescent="0.25">
      <c r="A111" s="13" t="s">
        <v>0</v>
      </c>
      <c r="B111" s="19">
        <v>45767</v>
      </c>
      <c r="C111" s="8">
        <v>16516</v>
      </c>
      <c r="D111" s="8">
        <v>50398</v>
      </c>
      <c r="E111" s="8">
        <v>0</v>
      </c>
      <c r="F111" s="7">
        <v>0</v>
      </c>
      <c r="G111" s="8">
        <v>4754</v>
      </c>
      <c r="H111" s="8">
        <v>6730</v>
      </c>
      <c r="I111" s="8">
        <v>0</v>
      </c>
      <c r="J111" s="2">
        <v>24.64999961853027</v>
      </c>
      <c r="K111" s="23">
        <f t="shared" si="20"/>
        <v>158732.31200000001</v>
      </c>
      <c r="L111" s="23">
        <f t="shared" si="18"/>
        <v>33.389211611274717</v>
      </c>
      <c r="M111" s="13" t="s">
        <v>9</v>
      </c>
      <c r="N111" s="7">
        <v>101184</v>
      </c>
      <c r="O111" s="7">
        <v>60306</v>
      </c>
      <c r="P111" s="7">
        <f t="shared" si="14"/>
        <v>68529.545454545456</v>
      </c>
      <c r="Q111" s="7">
        <v>0</v>
      </c>
      <c r="R111" s="7">
        <v>0</v>
      </c>
      <c r="S111" s="7">
        <f t="shared" si="15"/>
        <v>0</v>
      </c>
      <c r="T111" s="7">
        <v>3947</v>
      </c>
      <c r="U111" s="7">
        <f t="shared" si="21"/>
        <v>391361.34000000008</v>
      </c>
      <c r="V111" s="7">
        <f t="shared" si="16"/>
        <v>99.154127185203976</v>
      </c>
      <c r="W111" s="14" t="s">
        <v>10</v>
      </c>
      <c r="X111" s="8">
        <v>140800</v>
      </c>
      <c r="Y111" s="8">
        <v>1185909.0909090908</v>
      </c>
      <c r="Z111" s="8">
        <v>1200181.8181818181</v>
      </c>
      <c r="AA111" s="8">
        <v>0</v>
      </c>
      <c r="AB111" s="8">
        <v>3538</v>
      </c>
      <c r="AC111" s="8">
        <v>0</v>
      </c>
      <c r="AD111" s="8">
        <v>1241661.96</v>
      </c>
      <c r="AE111" s="8">
        <v>100000</v>
      </c>
      <c r="AF111" s="8">
        <v>11861.400060653687</v>
      </c>
      <c r="AG111" s="7">
        <f t="shared" si="22"/>
        <v>191867.15667272729</v>
      </c>
      <c r="AH111" s="1">
        <f t="shared" si="17"/>
        <v>16.175759665099214</v>
      </c>
    </row>
    <row r="112" spans="1:34" x14ac:dyDescent="0.25">
      <c r="A112" s="13" t="s">
        <v>0</v>
      </c>
      <c r="B112" s="19">
        <v>45768</v>
      </c>
      <c r="C112" s="7">
        <v>16267</v>
      </c>
      <c r="D112" s="7">
        <v>48500</v>
      </c>
      <c r="E112" s="7">
        <v>8750</v>
      </c>
      <c r="F112" s="7">
        <v>1082</v>
      </c>
      <c r="G112" s="7">
        <v>8051</v>
      </c>
      <c r="H112" s="7">
        <v>8051</v>
      </c>
      <c r="I112" s="7">
        <v>35715</v>
      </c>
      <c r="J112" s="2">
        <v>26.14999961853027</v>
      </c>
      <c r="K112" s="23">
        <f t="shared" si="20"/>
        <v>224986.834</v>
      </c>
      <c r="L112" s="23">
        <f t="shared" si="18"/>
        <v>27.945203577195379</v>
      </c>
      <c r="M112" s="13" t="s">
        <v>9</v>
      </c>
      <c r="N112" s="7">
        <v>12200</v>
      </c>
      <c r="O112" s="7">
        <v>60306</v>
      </c>
      <c r="P112" s="7">
        <f t="shared" si="14"/>
        <v>68529.545454545456</v>
      </c>
      <c r="Q112" s="7">
        <v>0</v>
      </c>
      <c r="R112" s="7">
        <v>0</v>
      </c>
      <c r="S112" s="7">
        <f t="shared" si="15"/>
        <v>0</v>
      </c>
      <c r="T112" s="26">
        <v>3406</v>
      </c>
      <c r="U112" s="7">
        <f>N112*0.56+P112*4.884+Q112*4.25+S112*8.89</f>
        <v>341530.30000000005</v>
      </c>
      <c r="V112" s="7">
        <f t="shared" si="16"/>
        <v>100.27313564298298</v>
      </c>
      <c r="W112" s="14" t="s">
        <v>10</v>
      </c>
      <c r="X112" s="7">
        <v>154800</v>
      </c>
      <c r="Y112" s="7">
        <v>1223545.4545454546</v>
      </c>
      <c r="Z112" s="7">
        <v>1234727.2727272727</v>
      </c>
      <c r="AA112" s="7">
        <v>2229</v>
      </c>
      <c r="AB112" s="7">
        <v>3349</v>
      </c>
      <c r="AC112" s="7">
        <v>0</v>
      </c>
      <c r="AD112" s="7">
        <v>1281543.1200000001</v>
      </c>
      <c r="AE112" s="7">
        <v>75000</v>
      </c>
      <c r="AF112" s="7">
        <v>12072.816024780273</v>
      </c>
      <c r="AG112" s="7">
        <f t="shared" si="22"/>
        <v>207100.46498181822</v>
      </c>
      <c r="AH112" s="1">
        <f t="shared" si="17"/>
        <v>17.154279876105996</v>
      </c>
    </row>
    <row r="113" spans="1:34" x14ac:dyDescent="0.25">
      <c r="A113" s="13" t="s">
        <v>0</v>
      </c>
      <c r="B113" s="19">
        <v>45769</v>
      </c>
      <c r="C113" s="7">
        <v>17095</v>
      </c>
      <c r="D113" s="7">
        <v>37466</v>
      </c>
      <c r="E113" s="7">
        <v>30000</v>
      </c>
      <c r="F113" s="7">
        <v>1130</v>
      </c>
      <c r="G113" s="7">
        <v>12125</v>
      </c>
      <c r="H113" s="7">
        <v>4610</v>
      </c>
      <c r="I113" s="7">
        <v>120000</v>
      </c>
      <c r="J113" s="2">
        <v>31.25</v>
      </c>
      <c r="K113" s="23">
        <f t="shared" si="20"/>
        <v>380715.65</v>
      </c>
      <c r="L113" s="23">
        <f t="shared" si="18"/>
        <v>31.399228865979385</v>
      </c>
      <c r="M113" s="13" t="s">
        <v>9</v>
      </c>
      <c r="N113" s="7">
        <v>12288</v>
      </c>
      <c r="O113" s="7">
        <v>60306</v>
      </c>
      <c r="P113" s="7">
        <f t="shared" si="14"/>
        <v>68529.545454545456</v>
      </c>
      <c r="Q113" s="7">
        <v>0</v>
      </c>
      <c r="R113" s="7">
        <v>0</v>
      </c>
      <c r="S113" s="7">
        <f t="shared" si="15"/>
        <v>0</v>
      </c>
      <c r="T113" s="26">
        <v>2865</v>
      </c>
      <c r="U113" s="7">
        <f t="shared" si="21"/>
        <v>341579.58000000007</v>
      </c>
      <c r="V113" s="7">
        <f t="shared" si="16"/>
        <v>119.22498429319374</v>
      </c>
      <c r="W113" s="14" t="s">
        <v>10</v>
      </c>
      <c r="X113" s="7">
        <v>156620</v>
      </c>
      <c r="Y113" s="7">
        <v>1166909.0909090908</v>
      </c>
      <c r="Z113" s="7">
        <v>1265727.2727272727</v>
      </c>
      <c r="AA113" s="7">
        <v>4006</v>
      </c>
      <c r="AB113" s="7">
        <v>3328</v>
      </c>
      <c r="AC113" s="7">
        <v>0</v>
      </c>
      <c r="AD113" s="7">
        <v>1276197.1200000001</v>
      </c>
      <c r="AE113" s="7">
        <v>75000</v>
      </c>
      <c r="AF113" s="7">
        <v>12133.484111785889</v>
      </c>
      <c r="AG113" s="7">
        <f t="shared" si="22"/>
        <v>212643.33861818182</v>
      </c>
      <c r="AH113" s="1">
        <f t="shared" si="17"/>
        <v>17.525332102395076</v>
      </c>
    </row>
    <row r="114" spans="1:34" x14ac:dyDescent="0.25">
      <c r="A114" s="13" t="s">
        <v>0</v>
      </c>
      <c r="B114" s="19">
        <v>45770</v>
      </c>
      <c r="C114" s="7">
        <v>16967</v>
      </c>
      <c r="D114" s="7">
        <v>43813</v>
      </c>
      <c r="E114" s="7">
        <v>26100</v>
      </c>
      <c r="F114" s="7">
        <v>0</v>
      </c>
      <c r="G114" s="7">
        <v>13426</v>
      </c>
      <c r="H114" s="7">
        <v>7637</v>
      </c>
      <c r="I114" s="7">
        <v>108750</v>
      </c>
      <c r="J114" s="2">
        <v>32.150001525878913</v>
      </c>
      <c r="K114" s="23">
        <f t="shared" si="20"/>
        <v>349138.51399999997</v>
      </c>
      <c r="L114" s="23">
        <f t="shared" si="18"/>
        <v>26.004656189483089</v>
      </c>
      <c r="M114" s="13" t="s">
        <v>9</v>
      </c>
      <c r="N114" s="7">
        <v>30884</v>
      </c>
      <c r="O114" s="7">
        <v>60306</v>
      </c>
      <c r="P114" s="7">
        <f t="shared" si="14"/>
        <v>68529.545454545456</v>
      </c>
      <c r="Q114" s="7">
        <v>0</v>
      </c>
      <c r="R114" s="7">
        <v>0</v>
      </c>
      <c r="S114" s="7">
        <f t="shared" si="15"/>
        <v>0</v>
      </c>
      <c r="T114" s="26">
        <v>2324</v>
      </c>
      <c r="U114" s="7">
        <f t="shared" si="21"/>
        <v>351993.34</v>
      </c>
      <c r="V114" s="7">
        <f t="shared" si="16"/>
        <v>151.46012908777971</v>
      </c>
      <c r="W114" s="14" t="s">
        <v>10</v>
      </c>
      <c r="X114" s="7">
        <v>157600</v>
      </c>
      <c r="Y114" s="7">
        <v>1181909.0909090908</v>
      </c>
      <c r="Z114" s="7">
        <v>1288636.3636363635</v>
      </c>
      <c r="AA114" s="7">
        <v>4060</v>
      </c>
      <c r="AB114" s="7">
        <v>3203</v>
      </c>
      <c r="AC114" s="7">
        <v>0</v>
      </c>
      <c r="AD114" s="7">
        <v>1299933.3600000001</v>
      </c>
      <c r="AE114" s="7">
        <v>100000</v>
      </c>
      <c r="AF114" s="7">
        <v>12484.652987098694</v>
      </c>
      <c r="AG114" s="7">
        <f t="shared" si="22"/>
        <v>215370.77312727273</v>
      </c>
      <c r="AH114" s="1">
        <f t="shared" si="17"/>
        <v>17.250841761467548</v>
      </c>
    </row>
    <row r="115" spans="1:34" x14ac:dyDescent="0.25">
      <c r="A115" s="13" t="s">
        <v>0</v>
      </c>
      <c r="B115" s="19">
        <v>45771</v>
      </c>
      <c r="C115" s="7">
        <v>14558</v>
      </c>
      <c r="D115" s="7">
        <v>47096</v>
      </c>
      <c r="E115" s="7">
        <v>8700</v>
      </c>
      <c r="F115" s="7">
        <v>1403</v>
      </c>
      <c r="G115" s="7">
        <v>11130</v>
      </c>
      <c r="H115" s="7">
        <v>7025</v>
      </c>
      <c r="I115" s="7">
        <v>35510</v>
      </c>
      <c r="J115" s="2">
        <v>25.45000076293945</v>
      </c>
      <c r="K115" s="23">
        <f t="shared" si="20"/>
        <v>211936.076</v>
      </c>
      <c r="L115" s="23">
        <f t="shared" si="18"/>
        <v>19.041875651392633</v>
      </c>
      <c r="M115" s="13" t="s">
        <v>9</v>
      </c>
      <c r="N115" s="7">
        <v>13972</v>
      </c>
      <c r="O115" s="7">
        <v>7708</v>
      </c>
      <c r="P115" s="7">
        <f t="shared" si="14"/>
        <v>8759.0909090909099</v>
      </c>
      <c r="Q115" s="7">
        <v>0</v>
      </c>
      <c r="R115" s="7">
        <v>0</v>
      </c>
      <c r="S115" s="7">
        <f t="shared" si="15"/>
        <v>0</v>
      </c>
      <c r="T115" s="26">
        <v>1783</v>
      </c>
      <c r="U115" s="7">
        <f t="shared" si="21"/>
        <v>50603.720000000008</v>
      </c>
      <c r="V115" s="7">
        <f t="shared" si="16"/>
        <v>28.381222658440834</v>
      </c>
      <c r="W115" s="14" t="s">
        <v>10</v>
      </c>
      <c r="X115" s="7">
        <v>126920</v>
      </c>
      <c r="Y115" s="7">
        <v>1368181.8181818181</v>
      </c>
      <c r="Z115" s="7">
        <v>1394363.6363636362</v>
      </c>
      <c r="AA115" s="7">
        <v>4005</v>
      </c>
      <c r="AB115" s="7">
        <v>3302</v>
      </c>
      <c r="AC115" s="7">
        <v>0</v>
      </c>
      <c r="AD115" s="7">
        <v>1226265.48</v>
      </c>
      <c r="AE115" s="7">
        <v>75000</v>
      </c>
      <c r="AF115" s="7">
        <v>12283.340860939026</v>
      </c>
      <c r="AG115" s="7">
        <f t="shared" si="22"/>
        <v>204982.00038181819</v>
      </c>
      <c r="AH115" s="1">
        <f t="shared" si="17"/>
        <v>16.687805272396218</v>
      </c>
    </row>
    <row r="116" spans="1:34" x14ac:dyDescent="0.25">
      <c r="A116" s="13" t="s">
        <v>0</v>
      </c>
      <c r="B116" s="19">
        <v>45772</v>
      </c>
      <c r="C116" s="8">
        <v>14116</v>
      </c>
      <c r="D116" s="8">
        <v>48697</v>
      </c>
      <c r="E116" s="8">
        <v>3750</v>
      </c>
      <c r="F116" s="7">
        <v>455</v>
      </c>
      <c r="G116" s="8">
        <v>8216</v>
      </c>
      <c r="H116" s="8">
        <v>6074</v>
      </c>
      <c r="I116" s="8">
        <v>20833</v>
      </c>
      <c r="J116" s="2">
        <v>26.14999961853027</v>
      </c>
      <c r="K116" s="23">
        <f t="shared" si="20"/>
        <v>168464.95199999999</v>
      </c>
      <c r="L116" s="23">
        <f t="shared" si="18"/>
        <v>20.504497565725412</v>
      </c>
      <c r="M116" s="13" t="s">
        <v>9</v>
      </c>
      <c r="N116" s="7">
        <v>45086.432865589857</v>
      </c>
      <c r="O116" s="7">
        <v>20307</v>
      </c>
      <c r="P116" s="7">
        <f t="shared" si="14"/>
        <v>23076.136363636364</v>
      </c>
      <c r="Q116" s="7">
        <v>0</v>
      </c>
      <c r="R116" s="7">
        <v>0</v>
      </c>
      <c r="S116" s="7">
        <f t="shared" si="15"/>
        <v>0</v>
      </c>
      <c r="T116" s="7">
        <v>1242</v>
      </c>
      <c r="U116" s="7">
        <f t="shared" si="21"/>
        <v>137952.25240473033</v>
      </c>
      <c r="V116" s="7">
        <f t="shared" si="16"/>
        <v>111.0726669925365</v>
      </c>
      <c r="W116" s="14" t="s">
        <v>10</v>
      </c>
      <c r="X116" s="8">
        <v>126690</v>
      </c>
      <c r="Y116" s="8">
        <v>1144181.8181818181</v>
      </c>
      <c r="Z116" s="8">
        <v>1183545.4545454546</v>
      </c>
      <c r="AA116" s="8">
        <v>4945</v>
      </c>
      <c r="AB116" s="8">
        <v>3635</v>
      </c>
      <c r="AC116" s="8">
        <v>0</v>
      </c>
      <c r="AD116" s="8">
        <v>1058187.24</v>
      </c>
      <c r="AE116" s="8">
        <v>75000</v>
      </c>
      <c r="AF116" s="8">
        <v>10463.895031929016</v>
      </c>
      <c r="AG116" s="7">
        <f t="shared" si="22"/>
        <v>193686.84496363637</v>
      </c>
      <c r="AH116" s="1">
        <f t="shared" si="17"/>
        <v>18.510014136478798</v>
      </c>
    </row>
    <row r="117" spans="1:34" x14ac:dyDescent="0.25">
      <c r="A117" s="13" t="s">
        <v>0</v>
      </c>
      <c r="B117" s="19">
        <v>45773</v>
      </c>
      <c r="C117" s="7">
        <v>16586</v>
      </c>
      <c r="D117" s="7">
        <v>46927</v>
      </c>
      <c r="E117" s="7">
        <v>0</v>
      </c>
      <c r="F117" s="7">
        <v>1352</v>
      </c>
      <c r="G117" s="7">
        <v>12410</v>
      </c>
      <c r="H117" s="7">
        <v>5376</v>
      </c>
      <c r="I117" s="7">
        <v>0</v>
      </c>
      <c r="J117" s="2">
        <v>32.049999237060547</v>
      </c>
      <c r="K117" s="23">
        <f t="shared" si="20"/>
        <v>164101.69200000001</v>
      </c>
      <c r="L117" s="23">
        <f t="shared" si="18"/>
        <v>13.223343432715552</v>
      </c>
      <c r="M117" s="13" t="s">
        <v>9</v>
      </c>
      <c r="N117" s="7">
        <v>76693.567134410143</v>
      </c>
      <c r="O117" s="7">
        <v>45025</v>
      </c>
      <c r="P117" s="7">
        <f t="shared" si="14"/>
        <v>51164.772727272728</v>
      </c>
      <c r="Q117" s="7">
        <v>0</v>
      </c>
      <c r="R117" s="7">
        <v>0</v>
      </c>
      <c r="S117" s="7">
        <f t="shared" si="15"/>
        <v>0</v>
      </c>
      <c r="T117" s="7">
        <v>3660</v>
      </c>
      <c r="U117" s="7">
        <f t="shared" si="21"/>
        <v>292837.14759526972</v>
      </c>
      <c r="V117" s="7">
        <f t="shared" si="16"/>
        <v>80.010149616193914</v>
      </c>
      <c r="W117" s="14" t="s">
        <v>10</v>
      </c>
      <c r="X117" s="7">
        <v>158760</v>
      </c>
      <c r="Y117" s="7">
        <v>1115272.7272727271</v>
      </c>
      <c r="Z117" s="7">
        <v>1211727.2727272727</v>
      </c>
      <c r="AA117" s="7">
        <v>6243</v>
      </c>
      <c r="AB117" s="7">
        <v>4067</v>
      </c>
      <c r="AC117" s="7">
        <v>0</v>
      </c>
      <c r="AD117" s="7">
        <v>1221454.08</v>
      </c>
      <c r="AE117" s="7">
        <v>125000</v>
      </c>
      <c r="AF117" s="7">
        <v>11619.336048126221</v>
      </c>
      <c r="AG117" s="7">
        <f t="shared" si="22"/>
        <v>222476.95665454544</v>
      </c>
      <c r="AH117" s="1">
        <f t="shared" si="17"/>
        <v>19.147131620349594</v>
      </c>
    </row>
    <row r="118" spans="1:34" x14ac:dyDescent="0.25">
      <c r="A118" s="13" t="s">
        <v>0</v>
      </c>
      <c r="B118" s="19">
        <v>45774</v>
      </c>
      <c r="C118" s="7">
        <v>13930</v>
      </c>
      <c r="D118" s="7">
        <v>46706</v>
      </c>
      <c r="E118" s="7">
        <v>0</v>
      </c>
      <c r="F118" s="7">
        <v>749</v>
      </c>
      <c r="G118" s="7">
        <v>7071</v>
      </c>
      <c r="H118" s="7">
        <v>5096</v>
      </c>
      <c r="I118" s="7">
        <v>0</v>
      </c>
      <c r="J118" s="2">
        <v>29.79999923706055</v>
      </c>
      <c r="K118" s="23">
        <f t="shared" si="20"/>
        <v>139975.22</v>
      </c>
      <c r="L118" s="23">
        <f t="shared" si="18"/>
        <v>19.795675293452128</v>
      </c>
      <c r="M118" s="13" t="s">
        <v>9</v>
      </c>
      <c r="N118" s="7">
        <v>11632</v>
      </c>
      <c r="O118" s="7">
        <v>45025</v>
      </c>
      <c r="P118" s="7">
        <f t="shared" si="14"/>
        <v>51164.772727272728</v>
      </c>
      <c r="Q118" s="7">
        <v>0</v>
      </c>
      <c r="R118" s="7">
        <v>0</v>
      </c>
      <c r="S118" s="7">
        <f t="shared" si="15"/>
        <v>0</v>
      </c>
      <c r="T118" s="24">
        <v>3132.4000000003725</v>
      </c>
      <c r="U118" s="7">
        <f t="shared" si="21"/>
        <v>256402.67000000004</v>
      </c>
      <c r="V118" s="7">
        <f t="shared" si="16"/>
        <v>81.855021708584331</v>
      </c>
      <c r="W118" s="14" t="s">
        <v>10</v>
      </c>
      <c r="X118" s="7">
        <v>152400</v>
      </c>
      <c r="Y118" s="7">
        <v>1095636.3636363635</v>
      </c>
      <c r="Z118" s="7">
        <v>1201909.0909090908</v>
      </c>
      <c r="AA118" s="7">
        <v>6309</v>
      </c>
      <c r="AB118" s="7">
        <v>4411</v>
      </c>
      <c r="AC118" s="7">
        <v>0</v>
      </c>
      <c r="AD118" s="7">
        <v>1214076.6000000001</v>
      </c>
      <c r="AE118" s="7">
        <v>75000</v>
      </c>
      <c r="AF118" s="7">
        <v>11502.270119476318</v>
      </c>
      <c r="AG118" s="7">
        <f t="shared" si="22"/>
        <v>217598.8762727273</v>
      </c>
      <c r="AH118" s="1">
        <f t="shared" si="17"/>
        <v>18.917906988141073</v>
      </c>
    </row>
    <row r="119" spans="1:34" x14ac:dyDescent="0.25">
      <c r="A119" s="13" t="s">
        <v>0</v>
      </c>
      <c r="B119" s="19">
        <v>45775</v>
      </c>
      <c r="C119" s="7">
        <v>16780</v>
      </c>
      <c r="D119" s="7">
        <v>42170</v>
      </c>
      <c r="E119" s="7">
        <v>13500</v>
      </c>
      <c r="F119" s="7">
        <v>0</v>
      </c>
      <c r="G119" s="7">
        <v>10591</v>
      </c>
      <c r="H119" s="7">
        <v>6981</v>
      </c>
      <c r="I119" s="7">
        <v>54000</v>
      </c>
      <c r="J119" s="2">
        <v>24.35000038146973</v>
      </c>
      <c r="K119" s="23">
        <f t="shared" si="20"/>
        <v>254760.76</v>
      </c>
      <c r="L119" s="23">
        <f t="shared" si="18"/>
        <v>24.054457558304222</v>
      </c>
      <c r="M119" s="13" t="s">
        <v>9</v>
      </c>
      <c r="N119" s="7">
        <v>10000</v>
      </c>
      <c r="O119" s="7">
        <v>45025</v>
      </c>
      <c r="P119" s="7">
        <f t="shared" si="14"/>
        <v>51164.772727272728</v>
      </c>
      <c r="Q119" s="7">
        <v>0</v>
      </c>
      <c r="R119" s="7">
        <v>0</v>
      </c>
      <c r="S119" s="7">
        <f t="shared" si="15"/>
        <v>0</v>
      </c>
      <c r="T119" s="24">
        <v>2604.8000000007451</v>
      </c>
      <c r="U119" s="7">
        <f t="shared" si="21"/>
        <v>255488.75000000003</v>
      </c>
      <c r="V119" s="7">
        <f t="shared" si="16"/>
        <v>98.083826013485464</v>
      </c>
      <c r="W119" s="14" t="s">
        <v>10</v>
      </c>
      <c r="X119" s="7">
        <v>146600</v>
      </c>
      <c r="Y119" s="7">
        <v>904909.09090909082</v>
      </c>
      <c r="Z119" s="7">
        <v>990909.09090909082</v>
      </c>
      <c r="AA119" s="7">
        <v>6281</v>
      </c>
      <c r="AB119" s="7">
        <v>4159</v>
      </c>
      <c r="AC119" s="7">
        <v>0</v>
      </c>
      <c r="AD119" s="7">
        <v>1016488.44</v>
      </c>
      <c r="AE119" s="7">
        <v>75000</v>
      </c>
      <c r="AF119" s="7">
        <v>9385.6320682525638</v>
      </c>
      <c r="AG119" s="7">
        <f t="shared" si="22"/>
        <v>197855.3266</v>
      </c>
      <c r="AH119" s="1">
        <f t="shared" si="17"/>
        <v>21.08066086132408</v>
      </c>
    </row>
    <row r="120" spans="1:34" x14ac:dyDescent="0.25">
      <c r="A120" s="13" t="s">
        <v>0</v>
      </c>
      <c r="B120" s="19">
        <v>45776</v>
      </c>
      <c r="C120" s="7">
        <v>15391</v>
      </c>
      <c r="D120" s="7">
        <v>40323</v>
      </c>
      <c r="E120" s="7">
        <v>22500</v>
      </c>
      <c r="F120" s="7">
        <v>0</v>
      </c>
      <c r="G120" s="7">
        <v>11118</v>
      </c>
      <c r="H120" s="7">
        <v>7021</v>
      </c>
      <c r="I120" s="7">
        <v>91836</v>
      </c>
      <c r="J120" s="2">
        <v>21.5</v>
      </c>
      <c r="K120" s="23">
        <f t="shared" si="20"/>
        <v>308450.56200000003</v>
      </c>
      <c r="L120" s="23">
        <f t="shared" si="18"/>
        <v>27.74334970318403</v>
      </c>
      <c r="M120" s="13" t="s">
        <v>9</v>
      </c>
      <c r="N120" s="7">
        <v>28968</v>
      </c>
      <c r="O120" s="7">
        <v>45025</v>
      </c>
      <c r="P120" s="7">
        <f t="shared" si="14"/>
        <v>51164.772727272728</v>
      </c>
      <c r="Q120" s="7">
        <v>0</v>
      </c>
      <c r="R120" s="7">
        <v>0</v>
      </c>
      <c r="S120" s="7">
        <f t="shared" si="15"/>
        <v>0</v>
      </c>
      <c r="T120" s="24">
        <v>2077.2000000011176</v>
      </c>
      <c r="U120" s="7">
        <f t="shared" si="21"/>
        <v>266110.83</v>
      </c>
      <c r="V120" s="7">
        <f t="shared" si="16"/>
        <v>128.11035528589295</v>
      </c>
      <c r="W120" s="14" t="s">
        <v>10</v>
      </c>
      <c r="X120" s="7">
        <v>157200</v>
      </c>
      <c r="Y120" s="7">
        <v>1110181.8181818181</v>
      </c>
      <c r="Z120" s="7">
        <v>1223454.5454545454</v>
      </c>
      <c r="AA120" s="7">
        <v>5448</v>
      </c>
      <c r="AB120" s="7">
        <v>3687</v>
      </c>
      <c r="AC120" s="7">
        <v>0</v>
      </c>
      <c r="AD120" s="7">
        <v>1254920.04</v>
      </c>
      <c r="AE120" s="7">
        <v>62500</v>
      </c>
      <c r="AF120" s="7">
        <v>11655.588109588623</v>
      </c>
      <c r="AG120" s="7">
        <f t="shared" si="22"/>
        <v>215238.02787272728</v>
      </c>
      <c r="AH120" s="1">
        <f t="shared" si="17"/>
        <v>18.466509441566391</v>
      </c>
    </row>
    <row r="121" spans="1:34" x14ac:dyDescent="0.25">
      <c r="A121" s="13" t="s">
        <v>0</v>
      </c>
      <c r="B121" s="19">
        <v>45777</v>
      </c>
      <c r="C121" s="24">
        <v>14415</v>
      </c>
      <c r="D121" s="26">
        <v>40260</v>
      </c>
      <c r="E121" s="26">
        <v>0</v>
      </c>
      <c r="F121" s="26">
        <v>0</v>
      </c>
      <c r="G121" s="26">
        <v>13408</v>
      </c>
      <c r="H121" s="26">
        <v>6984.5</v>
      </c>
      <c r="I121" s="7">
        <v>0</v>
      </c>
      <c r="J121" s="2">
        <v>26.14999961853027</v>
      </c>
      <c r="K121" s="23">
        <f t="shared" si="20"/>
        <v>136452.93</v>
      </c>
      <c r="L121" s="23">
        <f t="shared" si="18"/>
        <v>10.176978669451074</v>
      </c>
      <c r="M121" s="13" t="s">
        <v>9</v>
      </c>
      <c r="N121" s="7">
        <v>10000</v>
      </c>
      <c r="O121" s="7">
        <v>45025</v>
      </c>
      <c r="P121" s="7">
        <f t="shared" si="14"/>
        <v>51164.772727272728</v>
      </c>
      <c r="Q121" s="7">
        <v>0</v>
      </c>
      <c r="R121" s="7">
        <v>0</v>
      </c>
      <c r="S121" s="7">
        <f t="shared" si="15"/>
        <v>0</v>
      </c>
      <c r="T121" s="24">
        <v>1549.6000000014901</v>
      </c>
      <c r="U121" s="7">
        <f t="shared" si="21"/>
        <v>255488.75000000003</v>
      </c>
      <c r="V121" s="7">
        <f t="shared" si="16"/>
        <v>164.87399974171035</v>
      </c>
      <c r="W121" s="14" t="s">
        <v>10</v>
      </c>
      <c r="X121" s="8">
        <v>149680</v>
      </c>
      <c r="Y121" s="8">
        <v>1044909.0909090909</v>
      </c>
      <c r="Z121" s="8">
        <v>1146545.4545454546</v>
      </c>
      <c r="AA121" s="8">
        <v>4431</v>
      </c>
      <c r="AB121" s="8">
        <v>3383</v>
      </c>
      <c r="AC121" s="8">
        <v>0</v>
      </c>
      <c r="AD121" s="8">
        <v>1180076.04</v>
      </c>
      <c r="AE121" s="8">
        <v>50000</v>
      </c>
      <c r="AF121" s="8">
        <v>10931.277033805847</v>
      </c>
      <c r="AG121" s="7">
        <f t="shared" si="22"/>
        <v>200449.30423636362</v>
      </c>
      <c r="AH121" s="1">
        <f t="shared" si="17"/>
        <v>18.337226621963577</v>
      </c>
    </row>
    <row r="122" spans="1:34" x14ac:dyDescent="0.25">
      <c r="A122" s="13" t="s">
        <v>0</v>
      </c>
      <c r="B122" s="19">
        <v>45778</v>
      </c>
      <c r="C122" s="7">
        <v>13439</v>
      </c>
      <c r="D122" s="7">
        <v>40197</v>
      </c>
      <c r="E122" s="7">
        <v>0</v>
      </c>
      <c r="F122" s="7">
        <v>640</v>
      </c>
      <c r="G122" s="7">
        <v>15698</v>
      </c>
      <c r="H122" s="7">
        <v>6948</v>
      </c>
      <c r="I122" s="7">
        <v>0</v>
      </c>
      <c r="J122" s="2">
        <v>25.54999923706055</v>
      </c>
      <c r="K122" s="23">
        <f>C122*7.85+D122*0.56+E122*7.5+F122*5</f>
        <v>131206.47</v>
      </c>
      <c r="L122" s="23">
        <f t="shared" si="18"/>
        <v>8.3581647343610648</v>
      </c>
      <c r="M122" s="13" t="s">
        <v>9</v>
      </c>
      <c r="N122" s="7">
        <v>38872.142167858779</v>
      </c>
      <c r="O122" s="7">
        <v>17938</v>
      </c>
      <c r="P122" s="7">
        <f t="shared" si="14"/>
        <v>20384.090909090908</v>
      </c>
      <c r="Q122" s="7">
        <v>0</v>
      </c>
      <c r="R122" s="7">
        <v>0</v>
      </c>
      <c r="S122" s="7">
        <f t="shared" si="15"/>
        <v>0</v>
      </c>
      <c r="T122" s="7">
        <v>1022</v>
      </c>
      <c r="U122" s="7">
        <f>N122*0.56+P122*4.779+Q122*4.22+S122*8.84</f>
        <v>119183.97006854636</v>
      </c>
      <c r="V122" s="7">
        <f t="shared" si="16"/>
        <v>116.61836601619018</v>
      </c>
      <c r="W122" s="14" t="s">
        <v>10</v>
      </c>
      <c r="X122" s="7">
        <v>156640</v>
      </c>
      <c r="Y122" s="7">
        <v>1213545.4545454546</v>
      </c>
      <c r="Z122" s="7">
        <v>1341454.5454545454</v>
      </c>
      <c r="AA122" s="7">
        <v>4385</v>
      </c>
      <c r="AB122" s="7">
        <v>4122</v>
      </c>
      <c r="AC122" s="7">
        <v>0</v>
      </c>
      <c r="AD122" s="7">
        <v>1351361.8800000001</v>
      </c>
      <c r="AE122" s="7">
        <v>87500</v>
      </c>
      <c r="AF122" s="7">
        <v>12657.480026245117</v>
      </c>
      <c r="AG122" s="7">
        <f t="shared" si="22"/>
        <v>223203.9191090909</v>
      </c>
      <c r="AH122" s="1">
        <f t="shared" si="17"/>
        <v>17.6341513987208</v>
      </c>
    </row>
    <row r="123" spans="1:34" x14ac:dyDescent="0.25">
      <c r="A123" s="13" t="s">
        <v>0</v>
      </c>
      <c r="B123" s="19">
        <v>45779</v>
      </c>
      <c r="C123" s="7">
        <v>18370</v>
      </c>
      <c r="D123" s="7">
        <v>43360</v>
      </c>
      <c r="E123" s="7">
        <v>10000</v>
      </c>
      <c r="F123" s="7">
        <v>1341</v>
      </c>
      <c r="G123" s="7">
        <v>18093</v>
      </c>
      <c r="H123" s="7">
        <v>9282</v>
      </c>
      <c r="I123" s="7">
        <v>40000</v>
      </c>
      <c r="J123" s="2">
        <v>26</v>
      </c>
      <c r="K123" s="23">
        <f t="shared" ref="K123:K151" si="23">C123*7.85+D123*0.56+E123*7.5+F123*5</f>
        <v>250191.1</v>
      </c>
      <c r="L123" s="23">
        <f t="shared" si="18"/>
        <v>13.828060575913337</v>
      </c>
      <c r="M123" s="13" t="s">
        <v>9</v>
      </c>
      <c r="N123" s="7">
        <v>58601.058681055903</v>
      </c>
      <c r="O123" s="7">
        <v>29340</v>
      </c>
      <c r="P123" s="7">
        <f t="shared" si="14"/>
        <v>33340.909090909088</v>
      </c>
      <c r="Q123" s="7">
        <v>0</v>
      </c>
      <c r="R123" s="7">
        <v>0</v>
      </c>
      <c r="S123" s="7">
        <f t="shared" si="15"/>
        <v>0</v>
      </c>
      <c r="T123" s="7">
        <v>2325</v>
      </c>
      <c r="U123" s="7">
        <f t="shared" ref="U123:U152" si="24">N123*0.56+P123*4.779+Q123*4.22+S123*8.84</f>
        <v>192152.79740684584</v>
      </c>
      <c r="V123" s="7">
        <f t="shared" si="16"/>
        <v>82.646364476062729</v>
      </c>
      <c r="W123" s="14" t="s">
        <v>10</v>
      </c>
      <c r="X123" s="7">
        <v>142700</v>
      </c>
      <c r="Y123" s="7">
        <v>890636.36363636365</v>
      </c>
      <c r="Z123" s="7">
        <v>996909.09090909082</v>
      </c>
      <c r="AA123" s="7">
        <v>4370</v>
      </c>
      <c r="AB123" s="7">
        <v>3833</v>
      </c>
      <c r="AC123" s="7">
        <v>0</v>
      </c>
      <c r="AD123" s="7">
        <v>1017557.64</v>
      </c>
      <c r="AE123" s="7">
        <v>87500</v>
      </c>
      <c r="AF123" s="7">
        <v>9471.0330196380619</v>
      </c>
      <c r="AG123" s="7">
        <f t="shared" si="22"/>
        <v>188672.09187272729</v>
      </c>
      <c r="AH123" s="1">
        <f t="shared" si="17"/>
        <v>19.920962315464237</v>
      </c>
    </row>
    <row r="124" spans="1:34" x14ac:dyDescent="0.25">
      <c r="A124" s="13" t="s">
        <v>0</v>
      </c>
      <c r="B124" s="19">
        <v>45780</v>
      </c>
      <c r="C124" s="7">
        <v>12453</v>
      </c>
      <c r="D124" s="7">
        <v>40959</v>
      </c>
      <c r="E124" s="7">
        <v>18725</v>
      </c>
      <c r="F124" s="7">
        <v>1169</v>
      </c>
      <c r="G124" s="7">
        <v>15990</v>
      </c>
      <c r="H124" s="7">
        <v>8310</v>
      </c>
      <c r="I124" s="7">
        <v>76428</v>
      </c>
      <c r="J124" s="2">
        <v>25.20000076293945</v>
      </c>
      <c r="K124" s="23">
        <f t="shared" si="23"/>
        <v>266975.58999999997</v>
      </c>
      <c r="L124" s="23">
        <f t="shared" si="18"/>
        <v>16.696409631019385</v>
      </c>
      <c r="M124" s="13" t="s">
        <v>9</v>
      </c>
      <c r="N124" s="7">
        <v>14094.042291142046</v>
      </c>
      <c r="O124" s="7">
        <v>29340</v>
      </c>
      <c r="P124" s="7">
        <f t="shared" si="14"/>
        <v>33340.909090909088</v>
      </c>
      <c r="Q124" s="7">
        <v>0</v>
      </c>
      <c r="R124" s="7">
        <v>0</v>
      </c>
      <c r="S124" s="7">
        <f t="shared" si="15"/>
        <v>0</v>
      </c>
      <c r="T124" s="7">
        <v>1797</v>
      </c>
      <c r="U124" s="7">
        <f t="shared" si="24"/>
        <v>167228.86822849407</v>
      </c>
      <c r="V124" s="7">
        <f t="shared" si="16"/>
        <v>93.060026838338388</v>
      </c>
      <c r="W124" s="14" t="s">
        <v>10</v>
      </c>
      <c r="X124" s="7">
        <v>148200</v>
      </c>
      <c r="Y124" s="7">
        <v>1107272.7272727273</v>
      </c>
      <c r="Z124" s="7">
        <v>1234000</v>
      </c>
      <c r="AA124" s="7">
        <v>4358</v>
      </c>
      <c r="AB124" s="7">
        <v>4154</v>
      </c>
      <c r="AC124" s="7">
        <v>0</v>
      </c>
      <c r="AD124" s="7">
        <v>1276517.8799999999</v>
      </c>
      <c r="AE124" s="7">
        <v>125000</v>
      </c>
      <c r="AF124" s="7">
        <v>11805.936012268066</v>
      </c>
      <c r="AG124" s="7">
        <f t="shared" si="22"/>
        <v>212654.04092727273</v>
      </c>
      <c r="AH124" s="1">
        <f t="shared" si="17"/>
        <v>18.012467686280409</v>
      </c>
    </row>
    <row r="125" spans="1:34" x14ac:dyDescent="0.25">
      <c r="A125" s="13" t="s">
        <v>0</v>
      </c>
      <c r="B125" s="19">
        <v>45781</v>
      </c>
      <c r="C125" s="7">
        <v>10616</v>
      </c>
      <c r="D125" s="7">
        <v>43796</v>
      </c>
      <c r="E125" s="7">
        <v>0</v>
      </c>
      <c r="F125" s="7">
        <v>1481</v>
      </c>
      <c r="G125" s="7">
        <v>9486</v>
      </c>
      <c r="H125" s="7">
        <v>9378</v>
      </c>
      <c r="I125" s="7">
        <v>0</v>
      </c>
      <c r="J125" s="2">
        <v>24.70000076293945</v>
      </c>
      <c r="K125" s="23">
        <f t="shared" si="23"/>
        <v>115266.35999999999</v>
      </c>
      <c r="L125" s="23">
        <f t="shared" si="18"/>
        <v>12.151208096141682</v>
      </c>
      <c r="M125" s="13" t="s">
        <v>9</v>
      </c>
      <c r="N125" s="7">
        <v>41871.986681446433</v>
      </c>
      <c r="O125" s="7">
        <v>19520</v>
      </c>
      <c r="P125" s="7">
        <f t="shared" si="14"/>
        <v>22181.81818181818</v>
      </c>
      <c r="Q125" s="7">
        <v>0</v>
      </c>
      <c r="R125" s="7">
        <v>0</v>
      </c>
      <c r="S125" s="7">
        <f t="shared" si="15"/>
        <v>0</v>
      </c>
      <c r="T125" s="7">
        <v>1269</v>
      </c>
      <c r="U125" s="7">
        <f t="shared" si="24"/>
        <v>129455.2216325191</v>
      </c>
      <c r="V125" s="7">
        <f t="shared" si="16"/>
        <v>102.01357102641379</v>
      </c>
      <c r="W125" s="14" t="s">
        <v>10</v>
      </c>
      <c r="X125" s="7">
        <v>150270</v>
      </c>
      <c r="Y125" s="7">
        <v>1070454.5454545454</v>
      </c>
      <c r="Z125" s="7">
        <v>1160727.2727272727</v>
      </c>
      <c r="AA125" s="7">
        <v>4361</v>
      </c>
      <c r="AB125" s="7">
        <v>3626</v>
      </c>
      <c r="AC125" s="7">
        <v>0</v>
      </c>
      <c r="AD125" s="7">
        <v>1165107.24</v>
      </c>
      <c r="AE125" s="7">
        <v>87500</v>
      </c>
      <c r="AF125" s="7">
        <v>11140.601907348633</v>
      </c>
      <c r="AG125" s="7">
        <f t="shared" si="22"/>
        <v>204429.53587272728</v>
      </c>
      <c r="AH125" s="1">
        <f t="shared" si="17"/>
        <v>18.349954299855217</v>
      </c>
    </row>
    <row r="126" spans="1:34" x14ac:dyDescent="0.25">
      <c r="A126" s="13" t="s">
        <v>0</v>
      </c>
      <c r="B126" s="19">
        <v>45782</v>
      </c>
      <c r="C126" s="8">
        <v>13743</v>
      </c>
      <c r="D126" s="8">
        <v>46684</v>
      </c>
      <c r="E126" s="8">
        <v>30000</v>
      </c>
      <c r="F126" s="7">
        <v>1744</v>
      </c>
      <c r="G126" s="8">
        <v>13134</v>
      </c>
      <c r="H126" s="8">
        <v>10187</v>
      </c>
      <c r="I126" s="8">
        <v>125000</v>
      </c>
      <c r="J126" s="2">
        <v>26.75</v>
      </c>
      <c r="K126" s="23">
        <f t="shared" si="23"/>
        <v>367745.58999999997</v>
      </c>
      <c r="L126" s="23">
        <f t="shared" si="18"/>
        <v>27.99951195370793</v>
      </c>
      <c r="M126" s="13" t="s">
        <v>9</v>
      </c>
      <c r="N126" s="7">
        <v>116975.51654414088</v>
      </c>
      <c r="O126" s="7">
        <v>70847</v>
      </c>
      <c r="P126" s="7">
        <f t="shared" si="14"/>
        <v>80507.954545454544</v>
      </c>
      <c r="Q126" s="7">
        <v>0</v>
      </c>
      <c r="R126" s="7">
        <v>0</v>
      </c>
      <c r="S126" s="7">
        <f t="shared" si="15"/>
        <v>0</v>
      </c>
      <c r="T126" s="7">
        <v>5154</v>
      </c>
      <c r="U126" s="7">
        <f t="shared" si="24"/>
        <v>450253.80403744616</v>
      </c>
      <c r="V126" s="7">
        <f t="shared" si="16"/>
        <v>87.360070632022925</v>
      </c>
      <c r="W126" s="14" t="s">
        <v>10</v>
      </c>
      <c r="X126" s="8">
        <v>121700</v>
      </c>
      <c r="Y126" s="8">
        <v>1149909.0909090908</v>
      </c>
      <c r="Z126" s="8">
        <v>1187000</v>
      </c>
      <c r="AA126" s="8">
        <v>4328</v>
      </c>
      <c r="AB126" s="8">
        <v>4197</v>
      </c>
      <c r="AC126" s="8">
        <v>0</v>
      </c>
      <c r="AD126" s="8">
        <v>1060967.1600000001</v>
      </c>
      <c r="AE126" s="8">
        <v>75000</v>
      </c>
      <c r="AF126" s="8">
        <v>10358.599967956543</v>
      </c>
      <c r="AG126" s="7">
        <f t="shared" si="22"/>
        <v>192166.91649090909</v>
      </c>
      <c r="AH126" s="1">
        <f t="shared" si="17"/>
        <v>18.551437171563848</v>
      </c>
    </row>
    <row r="127" spans="1:34" x14ac:dyDescent="0.25">
      <c r="A127" s="13" t="s">
        <v>0</v>
      </c>
      <c r="B127" s="19">
        <v>45783</v>
      </c>
      <c r="C127" s="7">
        <v>12963</v>
      </c>
      <c r="D127" s="7">
        <v>35656</v>
      </c>
      <c r="E127" s="7">
        <v>20500</v>
      </c>
      <c r="F127" s="7">
        <v>1183</v>
      </c>
      <c r="G127" s="7">
        <v>17440</v>
      </c>
      <c r="H127" s="7">
        <v>3142</v>
      </c>
      <c r="I127" s="7">
        <v>85416</v>
      </c>
      <c r="J127" s="2">
        <v>27.70000076293945</v>
      </c>
      <c r="K127" s="23">
        <f t="shared" si="23"/>
        <v>281391.90999999997</v>
      </c>
      <c r="L127" s="23">
        <f t="shared" si="18"/>
        <v>16.134857224770641</v>
      </c>
      <c r="M127" s="13" t="s">
        <v>9</v>
      </c>
      <c r="N127" s="7">
        <v>114789.6068213135</v>
      </c>
      <c r="O127" s="7">
        <v>69948</v>
      </c>
      <c r="P127" s="7">
        <f t="shared" si="14"/>
        <v>79486.363636363632</v>
      </c>
      <c r="Q127" s="7">
        <v>0</v>
      </c>
      <c r="R127" s="7">
        <v>0</v>
      </c>
      <c r="S127" s="7">
        <f t="shared" si="15"/>
        <v>0</v>
      </c>
      <c r="T127" s="7">
        <v>4766</v>
      </c>
      <c r="U127" s="7">
        <f t="shared" si="24"/>
        <v>444147.51163811737</v>
      </c>
      <c r="V127" s="7">
        <f t="shared" si="16"/>
        <v>93.190833327343128</v>
      </c>
      <c r="W127" s="14" t="s">
        <v>10</v>
      </c>
      <c r="X127" s="7">
        <v>96700</v>
      </c>
      <c r="Y127" s="7">
        <v>1091000</v>
      </c>
      <c r="Z127" s="7">
        <v>1103363.6363636362</v>
      </c>
      <c r="AA127" s="7">
        <v>4274</v>
      </c>
      <c r="AB127" s="7">
        <v>3566</v>
      </c>
      <c r="AC127" s="7">
        <v>0</v>
      </c>
      <c r="AD127" s="7">
        <v>881662.32000000007</v>
      </c>
      <c r="AE127" s="7">
        <v>62500</v>
      </c>
      <c r="AF127" s="7">
        <v>9573.1719612121578</v>
      </c>
      <c r="AG127" s="7">
        <f t="shared" si="22"/>
        <v>167242.57116363634</v>
      </c>
      <c r="AH127" s="1">
        <f t="shared" si="17"/>
        <v>17.469922387402725</v>
      </c>
    </row>
    <row r="128" spans="1:34" x14ac:dyDescent="0.25">
      <c r="A128" s="13" t="s">
        <v>0</v>
      </c>
      <c r="B128" s="19">
        <v>45784</v>
      </c>
      <c r="C128" s="7">
        <v>10132</v>
      </c>
      <c r="D128" s="7">
        <v>27773</v>
      </c>
      <c r="E128" s="7">
        <v>26250</v>
      </c>
      <c r="F128" s="7">
        <v>0</v>
      </c>
      <c r="G128" s="7">
        <v>17308</v>
      </c>
      <c r="H128" s="7">
        <v>0</v>
      </c>
      <c r="I128" s="7">
        <v>105000</v>
      </c>
      <c r="J128" s="2">
        <v>23.95000076293945</v>
      </c>
      <c r="K128" s="23">
        <f t="shared" si="23"/>
        <v>291964.08</v>
      </c>
      <c r="L128" s="23">
        <f t="shared" si="18"/>
        <v>16.868735844696094</v>
      </c>
      <c r="M128" s="13" t="s">
        <v>9</v>
      </c>
      <c r="N128" s="7">
        <v>120622.01336520165</v>
      </c>
      <c r="O128" s="7">
        <v>71205</v>
      </c>
      <c r="P128" s="7">
        <f t="shared" si="14"/>
        <v>80914.772727272721</v>
      </c>
      <c r="Q128" s="7">
        <v>4686</v>
      </c>
      <c r="R128" s="7">
        <v>0</v>
      </c>
      <c r="S128" s="7">
        <f t="shared" si="15"/>
        <v>0</v>
      </c>
      <c r="T128" s="7">
        <v>5856</v>
      </c>
      <c r="U128" s="7">
        <f t="shared" si="24"/>
        <v>474014.94634814927</v>
      </c>
      <c r="V128" s="7">
        <f t="shared" si="16"/>
        <v>80.945175264369752</v>
      </c>
      <c r="W128" s="14" t="s">
        <v>10</v>
      </c>
      <c r="X128" s="7">
        <v>156100</v>
      </c>
      <c r="Y128" s="7">
        <v>1058454.5454545454</v>
      </c>
      <c r="Z128" s="7">
        <v>1159727.2727272727</v>
      </c>
      <c r="AA128" s="7">
        <v>4263</v>
      </c>
      <c r="AB128" s="7">
        <v>4083</v>
      </c>
      <c r="AC128" s="7">
        <v>0</v>
      </c>
      <c r="AD128" s="7">
        <v>1261869.8400000001</v>
      </c>
      <c r="AE128" s="7">
        <v>100000</v>
      </c>
      <c r="AF128" s="7">
        <v>11905.77988910675</v>
      </c>
      <c r="AG128" s="7">
        <f t="shared" si="22"/>
        <v>211325.27487272728</v>
      </c>
      <c r="AH128" s="1">
        <f t="shared" si="17"/>
        <v>17.7498052913006</v>
      </c>
    </row>
    <row r="129" spans="1:34" x14ac:dyDescent="0.25">
      <c r="A129" s="13" t="s">
        <v>0</v>
      </c>
      <c r="B129" s="19">
        <v>45785</v>
      </c>
      <c r="C129" s="7">
        <v>11715</v>
      </c>
      <c r="D129" s="7">
        <v>41570</v>
      </c>
      <c r="E129" s="7">
        <v>26250</v>
      </c>
      <c r="F129" s="7">
        <v>896</v>
      </c>
      <c r="G129" s="7">
        <v>18412</v>
      </c>
      <c r="H129" s="7">
        <v>5818</v>
      </c>
      <c r="I129" s="7">
        <v>105000</v>
      </c>
      <c r="J129" s="2">
        <v>25.64999961853027</v>
      </c>
      <c r="K129" s="23">
        <f t="shared" si="23"/>
        <v>316596.95</v>
      </c>
      <c r="L129" s="23">
        <f t="shared" si="18"/>
        <v>17.19514175537693</v>
      </c>
      <c r="M129" s="13" t="s">
        <v>9</v>
      </c>
      <c r="N129" s="7">
        <v>126299.27916173637</v>
      </c>
      <c r="O129" s="7">
        <v>73275</v>
      </c>
      <c r="P129" s="7">
        <f t="shared" si="14"/>
        <v>83267.045454545456</v>
      </c>
      <c r="Q129" s="7">
        <v>15010.679999999998</v>
      </c>
      <c r="R129" s="7">
        <v>0</v>
      </c>
      <c r="S129" s="7">
        <f t="shared" si="15"/>
        <v>0</v>
      </c>
      <c r="T129" s="7">
        <v>6348</v>
      </c>
      <c r="U129" s="7">
        <f t="shared" si="24"/>
        <v>532005.87615784514</v>
      </c>
      <c r="V129" s="7">
        <f t="shared" si="16"/>
        <v>83.806848796131874</v>
      </c>
      <c r="W129" s="14" t="s">
        <v>10</v>
      </c>
      <c r="X129" s="7">
        <v>129900</v>
      </c>
      <c r="Y129" s="7">
        <v>811545.45454545447</v>
      </c>
      <c r="Z129" s="7">
        <v>884545.45454545447</v>
      </c>
      <c r="AA129" s="7">
        <v>4245</v>
      </c>
      <c r="AB129" s="7">
        <v>3829</v>
      </c>
      <c r="AC129" s="7">
        <v>0</v>
      </c>
      <c r="AD129" s="7">
        <v>968588.28</v>
      </c>
      <c r="AE129" s="7">
        <v>87500</v>
      </c>
      <c r="AF129" s="7">
        <v>9040.5239343643188</v>
      </c>
      <c r="AG129" s="7">
        <f>X129*0.56+Y129*0.0285+Z129*0.032+AA129*3+AB129*5+AD129*0.015+AE129*0.045</f>
        <v>174524.8242</v>
      </c>
      <c r="AH129" s="1">
        <f t="shared" si="17"/>
        <v>19.304724534449413</v>
      </c>
    </row>
    <row r="130" spans="1:34" x14ac:dyDescent="0.25">
      <c r="A130" s="13" t="s">
        <v>0</v>
      </c>
      <c r="B130" s="19">
        <v>45786</v>
      </c>
      <c r="C130" s="7">
        <v>12122</v>
      </c>
      <c r="D130" s="7">
        <v>43607</v>
      </c>
      <c r="E130" s="7">
        <v>12000</v>
      </c>
      <c r="F130" s="7">
        <v>0</v>
      </c>
      <c r="G130" s="7">
        <v>18237</v>
      </c>
      <c r="H130" s="7">
        <v>8406</v>
      </c>
      <c r="I130" s="7">
        <v>48000</v>
      </c>
      <c r="J130" s="2">
        <v>26.45000076293945</v>
      </c>
      <c r="K130" s="23">
        <f t="shared" si="23"/>
        <v>209577.62</v>
      </c>
      <c r="L130" s="23">
        <f t="shared" si="18"/>
        <v>11.491891210177112</v>
      </c>
      <c r="M130" s="13" t="s">
        <v>9</v>
      </c>
      <c r="N130" s="7">
        <v>125500.47984869778</v>
      </c>
      <c r="O130" s="7">
        <v>73861</v>
      </c>
      <c r="P130" s="7">
        <f t="shared" ref="P130:P193" si="25">O130/0.88</f>
        <v>83932.954545454544</v>
      </c>
      <c r="Q130" s="7">
        <v>14106.179999999998</v>
      </c>
      <c r="R130" s="7">
        <v>0</v>
      </c>
      <c r="S130" s="7">
        <f t="shared" si="15"/>
        <v>0</v>
      </c>
      <c r="T130" s="7">
        <v>6297</v>
      </c>
      <c r="U130" s="7">
        <f t="shared" si="24"/>
        <v>530923.93808799796</v>
      </c>
      <c r="V130" s="7">
        <f t="shared" si="16"/>
        <v>84.31379039034428</v>
      </c>
      <c r="W130" s="14" t="s">
        <v>10</v>
      </c>
      <c r="X130" s="7">
        <v>147230</v>
      </c>
      <c r="Y130" s="7">
        <v>942272.72727272729</v>
      </c>
      <c r="Z130" s="7">
        <v>1023000</v>
      </c>
      <c r="AA130" s="7">
        <v>4255</v>
      </c>
      <c r="AB130" s="7">
        <v>3767</v>
      </c>
      <c r="AC130" s="7">
        <v>0</v>
      </c>
      <c r="AD130" s="7">
        <v>1114106.3999999999</v>
      </c>
      <c r="AE130" s="7">
        <v>87500</v>
      </c>
      <c r="AF130" s="7">
        <v>10346.419914245605</v>
      </c>
      <c r="AG130" s="7">
        <f t="shared" si="22"/>
        <v>194288.66872727271</v>
      </c>
      <c r="AH130" s="1">
        <f t="shared" si="17"/>
        <v>18.778347519006434</v>
      </c>
    </row>
    <row r="131" spans="1:34" x14ac:dyDescent="0.25">
      <c r="A131" s="13" t="s">
        <v>0</v>
      </c>
      <c r="B131" s="19">
        <v>45787</v>
      </c>
      <c r="C131" s="8">
        <v>13705</v>
      </c>
      <c r="D131" s="8">
        <v>41520</v>
      </c>
      <c r="E131" s="8">
        <v>0</v>
      </c>
      <c r="F131" s="7">
        <v>1844</v>
      </c>
      <c r="G131" s="8">
        <v>15954</v>
      </c>
      <c r="H131" s="8">
        <v>6394</v>
      </c>
      <c r="I131" s="8">
        <v>0</v>
      </c>
      <c r="J131" s="2">
        <v>24.5</v>
      </c>
      <c r="K131" s="23">
        <f t="shared" si="23"/>
        <v>140055.45000000001</v>
      </c>
      <c r="L131" s="23">
        <f t="shared" si="18"/>
        <v>8.7787044001504331</v>
      </c>
      <c r="M131" s="13" t="s">
        <v>9</v>
      </c>
      <c r="N131" s="7">
        <v>124922.91546878219</v>
      </c>
      <c r="O131" s="7">
        <v>68896</v>
      </c>
      <c r="P131" s="7">
        <f t="shared" si="25"/>
        <v>78290.909090909088</v>
      </c>
      <c r="Q131" s="7">
        <v>14216.729999999998</v>
      </c>
      <c r="R131" s="7">
        <v>0</v>
      </c>
      <c r="S131" s="7">
        <f t="shared" ref="S131:S194" si="26">R131/0.75</f>
        <v>0</v>
      </c>
      <c r="T131" s="7">
        <v>6474</v>
      </c>
      <c r="U131" s="7">
        <f t="shared" si="24"/>
        <v>504103.68780797254</v>
      </c>
      <c r="V131" s="7">
        <f t="shared" ref="V131:V194" si="27">U131/T131</f>
        <v>77.865877016986801</v>
      </c>
      <c r="W131" s="14" t="s">
        <v>10</v>
      </c>
      <c r="X131" s="8">
        <v>156330</v>
      </c>
      <c r="Y131" s="8">
        <v>1001909.0909090908</v>
      </c>
      <c r="Z131" s="8">
        <v>1088272.7272727273</v>
      </c>
      <c r="AA131" s="8">
        <v>4239</v>
      </c>
      <c r="AB131" s="8">
        <v>3479</v>
      </c>
      <c r="AC131" s="8">
        <v>0</v>
      </c>
      <c r="AD131" s="8">
        <v>1192692.6000000001</v>
      </c>
      <c r="AE131" s="8">
        <v>112500</v>
      </c>
      <c r="AF131" s="8">
        <v>11232.886093139648</v>
      </c>
      <c r="AG131" s="7">
        <f t="shared" si="22"/>
        <v>203988.82536363637</v>
      </c>
      <c r="AH131" s="1">
        <f t="shared" ref="AH131:AH194" si="28">AG131/AF131</f>
        <v>18.15996562879954</v>
      </c>
    </row>
    <row r="132" spans="1:34" x14ac:dyDescent="0.25">
      <c r="A132" s="13" t="s">
        <v>0</v>
      </c>
      <c r="B132" s="19">
        <v>45788</v>
      </c>
      <c r="C132" s="7">
        <v>12739</v>
      </c>
      <c r="D132" s="7">
        <v>38423</v>
      </c>
      <c r="E132" s="7">
        <v>0</v>
      </c>
      <c r="F132" s="7">
        <v>660</v>
      </c>
      <c r="G132" s="7">
        <v>12575</v>
      </c>
      <c r="H132" s="7">
        <v>8302</v>
      </c>
      <c r="I132" s="7">
        <v>0</v>
      </c>
      <c r="J132" s="2">
        <v>26.5</v>
      </c>
      <c r="K132" s="23">
        <f t="shared" si="23"/>
        <v>124818.03</v>
      </c>
      <c r="L132" s="23">
        <f t="shared" si="18"/>
        <v>9.9258870775347905</v>
      </c>
      <c r="M132" s="13" t="s">
        <v>9</v>
      </c>
      <c r="N132" s="7">
        <v>99360.539704836905</v>
      </c>
      <c r="O132" s="7">
        <v>42640</v>
      </c>
      <c r="P132" s="7">
        <f t="shared" si="25"/>
        <v>48454.545454545456</v>
      </c>
      <c r="Q132" s="7">
        <v>2697.4199999999996</v>
      </c>
      <c r="R132" s="7">
        <v>0</v>
      </c>
      <c r="S132" s="7">
        <f t="shared" si="26"/>
        <v>0</v>
      </c>
      <c r="T132" s="7">
        <v>3457</v>
      </c>
      <c r="U132" s="7">
        <f t="shared" si="24"/>
        <v>298589.28736198141</v>
      </c>
      <c r="V132" s="7">
        <f t="shared" si="27"/>
        <v>86.372371235748162</v>
      </c>
      <c r="W132" s="14" t="s">
        <v>10</v>
      </c>
      <c r="X132" s="7">
        <v>150440</v>
      </c>
      <c r="Y132" s="7">
        <v>909545.45454545435</v>
      </c>
      <c r="Z132" s="7">
        <v>1009454.5454545454</v>
      </c>
      <c r="AA132" s="7">
        <v>4884</v>
      </c>
      <c r="AB132" s="7">
        <v>3138</v>
      </c>
      <c r="AC132" s="7">
        <v>0</v>
      </c>
      <c r="AD132" s="7">
        <v>1081495.8</v>
      </c>
      <c r="AE132" s="7">
        <v>137500</v>
      </c>
      <c r="AF132" s="7">
        <v>9973.5639793396003</v>
      </c>
      <c r="AG132" s="7">
        <f t="shared" si="22"/>
        <v>195222.92790909091</v>
      </c>
      <c r="AH132" s="1">
        <f t="shared" si="28"/>
        <v>19.574038760216347</v>
      </c>
    </row>
    <row r="133" spans="1:34" x14ac:dyDescent="0.25">
      <c r="A133" s="13" t="s">
        <v>0</v>
      </c>
      <c r="B133" s="19">
        <v>45789</v>
      </c>
      <c r="C133" s="7">
        <v>11839</v>
      </c>
      <c r="D133" s="7">
        <v>45403</v>
      </c>
      <c r="E133" s="7">
        <v>22500</v>
      </c>
      <c r="F133" s="7">
        <v>0</v>
      </c>
      <c r="G133" s="7">
        <v>16545</v>
      </c>
      <c r="H133" s="7">
        <v>9737</v>
      </c>
      <c r="I133" s="7">
        <v>90000</v>
      </c>
      <c r="J133" s="2">
        <v>22.35000038146973</v>
      </c>
      <c r="K133" s="23">
        <f t="shared" si="23"/>
        <v>287111.83</v>
      </c>
      <c r="L133" s="23">
        <f t="shared" si="18"/>
        <v>17.353389543668783</v>
      </c>
      <c r="M133" s="13" t="s">
        <v>9</v>
      </c>
      <c r="N133" s="7">
        <v>123037.57641180605</v>
      </c>
      <c r="O133" s="7">
        <v>75620</v>
      </c>
      <c r="P133" s="7">
        <f t="shared" si="25"/>
        <v>85931.818181818177</v>
      </c>
      <c r="Q133" s="7">
        <v>11605.739999999998</v>
      </c>
      <c r="R133" s="7">
        <v>0</v>
      </c>
      <c r="S133" s="7">
        <f t="shared" si="26"/>
        <v>0</v>
      </c>
      <c r="T133" s="7">
        <v>5879</v>
      </c>
      <c r="U133" s="7">
        <f t="shared" si="24"/>
        <v>528545.42468152044</v>
      </c>
      <c r="V133" s="7">
        <f t="shared" si="27"/>
        <v>89.903967457309136</v>
      </c>
      <c r="W133" s="14" t="s">
        <v>10</v>
      </c>
      <c r="X133" s="7">
        <v>143450</v>
      </c>
      <c r="Y133" s="7">
        <v>922454.54545454541</v>
      </c>
      <c r="Z133" s="7">
        <v>1022090.9090909092</v>
      </c>
      <c r="AA133" s="7">
        <v>5492</v>
      </c>
      <c r="AB133" s="7">
        <v>3239</v>
      </c>
      <c r="AC133" s="7">
        <v>0</v>
      </c>
      <c r="AD133" s="7">
        <v>1102772.8800000001</v>
      </c>
      <c r="AE133" s="7">
        <v>112500</v>
      </c>
      <c r="AF133" s="7">
        <v>10223.608116149902</v>
      </c>
      <c r="AG133" s="7">
        <f t="shared" si="22"/>
        <v>193603.95683636365</v>
      </c>
      <c r="AH133" s="1">
        <f t="shared" si="28"/>
        <v>18.936950109671532</v>
      </c>
    </row>
    <row r="134" spans="1:34" x14ac:dyDescent="0.25">
      <c r="A134" s="13" t="s">
        <v>0</v>
      </c>
      <c r="B134" s="19">
        <v>45790</v>
      </c>
      <c r="C134" s="7">
        <v>14182</v>
      </c>
      <c r="D134" s="7">
        <v>44180</v>
      </c>
      <c r="E134" s="7">
        <v>42000</v>
      </c>
      <c r="F134" s="7">
        <v>0</v>
      </c>
      <c r="G134" s="7">
        <v>16843</v>
      </c>
      <c r="H134" s="7">
        <v>7076</v>
      </c>
      <c r="I134" s="7">
        <v>168000</v>
      </c>
      <c r="J134" s="2">
        <v>22.89999961853027</v>
      </c>
      <c r="K134" s="23">
        <f t="shared" si="23"/>
        <v>451069.5</v>
      </c>
      <c r="L134" s="23">
        <f t="shared" si="18"/>
        <v>26.780828830968353</v>
      </c>
      <c r="M134" s="13" t="s">
        <v>9</v>
      </c>
      <c r="N134" s="7">
        <v>119512</v>
      </c>
      <c r="O134" s="7">
        <v>59969</v>
      </c>
      <c r="P134" s="7">
        <f t="shared" si="25"/>
        <v>68146.590909090912</v>
      </c>
      <c r="Q134" s="7">
        <v>6061</v>
      </c>
      <c r="R134" s="7">
        <v>0</v>
      </c>
      <c r="S134" s="7">
        <f t="shared" si="26"/>
        <v>0</v>
      </c>
      <c r="T134" s="7">
        <v>5821</v>
      </c>
      <c r="U134" s="7">
        <f t="shared" si="24"/>
        <v>418176.69795454544</v>
      </c>
      <c r="V134" s="7">
        <f t="shared" si="27"/>
        <v>71.839322788961596</v>
      </c>
      <c r="W134" s="14" t="s">
        <v>10</v>
      </c>
      <c r="X134" s="7">
        <v>147810</v>
      </c>
      <c r="Y134" s="7">
        <v>912363.63636363624</v>
      </c>
      <c r="Z134" s="7">
        <v>1007909.0909090908</v>
      </c>
      <c r="AA134" s="7">
        <v>5521</v>
      </c>
      <c r="AB134" s="7">
        <v>3943</v>
      </c>
      <c r="AC134" s="7">
        <v>0</v>
      </c>
      <c r="AD134" s="7">
        <v>1094860.8</v>
      </c>
      <c r="AE134" s="7">
        <v>150000</v>
      </c>
      <c r="AF134" s="7">
        <v>10121.017041778565</v>
      </c>
      <c r="AG134" s="7">
        <f t="shared" si="22"/>
        <v>200479.96654545455</v>
      </c>
      <c r="AH134" s="1">
        <f t="shared" si="28"/>
        <v>19.808282677313251</v>
      </c>
    </row>
    <row r="135" spans="1:34" x14ac:dyDescent="0.25">
      <c r="A135" s="13" t="s">
        <v>0</v>
      </c>
      <c r="B135" s="19">
        <v>45791</v>
      </c>
      <c r="C135" s="7">
        <v>17011</v>
      </c>
      <c r="D135" s="7">
        <v>39378</v>
      </c>
      <c r="E135" s="7">
        <v>47875</v>
      </c>
      <c r="F135" s="7">
        <v>1873</v>
      </c>
      <c r="G135" s="7">
        <v>18272</v>
      </c>
      <c r="H135" s="7">
        <v>2276</v>
      </c>
      <c r="I135" s="7">
        <v>191500</v>
      </c>
      <c r="J135" s="2">
        <v>26.14999961853027</v>
      </c>
      <c r="K135" s="23">
        <f t="shared" si="23"/>
        <v>524015.53</v>
      </c>
      <c r="L135" s="23">
        <f t="shared" si="18"/>
        <v>28.678608253064802</v>
      </c>
      <c r="M135" s="13" t="s">
        <v>9</v>
      </c>
      <c r="N135" s="7">
        <v>102204</v>
      </c>
      <c r="O135" s="7">
        <v>37824</v>
      </c>
      <c r="P135" s="7">
        <f t="shared" si="25"/>
        <v>42981.818181818184</v>
      </c>
      <c r="Q135" s="7">
        <v>4290</v>
      </c>
      <c r="R135" s="7">
        <v>0</v>
      </c>
      <c r="S135" s="7">
        <f t="shared" si="26"/>
        <v>0</v>
      </c>
      <c r="T135" s="7">
        <v>3733.0000000000005</v>
      </c>
      <c r="U135" s="7">
        <f t="shared" si="24"/>
        <v>280748.14909090911</v>
      </c>
      <c r="V135" s="7">
        <f t="shared" si="27"/>
        <v>75.207111998636236</v>
      </c>
      <c r="W135" s="14" t="s">
        <v>10</v>
      </c>
      <c r="X135" s="7">
        <v>155800</v>
      </c>
      <c r="Y135" s="7">
        <v>1006818.1818181818</v>
      </c>
      <c r="Z135" s="7">
        <v>1126181.8181818181</v>
      </c>
      <c r="AA135" s="7">
        <v>5540</v>
      </c>
      <c r="AB135" s="7">
        <v>4401</v>
      </c>
      <c r="AC135" s="7">
        <v>0</v>
      </c>
      <c r="AD135" s="7">
        <v>1223164.8</v>
      </c>
      <c r="AE135" s="7">
        <v>150000</v>
      </c>
      <c r="AF135" s="7">
        <v>11172.636138153077</v>
      </c>
      <c r="AG135" s="7">
        <f t="shared" si="22"/>
        <v>215702.60836363639</v>
      </c>
      <c r="AH135" s="1">
        <f t="shared" si="28"/>
        <v>19.306330725927829</v>
      </c>
    </row>
    <row r="136" spans="1:34" x14ac:dyDescent="0.25">
      <c r="A136" s="13" t="s">
        <v>0</v>
      </c>
      <c r="B136" s="19">
        <v>45792</v>
      </c>
      <c r="C136" s="8">
        <v>14812</v>
      </c>
      <c r="D136" s="8">
        <v>46484</v>
      </c>
      <c r="E136" s="8">
        <v>15000</v>
      </c>
      <c r="F136" s="7">
        <v>1634</v>
      </c>
      <c r="G136" s="8">
        <v>16660</v>
      </c>
      <c r="H136" s="8">
        <v>10926</v>
      </c>
      <c r="I136" s="8">
        <v>61224</v>
      </c>
      <c r="J136" s="2">
        <v>30.29999923706055</v>
      </c>
      <c r="K136" s="23">
        <f t="shared" si="23"/>
        <v>262975.24</v>
      </c>
      <c r="L136" s="23">
        <f t="shared" si="18"/>
        <v>15.784828331332532</v>
      </c>
      <c r="M136" s="13" t="s">
        <v>9</v>
      </c>
      <c r="N136" s="7">
        <v>122640</v>
      </c>
      <c r="O136" s="7">
        <v>59562</v>
      </c>
      <c r="P136" s="7">
        <f t="shared" si="25"/>
        <v>67684.090909090912</v>
      </c>
      <c r="Q136" s="7">
        <v>15875</v>
      </c>
      <c r="R136" s="7">
        <v>0</v>
      </c>
      <c r="S136" s="7">
        <f t="shared" si="26"/>
        <v>0</v>
      </c>
      <c r="T136" s="7">
        <v>6567</v>
      </c>
      <c r="U136" s="7">
        <f t="shared" si="24"/>
        <v>459133.17045454547</v>
      </c>
      <c r="V136" s="7">
        <f t="shared" si="27"/>
        <v>69.915207926685767</v>
      </c>
      <c r="W136" s="14" t="s">
        <v>10</v>
      </c>
      <c r="X136" s="8">
        <v>157640</v>
      </c>
      <c r="Y136" s="8">
        <v>1007181.8181818182</v>
      </c>
      <c r="Z136" s="8">
        <v>1117727.2727272727</v>
      </c>
      <c r="AA136" s="8">
        <v>5507</v>
      </c>
      <c r="AB136" s="8">
        <v>3551</v>
      </c>
      <c r="AC136" s="8">
        <v>0</v>
      </c>
      <c r="AD136" s="8">
        <v>1218139.56</v>
      </c>
      <c r="AE136" s="8">
        <v>137500</v>
      </c>
      <c r="AF136" s="8">
        <v>11179.556907653809</v>
      </c>
      <c r="AG136" s="7">
        <f t="shared" si="22"/>
        <v>211485.94794545457</v>
      </c>
      <c r="AH136" s="1">
        <f t="shared" si="28"/>
        <v>18.917203042337565</v>
      </c>
    </row>
    <row r="137" spans="1:34" x14ac:dyDescent="0.25">
      <c r="A137" s="13" t="s">
        <v>0</v>
      </c>
      <c r="B137" s="19">
        <v>45793</v>
      </c>
      <c r="C137" s="7">
        <v>16700</v>
      </c>
      <c r="D137" s="7">
        <v>49616</v>
      </c>
      <c r="E137" s="7">
        <v>40000</v>
      </c>
      <c r="F137" s="7">
        <v>1239</v>
      </c>
      <c r="G137" s="7">
        <v>14228</v>
      </c>
      <c r="H137" s="7">
        <v>8827</v>
      </c>
      <c r="I137" s="7">
        <v>160000</v>
      </c>
      <c r="J137" s="2">
        <v>34.950000762939453</v>
      </c>
      <c r="K137" s="23">
        <f t="shared" si="23"/>
        <v>465074.95999999996</v>
      </c>
      <c r="L137" s="23">
        <f t="shared" ref="L137:L200" si="29">K137/G137</f>
        <v>32.687303907787459</v>
      </c>
      <c r="M137" s="13" t="s">
        <v>9</v>
      </c>
      <c r="N137" s="7">
        <v>71796</v>
      </c>
      <c r="O137" s="7">
        <v>32784</v>
      </c>
      <c r="P137" s="7">
        <f t="shared" si="25"/>
        <v>37254.545454545456</v>
      </c>
      <c r="Q137" s="7">
        <v>9485</v>
      </c>
      <c r="R137" s="7">
        <v>0</v>
      </c>
      <c r="S137" s="7">
        <f t="shared" si="26"/>
        <v>0</v>
      </c>
      <c r="T137" s="7">
        <v>3580</v>
      </c>
      <c r="U137" s="7">
        <f t="shared" si="24"/>
        <v>258271.93272727274</v>
      </c>
      <c r="V137" s="7">
        <f t="shared" si="27"/>
        <v>72.142997968511935</v>
      </c>
      <c r="W137" s="14" t="s">
        <v>10</v>
      </c>
      <c r="X137" s="7">
        <v>147910</v>
      </c>
      <c r="Y137" s="7">
        <v>1009727.2727272727</v>
      </c>
      <c r="Z137" s="7">
        <v>1118727.2727272727</v>
      </c>
      <c r="AA137" s="7">
        <v>5532</v>
      </c>
      <c r="AB137" s="7">
        <v>3718</v>
      </c>
      <c r="AC137" s="7">
        <v>0</v>
      </c>
      <c r="AD137" s="7">
        <v>1212900.48</v>
      </c>
      <c r="AE137" s="7">
        <v>150000</v>
      </c>
      <c r="AF137" s="7">
        <v>11194.686965370178</v>
      </c>
      <c r="AG137" s="7">
        <f t="shared" si="22"/>
        <v>207535.6072</v>
      </c>
      <c r="AH137" s="1">
        <f t="shared" si="28"/>
        <v>18.538759309839921</v>
      </c>
    </row>
    <row r="138" spans="1:34" x14ac:dyDescent="0.25">
      <c r="A138" s="13" t="s">
        <v>0</v>
      </c>
      <c r="B138" s="19">
        <v>45794</v>
      </c>
      <c r="C138" s="7">
        <v>13388</v>
      </c>
      <c r="D138" s="7">
        <v>43141</v>
      </c>
      <c r="E138" s="7">
        <v>0</v>
      </c>
      <c r="F138" s="7">
        <v>1339</v>
      </c>
      <c r="G138" s="7">
        <v>17073</v>
      </c>
      <c r="H138" s="7">
        <v>10072</v>
      </c>
      <c r="I138" s="7">
        <v>0</v>
      </c>
      <c r="J138" s="2">
        <v>27.75</v>
      </c>
      <c r="K138" s="23">
        <f t="shared" si="23"/>
        <v>135949.76000000001</v>
      </c>
      <c r="L138" s="23">
        <f t="shared" si="29"/>
        <v>7.9628512856557139</v>
      </c>
      <c r="M138" s="13" t="s">
        <v>9</v>
      </c>
      <c r="N138" s="7">
        <v>102300</v>
      </c>
      <c r="O138" s="7">
        <v>54836</v>
      </c>
      <c r="P138" s="7">
        <f t="shared" si="25"/>
        <v>62313.63636363636</v>
      </c>
      <c r="Q138" s="7">
        <v>13841</v>
      </c>
      <c r="R138" s="7">
        <v>0</v>
      </c>
      <c r="S138" s="7">
        <f t="shared" si="26"/>
        <v>0</v>
      </c>
      <c r="T138" s="7">
        <v>5628</v>
      </c>
      <c r="U138" s="7">
        <f t="shared" si="24"/>
        <v>413493.88818181818</v>
      </c>
      <c r="V138" s="7">
        <f t="shared" si="27"/>
        <v>73.470840117593852</v>
      </c>
      <c r="W138" s="14" t="s">
        <v>10</v>
      </c>
      <c r="X138" s="7">
        <v>157610</v>
      </c>
      <c r="Y138" s="7">
        <v>1182272.7272727273</v>
      </c>
      <c r="Z138" s="7">
        <v>1317272.7272727273</v>
      </c>
      <c r="AA138" s="7">
        <v>5492</v>
      </c>
      <c r="AB138" s="7">
        <v>3973</v>
      </c>
      <c r="AC138" s="7">
        <v>0</v>
      </c>
      <c r="AD138" s="7">
        <v>1418400.7200000002</v>
      </c>
      <c r="AE138" s="7">
        <v>150000</v>
      </c>
      <c r="AF138" s="7">
        <v>13022.790134811401</v>
      </c>
      <c r="AG138" s="7">
        <f t="shared" si="22"/>
        <v>228476.11080000002</v>
      </c>
      <c r="AH138" s="1">
        <f t="shared" si="28"/>
        <v>17.544328706431148</v>
      </c>
    </row>
    <row r="139" spans="1:34" x14ac:dyDescent="0.25">
      <c r="A139" s="13" t="s">
        <v>0</v>
      </c>
      <c r="B139" s="19">
        <v>45795</v>
      </c>
      <c r="C139" s="7">
        <v>13281</v>
      </c>
      <c r="D139" s="7">
        <v>44340</v>
      </c>
      <c r="E139" s="7">
        <v>0</v>
      </c>
      <c r="F139" s="7">
        <v>455</v>
      </c>
      <c r="G139" s="7">
        <v>11338</v>
      </c>
      <c r="H139" s="7">
        <v>9577</v>
      </c>
      <c r="I139" s="7">
        <v>0</v>
      </c>
      <c r="J139" s="2">
        <v>27.5</v>
      </c>
      <c r="K139" s="23">
        <f t="shared" si="23"/>
        <v>131361.25</v>
      </c>
      <c r="L139" s="23">
        <f t="shared" si="29"/>
        <v>11.585927853236903</v>
      </c>
      <c r="M139" s="13" t="s">
        <v>9</v>
      </c>
      <c r="N139" s="7">
        <v>119636</v>
      </c>
      <c r="O139" s="7">
        <v>68180</v>
      </c>
      <c r="P139" s="7">
        <f t="shared" si="25"/>
        <v>77477.272727272721</v>
      </c>
      <c r="Q139" s="7">
        <v>8910</v>
      </c>
      <c r="R139" s="7">
        <v>0</v>
      </c>
      <c r="S139" s="7">
        <f t="shared" si="26"/>
        <v>0</v>
      </c>
      <c r="T139" s="7">
        <v>6679</v>
      </c>
      <c r="U139" s="7">
        <f t="shared" si="24"/>
        <v>474860.2463636364</v>
      </c>
      <c r="V139" s="7">
        <f t="shared" si="27"/>
        <v>71.097506567395783</v>
      </c>
      <c r="W139" s="14" t="s">
        <v>10</v>
      </c>
      <c r="X139" s="7">
        <v>136420</v>
      </c>
      <c r="Y139" s="7">
        <v>1070363.6363636362</v>
      </c>
      <c r="Z139" s="7">
        <v>1172363.6363636365</v>
      </c>
      <c r="AA139" s="7">
        <v>5520</v>
      </c>
      <c r="AB139" s="7">
        <v>4663</v>
      </c>
      <c r="AC139" s="7">
        <v>0</v>
      </c>
      <c r="AD139" s="7">
        <v>1284857.6400000001</v>
      </c>
      <c r="AE139" s="7">
        <v>150000</v>
      </c>
      <c r="AF139" s="7">
        <v>12078.587987518311</v>
      </c>
      <c r="AG139" s="7">
        <f t="shared" si="22"/>
        <v>210314.06460000001</v>
      </c>
      <c r="AH139" s="1">
        <f t="shared" si="28"/>
        <v>17.41213996349018</v>
      </c>
    </row>
    <row r="140" spans="1:34" x14ac:dyDescent="0.25">
      <c r="A140" s="13" t="s">
        <v>0</v>
      </c>
      <c r="B140" s="19">
        <v>45796</v>
      </c>
      <c r="C140" s="7">
        <v>14576</v>
      </c>
      <c r="D140" s="7">
        <v>43276</v>
      </c>
      <c r="E140" s="7">
        <v>15000</v>
      </c>
      <c r="F140" s="7">
        <v>1553</v>
      </c>
      <c r="G140" s="7">
        <v>13860</v>
      </c>
      <c r="H140" s="7">
        <v>10451</v>
      </c>
      <c r="I140" s="7">
        <v>60000</v>
      </c>
      <c r="J140" s="2">
        <v>29.20000076293945</v>
      </c>
      <c r="K140" s="23">
        <f t="shared" si="23"/>
        <v>258921.16</v>
      </c>
      <c r="L140" s="23">
        <f t="shared" si="29"/>
        <v>18.681180375180375</v>
      </c>
      <c r="M140" s="13" t="s">
        <v>9</v>
      </c>
      <c r="N140" s="7">
        <v>121032</v>
      </c>
      <c r="O140" s="7">
        <v>70157</v>
      </c>
      <c r="P140" s="7">
        <f t="shared" si="25"/>
        <v>79723.863636363632</v>
      </c>
      <c r="Q140" s="7">
        <v>14968.469999999998</v>
      </c>
      <c r="R140" s="7">
        <v>0</v>
      </c>
      <c r="S140" s="7">
        <f t="shared" si="26"/>
        <v>0</v>
      </c>
      <c r="T140" s="7">
        <v>6815</v>
      </c>
      <c r="U140" s="7">
        <f t="shared" si="24"/>
        <v>511945.20771818177</v>
      </c>
      <c r="V140" s="7">
        <f t="shared" si="27"/>
        <v>75.120353296871869</v>
      </c>
      <c r="W140" s="14" t="s">
        <v>10</v>
      </c>
      <c r="X140" s="7">
        <v>162140</v>
      </c>
      <c r="Y140" s="7">
        <v>1104636.3636363635</v>
      </c>
      <c r="Z140" s="7">
        <v>1207909.0909090908</v>
      </c>
      <c r="AA140" s="7">
        <v>5545</v>
      </c>
      <c r="AB140" s="7">
        <v>3628</v>
      </c>
      <c r="AC140" s="7">
        <v>0</v>
      </c>
      <c r="AD140" s="7">
        <v>1320248.1599999999</v>
      </c>
      <c r="AE140" s="7">
        <v>137500</v>
      </c>
      <c r="AF140" s="7">
        <v>12324.311846923829</v>
      </c>
      <c r="AG140" s="7">
        <f t="shared" si="22"/>
        <v>221699.84967272729</v>
      </c>
      <c r="AH140" s="1">
        <f t="shared" si="28"/>
        <v>17.988821804120771</v>
      </c>
    </row>
    <row r="141" spans="1:34" x14ac:dyDescent="0.25">
      <c r="A141" s="13" t="s">
        <v>0</v>
      </c>
      <c r="B141" s="19">
        <v>45797</v>
      </c>
      <c r="C141" s="8">
        <v>13420</v>
      </c>
      <c r="D141" s="8">
        <v>40672</v>
      </c>
      <c r="E141" s="8">
        <v>20000</v>
      </c>
      <c r="F141" s="7">
        <v>1347</v>
      </c>
      <c r="G141" s="8">
        <v>16041</v>
      </c>
      <c r="H141" s="8">
        <v>10639</v>
      </c>
      <c r="I141" s="8">
        <v>80000</v>
      </c>
      <c r="J141" s="2">
        <v>30.14999961853027</v>
      </c>
      <c r="K141" s="23">
        <f t="shared" si="23"/>
        <v>284858.32</v>
      </c>
      <c r="L141" s="23">
        <f t="shared" si="29"/>
        <v>17.758139766847453</v>
      </c>
      <c r="M141" s="13" t="s">
        <v>9</v>
      </c>
      <c r="N141" s="7">
        <v>123792</v>
      </c>
      <c r="O141" s="7">
        <v>67198</v>
      </c>
      <c r="P141" s="7">
        <f t="shared" si="25"/>
        <v>76361.363636363632</v>
      </c>
      <c r="Q141" s="7">
        <v>11319</v>
      </c>
      <c r="R141" s="7">
        <v>0</v>
      </c>
      <c r="S141" s="7">
        <f t="shared" si="26"/>
        <v>0</v>
      </c>
      <c r="T141" s="7">
        <v>7805</v>
      </c>
      <c r="U141" s="7">
        <f t="shared" si="24"/>
        <v>482020.6568181818</v>
      </c>
      <c r="V141" s="7">
        <f t="shared" si="27"/>
        <v>61.757931687146929</v>
      </c>
      <c r="W141" s="14" t="s">
        <v>10</v>
      </c>
      <c r="X141" s="8">
        <v>163500</v>
      </c>
      <c r="Y141" s="8">
        <v>1157000</v>
      </c>
      <c r="Z141" s="8">
        <v>1255454.5454545454</v>
      </c>
      <c r="AA141" s="8">
        <v>5495</v>
      </c>
      <c r="AB141" s="8">
        <v>3756</v>
      </c>
      <c r="AC141" s="8">
        <v>0</v>
      </c>
      <c r="AD141" s="8">
        <v>1370500.56</v>
      </c>
      <c r="AE141" s="8">
        <v>125000</v>
      </c>
      <c r="AF141" s="8">
        <v>12606.74790878296</v>
      </c>
      <c r="AG141" s="7">
        <f t="shared" si="22"/>
        <v>226156.55385454546</v>
      </c>
      <c r="AH141" s="1">
        <f t="shared" si="28"/>
        <v>17.939325470051248</v>
      </c>
    </row>
    <row r="142" spans="1:34" x14ac:dyDescent="0.25">
      <c r="A142" s="13" t="s">
        <v>0</v>
      </c>
      <c r="B142" s="19">
        <v>45798</v>
      </c>
      <c r="C142" s="7">
        <v>14316</v>
      </c>
      <c r="D142" s="7">
        <v>32036</v>
      </c>
      <c r="E142" s="7">
        <v>0</v>
      </c>
      <c r="F142" s="7">
        <v>1123</v>
      </c>
      <c r="G142" s="7">
        <v>10925</v>
      </c>
      <c r="H142" s="7">
        <v>8874</v>
      </c>
      <c r="I142" s="7">
        <v>0</v>
      </c>
      <c r="J142" s="2">
        <v>29.85000038146973</v>
      </c>
      <c r="K142" s="23">
        <f t="shared" si="23"/>
        <v>135935.76</v>
      </c>
      <c r="L142" s="23">
        <f t="shared" si="29"/>
        <v>12.442632494279177</v>
      </c>
      <c r="M142" s="13" t="s">
        <v>9</v>
      </c>
      <c r="N142" s="7">
        <v>121904</v>
      </c>
      <c r="O142" s="7">
        <v>66536</v>
      </c>
      <c r="P142" s="7">
        <f t="shared" si="25"/>
        <v>75609.090909090912</v>
      </c>
      <c r="Q142" s="7">
        <v>9600</v>
      </c>
      <c r="R142" s="7">
        <v>0</v>
      </c>
      <c r="S142" s="7">
        <f t="shared" si="26"/>
        <v>0</v>
      </c>
      <c r="T142" s="7">
        <v>7216</v>
      </c>
      <c r="U142" s="7">
        <f t="shared" si="24"/>
        <v>470114.08545454545</v>
      </c>
      <c r="V142" s="7">
        <f t="shared" si="27"/>
        <v>65.148847762547874</v>
      </c>
      <c r="W142" s="14" t="s">
        <v>10</v>
      </c>
      <c r="X142" s="7">
        <v>134050</v>
      </c>
      <c r="Y142" s="7">
        <v>1442363.6363636362</v>
      </c>
      <c r="Z142" s="7">
        <v>1481363.6363636362</v>
      </c>
      <c r="AA142" s="7">
        <v>5526</v>
      </c>
      <c r="AB142" s="7">
        <v>3839</v>
      </c>
      <c r="AC142" s="7">
        <v>0</v>
      </c>
      <c r="AD142" s="7">
        <v>1313939.8799999999</v>
      </c>
      <c r="AE142" s="7">
        <v>125000</v>
      </c>
      <c r="AF142" s="7">
        <v>13047.717119407655</v>
      </c>
      <c r="AG142" s="7">
        <f t="shared" si="22"/>
        <v>224686.09820000001</v>
      </c>
      <c r="AH142" s="1">
        <f t="shared" si="28"/>
        <v>17.22033794446644</v>
      </c>
    </row>
    <row r="143" spans="1:34" x14ac:dyDescent="0.25">
      <c r="A143" s="13" t="s">
        <v>0</v>
      </c>
      <c r="B143" s="19">
        <v>45799</v>
      </c>
      <c r="C143" s="7">
        <v>13069</v>
      </c>
      <c r="D143" s="7">
        <v>36983</v>
      </c>
      <c r="E143" s="7">
        <v>10000</v>
      </c>
      <c r="F143" s="7">
        <v>1572</v>
      </c>
      <c r="G143" s="7">
        <v>17710</v>
      </c>
      <c r="H143" s="7">
        <v>7267</v>
      </c>
      <c r="I143" s="7">
        <v>40816</v>
      </c>
      <c r="J143" s="2">
        <v>28.20000076293945</v>
      </c>
      <c r="K143" s="23">
        <f t="shared" si="23"/>
        <v>206162.13</v>
      </c>
      <c r="L143" s="23">
        <f t="shared" si="29"/>
        <v>11.641001129305478</v>
      </c>
      <c r="M143" s="13" t="s">
        <v>9</v>
      </c>
      <c r="N143" s="7">
        <v>25924</v>
      </c>
      <c r="O143" s="7">
        <v>6072</v>
      </c>
      <c r="P143" s="7">
        <f t="shared" si="25"/>
        <v>6900</v>
      </c>
      <c r="Q143" s="7">
        <v>44</v>
      </c>
      <c r="R143" s="7">
        <v>0</v>
      </c>
      <c r="S143" s="7">
        <f t="shared" si="26"/>
        <v>0</v>
      </c>
      <c r="T143" s="7">
        <v>308</v>
      </c>
      <c r="U143" s="7">
        <f t="shared" si="24"/>
        <v>47678.22</v>
      </c>
      <c r="V143" s="7">
        <f t="shared" si="27"/>
        <v>154.79941558441558</v>
      </c>
      <c r="W143" s="14" t="s">
        <v>10</v>
      </c>
      <c r="X143" s="7">
        <v>103850</v>
      </c>
      <c r="Y143" s="7">
        <v>992181.81818181812</v>
      </c>
      <c r="Z143" s="7">
        <v>1096090.9090909089</v>
      </c>
      <c r="AA143" s="7">
        <v>5406</v>
      </c>
      <c r="AB143" s="7">
        <v>3981</v>
      </c>
      <c r="AC143" s="7">
        <v>208</v>
      </c>
      <c r="AD143" s="7">
        <v>1004192.64</v>
      </c>
      <c r="AE143" s="7">
        <v>100000</v>
      </c>
      <c r="AF143" s="7">
        <v>9745.5360900878914</v>
      </c>
      <c r="AG143" s="7">
        <f t="shared" si="22"/>
        <v>177193.98050909091</v>
      </c>
      <c r="AH143" s="1">
        <f t="shared" si="28"/>
        <v>18.182066011670052</v>
      </c>
    </row>
    <row r="144" spans="1:34" x14ac:dyDescent="0.25">
      <c r="A144" s="13" t="s">
        <v>0</v>
      </c>
      <c r="B144" s="19">
        <v>45800</v>
      </c>
      <c r="C144" s="7">
        <v>14347</v>
      </c>
      <c r="D144" s="7">
        <v>45306</v>
      </c>
      <c r="E144" s="7">
        <v>14625</v>
      </c>
      <c r="F144" s="7">
        <v>0</v>
      </c>
      <c r="G144" s="7">
        <v>15613</v>
      </c>
      <c r="H144" s="7">
        <v>9509</v>
      </c>
      <c r="I144" s="7">
        <v>58500</v>
      </c>
      <c r="J144" s="2">
        <v>32.849998474121087</v>
      </c>
      <c r="K144" s="23">
        <f t="shared" si="23"/>
        <v>247682.81</v>
      </c>
      <c r="L144" s="23">
        <f t="shared" si="29"/>
        <v>15.863883302376225</v>
      </c>
      <c r="M144" s="13" t="s">
        <v>9</v>
      </c>
      <c r="N144" s="7">
        <v>120580</v>
      </c>
      <c r="O144" s="7">
        <v>68178</v>
      </c>
      <c r="P144" s="7">
        <f t="shared" si="25"/>
        <v>77475</v>
      </c>
      <c r="Q144" s="7">
        <v>13464.989999999998</v>
      </c>
      <c r="R144" s="7">
        <v>0</v>
      </c>
      <c r="S144" s="7">
        <f t="shared" si="26"/>
        <v>0</v>
      </c>
      <c r="T144" s="7">
        <v>6639</v>
      </c>
      <c r="U144" s="7">
        <f t="shared" si="24"/>
        <v>494600.08279999992</v>
      </c>
      <c r="V144" s="7">
        <f t="shared" si="27"/>
        <v>74.499184033740008</v>
      </c>
      <c r="W144" s="14" t="s">
        <v>10</v>
      </c>
      <c r="X144" s="7">
        <v>154100</v>
      </c>
      <c r="Y144" s="7">
        <v>1069909.0909090908</v>
      </c>
      <c r="Z144" s="7">
        <v>1184454.5454545454</v>
      </c>
      <c r="AA144" s="7">
        <v>2652</v>
      </c>
      <c r="AB144" s="7">
        <v>3793</v>
      </c>
      <c r="AC144" s="7">
        <v>3519</v>
      </c>
      <c r="AD144" s="7">
        <v>1279939.32</v>
      </c>
      <c r="AE144" s="7">
        <v>112500</v>
      </c>
      <c r="AF144" s="7">
        <v>12202.314924240112</v>
      </c>
      <c r="AG144" s="7">
        <f t="shared" si="22"/>
        <v>205873.54434545455</v>
      </c>
      <c r="AH144" s="1">
        <f t="shared" si="28"/>
        <v>16.87167931852694</v>
      </c>
    </row>
    <row r="145" spans="1:34" x14ac:dyDescent="0.25">
      <c r="A145" s="13" t="s">
        <v>0</v>
      </c>
      <c r="B145" s="19">
        <v>45801</v>
      </c>
      <c r="C145" s="7">
        <v>10406</v>
      </c>
      <c r="D145" s="7">
        <v>40136</v>
      </c>
      <c r="E145" s="7">
        <v>0</v>
      </c>
      <c r="F145" s="7">
        <v>1873</v>
      </c>
      <c r="G145" s="7">
        <v>16672</v>
      </c>
      <c r="H145" s="7">
        <v>5887</v>
      </c>
      <c r="I145" s="7">
        <v>0</v>
      </c>
      <c r="J145" s="2">
        <v>35.900001525878913</v>
      </c>
      <c r="K145" s="23">
        <f t="shared" si="23"/>
        <v>113528.26</v>
      </c>
      <c r="L145" s="23">
        <f t="shared" si="29"/>
        <v>6.809516554702495</v>
      </c>
      <c r="M145" s="13" t="s">
        <v>9</v>
      </c>
      <c r="N145" s="7">
        <v>122632</v>
      </c>
      <c r="O145" s="7">
        <v>73151</v>
      </c>
      <c r="P145" s="7">
        <f t="shared" si="25"/>
        <v>83126.136363636368</v>
      </c>
      <c r="Q145" s="7">
        <v>8415</v>
      </c>
      <c r="R145" s="7">
        <v>0</v>
      </c>
      <c r="S145" s="7">
        <f t="shared" si="26"/>
        <v>0</v>
      </c>
      <c r="T145" s="7">
        <v>7429</v>
      </c>
      <c r="U145" s="7">
        <f t="shared" si="24"/>
        <v>501445.0256818182</v>
      </c>
      <c r="V145" s="7">
        <f t="shared" si="27"/>
        <v>67.498320861733504</v>
      </c>
      <c r="W145" s="14" t="s">
        <v>10</v>
      </c>
      <c r="X145" s="7">
        <v>155140</v>
      </c>
      <c r="Y145" s="7">
        <v>1072545.4545454546</v>
      </c>
      <c r="Z145" s="7">
        <v>1262272.7272727273</v>
      </c>
      <c r="AA145" s="7">
        <v>2209</v>
      </c>
      <c r="AB145" s="7">
        <v>3262</v>
      </c>
      <c r="AC145" s="7">
        <v>3559</v>
      </c>
      <c r="AD145" s="7">
        <v>1269461.1600000001</v>
      </c>
      <c r="AE145" s="7">
        <v>125000</v>
      </c>
      <c r="AF145" s="7">
        <v>12019.67993774414</v>
      </c>
      <c r="AG145" s="7">
        <f t="shared" si="22"/>
        <v>205442.59012727274</v>
      </c>
      <c r="AH145" s="1">
        <f t="shared" si="28"/>
        <v>17.092184749624067</v>
      </c>
    </row>
    <row r="146" spans="1:34" x14ac:dyDescent="0.25">
      <c r="A146" s="13" t="s">
        <v>0</v>
      </c>
      <c r="B146" s="19">
        <v>45802</v>
      </c>
      <c r="C146" s="8">
        <v>13265</v>
      </c>
      <c r="D146" s="8">
        <v>42025</v>
      </c>
      <c r="E146" s="8">
        <v>0</v>
      </c>
      <c r="F146" s="7">
        <v>1004</v>
      </c>
      <c r="G146" s="8">
        <v>20250</v>
      </c>
      <c r="H146" s="8">
        <v>8331</v>
      </c>
      <c r="I146" s="8">
        <v>0</v>
      </c>
      <c r="J146" s="2">
        <v>37.450000762939453</v>
      </c>
      <c r="K146" s="23">
        <f t="shared" si="23"/>
        <v>132684.25</v>
      </c>
      <c r="L146" s="23">
        <f t="shared" si="29"/>
        <v>6.5523086419753085</v>
      </c>
      <c r="M146" s="13" t="s">
        <v>9</v>
      </c>
      <c r="N146" s="7">
        <v>114724</v>
      </c>
      <c r="O146" s="7">
        <v>63142</v>
      </c>
      <c r="P146" s="7">
        <f t="shared" si="25"/>
        <v>71752.272727272721</v>
      </c>
      <c r="Q146" s="7">
        <v>7678</v>
      </c>
      <c r="R146" s="7">
        <v>0</v>
      </c>
      <c r="S146" s="7">
        <f t="shared" si="26"/>
        <v>0</v>
      </c>
      <c r="T146" s="7">
        <v>7750</v>
      </c>
      <c r="U146" s="7">
        <f t="shared" si="24"/>
        <v>439550.71136363631</v>
      </c>
      <c r="V146" s="7">
        <f t="shared" si="27"/>
        <v>56.716220821114362</v>
      </c>
      <c r="W146" s="14" t="s">
        <v>10</v>
      </c>
      <c r="X146" s="8">
        <v>152900</v>
      </c>
      <c r="Y146" s="8">
        <v>1025363.6363636365</v>
      </c>
      <c r="Z146" s="8">
        <v>1214272.7272727273</v>
      </c>
      <c r="AA146" s="8">
        <v>1653</v>
      </c>
      <c r="AB146" s="8">
        <v>4155</v>
      </c>
      <c r="AC146" s="8">
        <v>3560</v>
      </c>
      <c r="AD146" s="8">
        <v>1239951.24</v>
      </c>
      <c r="AE146" s="8">
        <v>150000</v>
      </c>
      <c r="AF146" s="8">
        <v>11563.530119705199</v>
      </c>
      <c r="AG146" s="7">
        <f>X146*0.56+Y146*0.0285+Z146*0.032+AA146*3+AB146*5+AD146*0.015+AE146*0.045</f>
        <v>204786.85950909092</v>
      </c>
      <c r="AH146" s="1">
        <f t="shared" si="28"/>
        <v>17.709718173355849</v>
      </c>
    </row>
    <row r="147" spans="1:34" x14ac:dyDescent="0.25">
      <c r="A147" s="13" t="s">
        <v>0</v>
      </c>
      <c r="B147" s="19">
        <v>45803</v>
      </c>
      <c r="C147" s="7">
        <v>11472</v>
      </c>
      <c r="D147" s="7">
        <v>34064</v>
      </c>
      <c r="E147" s="7">
        <v>29000</v>
      </c>
      <c r="F147" s="7">
        <v>1000</v>
      </c>
      <c r="G147" s="7">
        <v>17401</v>
      </c>
      <c r="H147" s="7">
        <v>3289</v>
      </c>
      <c r="I147" s="7">
        <v>118367</v>
      </c>
      <c r="J147" s="2">
        <v>33.900001525878913</v>
      </c>
      <c r="K147" s="23">
        <f t="shared" si="23"/>
        <v>331631.03999999998</v>
      </c>
      <c r="L147" s="23">
        <f t="shared" si="29"/>
        <v>19.058159875869201</v>
      </c>
      <c r="M147" s="13" t="s">
        <v>9</v>
      </c>
      <c r="N147" s="7">
        <v>118624</v>
      </c>
      <c r="O147" s="7">
        <v>65550</v>
      </c>
      <c r="P147" s="7">
        <f t="shared" si="25"/>
        <v>74488.636363636368</v>
      </c>
      <c r="Q147" s="7">
        <v>6000</v>
      </c>
      <c r="R147" s="7">
        <v>0</v>
      </c>
      <c r="S147" s="7">
        <f t="shared" si="26"/>
        <v>0</v>
      </c>
      <c r="T147" s="7">
        <v>6975</v>
      </c>
      <c r="U147" s="7">
        <f t="shared" si="24"/>
        <v>447730.63318181818</v>
      </c>
      <c r="V147" s="7">
        <f t="shared" si="27"/>
        <v>64.190771782339525</v>
      </c>
      <c r="W147" s="14" t="s">
        <v>10</v>
      </c>
      <c r="X147" s="7">
        <v>139480</v>
      </c>
      <c r="Y147" s="7">
        <v>781090.90909090906</v>
      </c>
      <c r="Z147" s="7">
        <v>909636.36363636353</v>
      </c>
      <c r="AA147" s="7">
        <v>3917</v>
      </c>
      <c r="AB147" s="7">
        <v>3666</v>
      </c>
      <c r="AC147" s="7">
        <v>1461</v>
      </c>
      <c r="AD147" s="7">
        <v>933090.84000000008</v>
      </c>
      <c r="AE147" s="7">
        <v>62500</v>
      </c>
      <c r="AF147" s="7">
        <v>8713.5615450096138</v>
      </c>
      <c r="AG147" s="7">
        <f t="shared" si="22"/>
        <v>176368.11714545454</v>
      </c>
      <c r="AH147" s="1">
        <f t="shared" si="28"/>
        <v>20.240646288481567</v>
      </c>
    </row>
    <row r="148" spans="1:34" x14ac:dyDescent="0.25">
      <c r="A148" s="13" t="s">
        <v>0</v>
      </c>
      <c r="B148" s="19">
        <v>45804</v>
      </c>
      <c r="C148" s="7">
        <v>10369</v>
      </c>
      <c r="D148" s="7">
        <v>31672</v>
      </c>
      <c r="E148" s="7">
        <v>10000</v>
      </c>
      <c r="F148" s="7">
        <v>0</v>
      </c>
      <c r="G148" s="7">
        <v>18401</v>
      </c>
      <c r="H148" s="7">
        <v>4282</v>
      </c>
      <c r="I148" s="7">
        <v>40000</v>
      </c>
      <c r="J148" s="2">
        <v>35.650001525878913</v>
      </c>
      <c r="K148" s="23">
        <f t="shared" si="23"/>
        <v>174132.97</v>
      </c>
      <c r="L148" s="23">
        <f t="shared" si="29"/>
        <v>9.4632340633661212</v>
      </c>
      <c r="M148" s="13" t="s">
        <v>9</v>
      </c>
      <c r="N148" s="7">
        <v>112092</v>
      </c>
      <c r="O148" s="7">
        <v>70700</v>
      </c>
      <c r="P148" s="7">
        <f t="shared" si="25"/>
        <v>80340.909090909088</v>
      </c>
      <c r="Q148" s="7">
        <v>0</v>
      </c>
      <c r="R148" s="7">
        <v>0</v>
      </c>
      <c r="S148" s="7">
        <f t="shared" si="26"/>
        <v>0</v>
      </c>
      <c r="T148" s="7">
        <v>6600</v>
      </c>
      <c r="U148" s="7">
        <f t="shared" si="24"/>
        <v>446720.72454545455</v>
      </c>
      <c r="V148" s="7">
        <f t="shared" si="27"/>
        <v>67.684958264462807</v>
      </c>
      <c r="W148" s="14" t="s">
        <v>10</v>
      </c>
      <c r="X148" s="7">
        <v>155030</v>
      </c>
      <c r="Y148" s="7">
        <v>1082363.6363636365</v>
      </c>
      <c r="Z148" s="7">
        <v>1379181.8181818181</v>
      </c>
      <c r="AA148" s="7">
        <v>5531</v>
      </c>
      <c r="AB148" s="7">
        <v>3329</v>
      </c>
      <c r="AC148" s="7">
        <v>0</v>
      </c>
      <c r="AD148" s="7">
        <v>1296191.1600000001</v>
      </c>
      <c r="AE148" s="7">
        <v>112500</v>
      </c>
      <c r="AF148" s="7">
        <v>12162.476162376404</v>
      </c>
      <c r="AG148" s="7">
        <f t="shared" si="22"/>
        <v>219541.3492181818</v>
      </c>
      <c r="AH148" s="1">
        <f t="shared" si="28"/>
        <v>18.050711572805749</v>
      </c>
    </row>
    <row r="149" spans="1:34" x14ac:dyDescent="0.25">
      <c r="A149" s="13" t="s">
        <v>0</v>
      </c>
      <c r="B149" s="19">
        <v>45805</v>
      </c>
      <c r="C149" s="7">
        <v>13903</v>
      </c>
      <c r="D149" s="7">
        <v>34818</v>
      </c>
      <c r="E149" s="7">
        <v>0</v>
      </c>
      <c r="F149" s="7">
        <v>0</v>
      </c>
      <c r="G149" s="7">
        <v>18387</v>
      </c>
      <c r="H149" s="7">
        <v>3976</v>
      </c>
      <c r="I149" s="7">
        <v>0</v>
      </c>
      <c r="J149" s="2">
        <v>38.5</v>
      </c>
      <c r="K149" s="23">
        <f t="shared" si="23"/>
        <v>128636.62999999999</v>
      </c>
      <c r="L149" s="23">
        <f t="shared" si="29"/>
        <v>6.9960640670038607</v>
      </c>
      <c r="M149" s="13" t="s">
        <v>9</v>
      </c>
      <c r="N149" s="7">
        <v>111448</v>
      </c>
      <c r="O149" s="7">
        <v>69000</v>
      </c>
      <c r="P149" s="7">
        <f t="shared" si="25"/>
        <v>78409.090909090912</v>
      </c>
      <c r="Q149" s="7">
        <v>0</v>
      </c>
      <c r="R149" s="7">
        <v>0</v>
      </c>
      <c r="S149" s="7">
        <f t="shared" si="26"/>
        <v>0</v>
      </c>
      <c r="T149" s="7">
        <v>6020</v>
      </c>
      <c r="U149" s="7">
        <f t="shared" si="24"/>
        <v>437127.92545454548</v>
      </c>
      <c r="V149" s="7">
        <f t="shared" si="27"/>
        <v>72.612612201751745</v>
      </c>
      <c r="W149" s="14" t="s">
        <v>10</v>
      </c>
      <c r="X149" s="7">
        <v>131450</v>
      </c>
      <c r="Y149" s="7">
        <v>888090.90909090918</v>
      </c>
      <c r="Z149" s="7">
        <v>1121909.0909090908</v>
      </c>
      <c r="AA149" s="7">
        <v>5323</v>
      </c>
      <c r="AB149" s="7">
        <v>4184</v>
      </c>
      <c r="AC149" s="7">
        <v>0</v>
      </c>
      <c r="AD149" s="7">
        <v>1075187.52</v>
      </c>
      <c r="AE149" s="7">
        <v>75000</v>
      </c>
      <c r="AF149" s="7">
        <v>9930.050292415619</v>
      </c>
      <c r="AG149" s="7">
        <f t="shared" si="22"/>
        <v>191215.49461818184</v>
      </c>
      <c r="AH149" s="1">
        <f t="shared" si="28"/>
        <v>19.256246341897036</v>
      </c>
    </row>
    <row r="150" spans="1:34" x14ac:dyDescent="0.25">
      <c r="A150" s="13" t="s">
        <v>0</v>
      </c>
      <c r="B150" s="19">
        <v>45806</v>
      </c>
      <c r="C150" s="7">
        <v>10410</v>
      </c>
      <c r="D150" s="7">
        <v>40529</v>
      </c>
      <c r="E150" s="7">
        <v>25000</v>
      </c>
      <c r="F150" s="7">
        <v>0</v>
      </c>
      <c r="G150" s="7">
        <v>22835</v>
      </c>
      <c r="H150" s="7">
        <v>7038</v>
      </c>
      <c r="I150" s="7">
        <v>100000</v>
      </c>
      <c r="J150" s="2">
        <v>38.349998474121087</v>
      </c>
      <c r="K150" s="23">
        <f t="shared" si="23"/>
        <v>291914.74</v>
      </c>
      <c r="L150" s="23">
        <f t="shared" si="29"/>
        <v>12.783654039851106</v>
      </c>
      <c r="M150" s="13" t="s">
        <v>9</v>
      </c>
      <c r="N150" s="7">
        <v>110889.46524662524</v>
      </c>
      <c r="O150" s="7">
        <v>73000</v>
      </c>
      <c r="P150" s="7">
        <f t="shared" si="25"/>
        <v>82954.545454545456</v>
      </c>
      <c r="Q150" s="7">
        <v>0</v>
      </c>
      <c r="R150" s="7">
        <v>0</v>
      </c>
      <c r="S150" s="7">
        <f t="shared" si="26"/>
        <v>0</v>
      </c>
      <c r="T150" s="7">
        <v>6075</v>
      </c>
      <c r="U150" s="7">
        <f t="shared" si="24"/>
        <v>458537.87326538283</v>
      </c>
      <c r="V150" s="7">
        <f t="shared" si="27"/>
        <v>75.47948531117413</v>
      </c>
      <c r="W150" s="14" t="s">
        <v>10</v>
      </c>
      <c r="X150" s="7">
        <v>107440</v>
      </c>
      <c r="Y150" s="7">
        <v>407545.45454545453</v>
      </c>
      <c r="Z150" s="7">
        <v>523272.72727272724</v>
      </c>
      <c r="AA150" s="7">
        <v>5729</v>
      </c>
      <c r="AB150" s="7">
        <v>3087</v>
      </c>
      <c r="AC150" s="7">
        <v>0</v>
      </c>
      <c r="AD150" s="7">
        <v>500278.68</v>
      </c>
      <c r="AE150" s="7">
        <v>25000</v>
      </c>
      <c r="AF150" s="7">
        <v>4630.9103526115414</v>
      </c>
      <c r="AG150" s="7">
        <f t="shared" si="22"/>
        <v>129777.35292727273</v>
      </c>
      <c r="AH150" s="1">
        <f t="shared" si="28"/>
        <v>28.024155737345787</v>
      </c>
    </row>
    <row r="151" spans="1:34" x14ac:dyDescent="0.25">
      <c r="A151" s="13" t="s">
        <v>0</v>
      </c>
      <c r="B151" s="19">
        <v>45807</v>
      </c>
      <c r="C151" s="7">
        <v>13368</v>
      </c>
      <c r="D151" s="7">
        <v>47326</v>
      </c>
      <c r="E151" s="7">
        <v>30000</v>
      </c>
      <c r="F151" s="7">
        <v>0</v>
      </c>
      <c r="G151" s="7">
        <v>22369</v>
      </c>
      <c r="H151" s="7">
        <v>10845</v>
      </c>
      <c r="I151" s="7">
        <v>120000</v>
      </c>
      <c r="J151" s="2">
        <v>33.75</v>
      </c>
      <c r="K151" s="23">
        <f t="shared" si="23"/>
        <v>356441.36</v>
      </c>
      <c r="L151" s="23">
        <f t="shared" si="29"/>
        <v>15.934613080602618</v>
      </c>
      <c r="M151" s="13" t="s">
        <v>9</v>
      </c>
      <c r="N151" s="7">
        <v>112752.04115602374</v>
      </c>
      <c r="O151" s="7">
        <v>74045.604859009472</v>
      </c>
      <c r="P151" s="7">
        <f t="shared" si="25"/>
        <v>84142.732794328942</v>
      </c>
      <c r="Q151" s="7">
        <v>0</v>
      </c>
      <c r="R151" s="7">
        <v>0</v>
      </c>
      <c r="S151" s="7">
        <f t="shared" si="26"/>
        <v>0</v>
      </c>
      <c r="T151" s="7">
        <v>6705.2776295244694</v>
      </c>
      <c r="U151" s="7">
        <f t="shared" si="24"/>
        <v>465259.2630714713</v>
      </c>
      <c r="V151" s="7">
        <f t="shared" si="27"/>
        <v>69.387024486928951</v>
      </c>
      <c r="W151" s="14" t="s">
        <v>10</v>
      </c>
      <c r="X151" s="8">
        <v>132700</v>
      </c>
      <c r="Y151" s="8">
        <v>756545.45454545459</v>
      </c>
      <c r="Z151" s="8">
        <v>972909.09090909082</v>
      </c>
      <c r="AA151" s="8">
        <v>7500</v>
      </c>
      <c r="AB151" s="8">
        <v>4364</v>
      </c>
      <c r="AC151" s="8">
        <v>0</v>
      </c>
      <c r="AD151" s="8">
        <v>912882.96</v>
      </c>
      <c r="AE151" s="8">
        <v>50000</v>
      </c>
      <c r="AF151" s="8">
        <v>8588.3728356933589</v>
      </c>
      <c r="AG151" s="7">
        <f t="shared" si="22"/>
        <v>187269.88076363635</v>
      </c>
      <c r="AH151" s="1">
        <f t="shared" si="28"/>
        <v>21.805047864869227</v>
      </c>
    </row>
    <row r="152" spans="1:34" x14ac:dyDescent="0.25">
      <c r="A152" s="13" t="s">
        <v>0</v>
      </c>
      <c r="B152" s="19">
        <v>45808</v>
      </c>
      <c r="C152" s="7">
        <v>10553</v>
      </c>
      <c r="D152" s="7">
        <v>48631</v>
      </c>
      <c r="E152" s="7">
        <v>13000</v>
      </c>
      <c r="F152" s="7">
        <v>0</v>
      </c>
      <c r="G152" s="7">
        <v>20201</v>
      </c>
      <c r="H152" s="7">
        <v>10774</v>
      </c>
      <c r="I152" s="7">
        <v>54167</v>
      </c>
      <c r="J152" s="2">
        <v>33.400001525878913</v>
      </c>
      <c r="K152" s="23">
        <f>C152*7.85+D152*0.56+E152*7.5+F152*5</f>
        <v>207574.41</v>
      </c>
      <c r="L152" s="23">
        <f t="shared" si="29"/>
        <v>10.27545220533637</v>
      </c>
      <c r="M152" s="13" t="s">
        <v>9</v>
      </c>
      <c r="N152" s="7">
        <v>115650</v>
      </c>
      <c r="O152" s="7">
        <v>74400</v>
      </c>
      <c r="P152" s="7">
        <f t="shared" si="25"/>
        <v>84545.454545454544</v>
      </c>
      <c r="Q152" s="7">
        <v>0</v>
      </c>
      <c r="R152" s="7">
        <v>0</v>
      </c>
      <c r="S152" s="7">
        <f t="shared" si="26"/>
        <v>0</v>
      </c>
      <c r="T152" s="7">
        <v>6895</v>
      </c>
      <c r="U152" s="7">
        <f t="shared" si="24"/>
        <v>468806.72727272724</v>
      </c>
      <c r="V152" s="7">
        <f t="shared" si="27"/>
        <v>67.992273716131578</v>
      </c>
      <c r="W152" s="14" t="s">
        <v>10</v>
      </c>
      <c r="X152" s="7">
        <v>164160</v>
      </c>
      <c r="Y152" s="7">
        <v>1067181.8181818181</v>
      </c>
      <c r="Z152" s="7">
        <v>1355454.5454545454</v>
      </c>
      <c r="AA152" s="7">
        <v>10080</v>
      </c>
      <c r="AB152" s="7">
        <v>3686</v>
      </c>
      <c r="AC152" s="7">
        <v>0</v>
      </c>
      <c r="AD152" s="7">
        <v>1287958.32</v>
      </c>
      <c r="AE152" s="7">
        <v>125000</v>
      </c>
      <c r="AF152" s="7">
        <v>12027.949562129974</v>
      </c>
      <c r="AG152" s="7">
        <f t="shared" si="22"/>
        <v>239333.20207272726</v>
      </c>
      <c r="AH152" s="1">
        <f t="shared" si="28"/>
        <v>19.898088268200624</v>
      </c>
    </row>
    <row r="153" spans="1:34" x14ac:dyDescent="0.25">
      <c r="A153" s="13" t="s">
        <v>0</v>
      </c>
      <c r="B153" s="19">
        <v>45809</v>
      </c>
      <c r="C153" s="7">
        <v>10132</v>
      </c>
      <c r="D153" s="7">
        <v>45668</v>
      </c>
      <c r="E153" s="7">
        <v>0</v>
      </c>
      <c r="F153" s="7">
        <v>0</v>
      </c>
      <c r="G153" s="7">
        <v>9559</v>
      </c>
      <c r="H153" s="7">
        <v>8001</v>
      </c>
      <c r="I153" s="7">
        <v>0</v>
      </c>
      <c r="J153" s="2">
        <v>29.14999961853027</v>
      </c>
      <c r="K153" s="23">
        <f>C153*7.95+D153*0.55+E153*7.9+F153*5</f>
        <v>105666.80000000002</v>
      </c>
      <c r="L153" s="23">
        <f t="shared" si="29"/>
        <v>11.054168846113612</v>
      </c>
      <c r="M153" s="13" t="s">
        <v>9</v>
      </c>
      <c r="N153" s="7">
        <v>113897.96142382175</v>
      </c>
      <c r="O153" s="7">
        <v>73900</v>
      </c>
      <c r="P153" s="7">
        <f t="shared" si="25"/>
        <v>83977.272727272721</v>
      </c>
      <c r="Q153" s="7">
        <v>0</v>
      </c>
      <c r="R153" s="7">
        <v>0</v>
      </c>
      <c r="S153" s="7">
        <f t="shared" si="26"/>
        <v>0</v>
      </c>
      <c r="T153" s="7">
        <v>6955</v>
      </c>
      <c r="U153" s="7">
        <f>N153*0.55+P153*5.24+Q153*4.1+S153*8.9</f>
        <v>502684.78787401103</v>
      </c>
      <c r="V153" s="7">
        <f t="shared" si="27"/>
        <v>72.27674879568815</v>
      </c>
      <c r="W153" s="14" t="s">
        <v>10</v>
      </c>
      <c r="X153" s="7">
        <v>128500</v>
      </c>
      <c r="Y153" s="7">
        <v>872363.63636363624</v>
      </c>
      <c r="Z153" s="7">
        <v>1113727.2727272727</v>
      </c>
      <c r="AA153" s="7">
        <v>10201</v>
      </c>
      <c r="AB153" s="7">
        <v>3984</v>
      </c>
      <c r="AC153" s="7">
        <v>0</v>
      </c>
      <c r="AD153" s="7">
        <v>1039690.0800000001</v>
      </c>
      <c r="AE153" s="7">
        <v>87500</v>
      </c>
      <c r="AF153" s="7">
        <v>9869.1671021652219</v>
      </c>
      <c r="AG153" s="7">
        <f>X153*0.55+Y153*0.0285+Z153*0.032+AA153*3+AB153*5+AD153*0.015+AE153*0.045</f>
        <v>201232.48756363636</v>
      </c>
      <c r="AH153" s="1">
        <f t="shared" si="28"/>
        <v>20.390017260877816</v>
      </c>
    </row>
    <row r="154" spans="1:34" x14ac:dyDescent="0.25">
      <c r="A154" s="13" t="s">
        <v>0</v>
      </c>
      <c r="B154" s="19">
        <v>45810</v>
      </c>
      <c r="C154" s="7">
        <v>11073</v>
      </c>
      <c r="D154" s="7">
        <v>45636</v>
      </c>
      <c r="E154" s="7">
        <v>40000</v>
      </c>
      <c r="F154" s="7">
        <v>645</v>
      </c>
      <c r="G154" s="7">
        <v>13197</v>
      </c>
      <c r="H154" s="7">
        <v>7333</v>
      </c>
      <c r="I154" s="7">
        <v>160000</v>
      </c>
      <c r="J154" s="2">
        <v>26.29999923706055</v>
      </c>
      <c r="K154" s="23">
        <f t="shared" ref="K154:K182" si="30">C154*7.95+D154*0.55+E154*7.9+F154*5</f>
        <v>432355.15</v>
      </c>
      <c r="L154" s="23">
        <f t="shared" si="29"/>
        <v>32.761623853906194</v>
      </c>
      <c r="M154" s="13" t="s">
        <v>9</v>
      </c>
      <c r="N154" s="7">
        <v>115038.09384304285</v>
      </c>
      <c r="O154" s="7">
        <v>70800</v>
      </c>
      <c r="P154" s="7">
        <f t="shared" si="25"/>
        <v>80454.545454545456</v>
      </c>
      <c r="Q154" s="7">
        <v>0</v>
      </c>
      <c r="R154" s="7">
        <v>0</v>
      </c>
      <c r="S154" s="7">
        <f t="shared" si="26"/>
        <v>0</v>
      </c>
      <c r="T154" s="7">
        <v>6575</v>
      </c>
      <c r="U154" s="7">
        <f t="shared" ref="U154:U182" si="31">N154*0.55+P154*5.24+Q154*4.1+S154*8.9</f>
        <v>484852.76979549183</v>
      </c>
      <c r="V154" s="7">
        <f t="shared" si="27"/>
        <v>73.741866128591909</v>
      </c>
      <c r="W154" s="14" t="s">
        <v>10</v>
      </c>
      <c r="X154" s="7">
        <v>158700</v>
      </c>
      <c r="Y154" s="7">
        <v>1113000</v>
      </c>
      <c r="Z154" s="7">
        <v>1427545.4545454546</v>
      </c>
      <c r="AA154" s="7">
        <v>6197</v>
      </c>
      <c r="AB154" s="7">
        <v>3790</v>
      </c>
      <c r="AC154" s="7">
        <v>645</v>
      </c>
      <c r="AD154" s="7">
        <v>1319072.04</v>
      </c>
      <c r="AE154" s="7">
        <v>100000</v>
      </c>
      <c r="AF154" s="7">
        <v>12489.998777503968</v>
      </c>
      <c r="AG154" s="7">
        <f t="shared" ref="AG154:AG212" si="32">X154*0.55+Y154*0.0285+Z154*0.032+AA154*3+AB154*5+AD154*0.015+AE154*0.045</f>
        <v>226514.03514545452</v>
      </c>
      <c r="AH154" s="1">
        <f t="shared" si="28"/>
        <v>18.135633091768934</v>
      </c>
    </row>
    <row r="155" spans="1:34" x14ac:dyDescent="0.25">
      <c r="A155" s="13" t="s">
        <v>0</v>
      </c>
      <c r="B155" s="19">
        <v>45811</v>
      </c>
      <c r="C155" s="7">
        <v>12598</v>
      </c>
      <c r="D155" s="7">
        <v>37296</v>
      </c>
      <c r="E155" s="7">
        <v>15100</v>
      </c>
      <c r="F155" s="7">
        <v>3495</v>
      </c>
      <c r="G155" s="7">
        <v>17661</v>
      </c>
      <c r="H155" s="7">
        <v>7284</v>
      </c>
      <c r="I155" s="7">
        <v>60400</v>
      </c>
      <c r="J155" s="2">
        <v>27.35000038146973</v>
      </c>
      <c r="K155" s="23">
        <f t="shared" si="30"/>
        <v>257431.90000000002</v>
      </c>
      <c r="L155" s="23">
        <f t="shared" si="29"/>
        <v>14.576292395674086</v>
      </c>
      <c r="M155" s="13" t="s">
        <v>9</v>
      </c>
      <c r="N155" s="7">
        <v>114706.49870848656</v>
      </c>
      <c r="O155" s="7">
        <v>69900</v>
      </c>
      <c r="P155" s="7">
        <f t="shared" si="25"/>
        <v>79431.818181818177</v>
      </c>
      <c r="Q155" s="7">
        <v>0</v>
      </c>
      <c r="R155" s="7">
        <v>0</v>
      </c>
      <c r="S155" s="7">
        <f t="shared" si="26"/>
        <v>0</v>
      </c>
      <c r="T155" s="7">
        <v>5635</v>
      </c>
      <c r="U155" s="7">
        <f t="shared" si="31"/>
        <v>479311.30156239483</v>
      </c>
      <c r="V155" s="7">
        <f t="shared" si="27"/>
        <v>85.059680845145493</v>
      </c>
      <c r="W155" s="14" t="s">
        <v>10</v>
      </c>
      <c r="X155" s="7">
        <v>138810</v>
      </c>
      <c r="Y155" s="7">
        <v>1503181.8181818181</v>
      </c>
      <c r="Z155" s="7">
        <v>1566181.8181818181</v>
      </c>
      <c r="AA155" s="7">
        <v>13</v>
      </c>
      <c r="AB155" s="7">
        <v>2556</v>
      </c>
      <c r="AC155" s="7">
        <v>3495</v>
      </c>
      <c r="AD155" s="7">
        <v>1393060.68</v>
      </c>
      <c r="AE155" s="7">
        <v>112500</v>
      </c>
      <c r="AF155" s="7">
        <v>13227.166693267822</v>
      </c>
      <c r="AG155" s="7">
        <f t="shared" si="32"/>
        <v>208081.41019999998</v>
      </c>
      <c r="AH155" s="1">
        <f t="shared" si="28"/>
        <v>15.731366741292097</v>
      </c>
    </row>
    <row r="156" spans="1:34" x14ac:dyDescent="0.25">
      <c r="A156" s="13" t="s">
        <v>0</v>
      </c>
      <c r="B156" s="19">
        <v>45812</v>
      </c>
      <c r="C156" s="7">
        <v>10008</v>
      </c>
      <c r="D156" s="7">
        <v>43097</v>
      </c>
      <c r="E156" s="7">
        <v>5000</v>
      </c>
      <c r="F156" s="7">
        <v>2728</v>
      </c>
      <c r="G156" s="7">
        <v>12718</v>
      </c>
      <c r="H156" s="7">
        <v>7564</v>
      </c>
      <c r="I156" s="7">
        <v>20000</v>
      </c>
      <c r="J156" s="2">
        <v>31.60000038146973</v>
      </c>
      <c r="K156" s="23">
        <f t="shared" si="30"/>
        <v>156406.95000000001</v>
      </c>
      <c r="L156" s="23">
        <f t="shared" si="29"/>
        <v>12.298077527913195</v>
      </c>
      <c r="M156" s="13" t="s">
        <v>9</v>
      </c>
      <c r="N156" s="7">
        <v>116514.84538400173</v>
      </c>
      <c r="O156" s="7">
        <v>71490</v>
      </c>
      <c r="P156" s="7">
        <f t="shared" si="25"/>
        <v>81238.636363636368</v>
      </c>
      <c r="Q156" s="7">
        <v>0</v>
      </c>
      <c r="R156" s="7">
        <v>0</v>
      </c>
      <c r="S156" s="7">
        <f t="shared" si="26"/>
        <v>0</v>
      </c>
      <c r="T156" s="7">
        <v>5540</v>
      </c>
      <c r="U156" s="7">
        <f t="shared" si="31"/>
        <v>489773.61950665555</v>
      </c>
      <c r="V156" s="7">
        <f t="shared" si="27"/>
        <v>88.406790524667073</v>
      </c>
      <c r="W156" s="14" t="s">
        <v>10</v>
      </c>
      <c r="X156" s="7">
        <v>149550</v>
      </c>
      <c r="Y156" s="7">
        <v>1074181.8181818181</v>
      </c>
      <c r="Z156" s="7">
        <v>1191181.8181818181</v>
      </c>
      <c r="AA156" s="7">
        <v>1386</v>
      </c>
      <c r="AB156" s="7">
        <v>1596</v>
      </c>
      <c r="AC156" s="7">
        <v>2728</v>
      </c>
      <c r="AD156" s="7">
        <v>1061929.44</v>
      </c>
      <c r="AE156" s="7">
        <v>112500</v>
      </c>
      <c r="AF156" s="7">
        <v>10451.070107460022</v>
      </c>
      <c r="AG156" s="7">
        <f t="shared" si="32"/>
        <v>184113.94159999999</v>
      </c>
      <c r="AH156" s="1">
        <f t="shared" si="28"/>
        <v>17.616755002779918</v>
      </c>
    </row>
    <row r="157" spans="1:34" x14ac:dyDescent="0.25">
      <c r="A157" s="13" t="s">
        <v>0</v>
      </c>
      <c r="B157" s="19">
        <v>45813</v>
      </c>
      <c r="C157" s="8">
        <v>13554</v>
      </c>
      <c r="D157" s="8">
        <v>40214</v>
      </c>
      <c r="E157" s="8">
        <v>20000</v>
      </c>
      <c r="F157" s="7">
        <v>6</v>
      </c>
      <c r="G157" s="8">
        <v>14892</v>
      </c>
      <c r="H157" s="8">
        <v>6974</v>
      </c>
      <c r="I157" s="8">
        <v>80000</v>
      </c>
      <c r="J157" s="2">
        <v>33.5</v>
      </c>
      <c r="K157" s="23">
        <f t="shared" si="30"/>
        <v>287902</v>
      </c>
      <c r="L157" s="23">
        <f t="shared" si="29"/>
        <v>19.332661831856029</v>
      </c>
      <c r="M157" s="13" t="s">
        <v>9</v>
      </c>
      <c r="N157" s="7">
        <v>80176.700781345367</v>
      </c>
      <c r="O157" s="7">
        <v>39810</v>
      </c>
      <c r="P157" s="7">
        <f t="shared" si="25"/>
        <v>45238.63636363636</v>
      </c>
      <c r="Q157" s="7">
        <v>0</v>
      </c>
      <c r="R157" s="7">
        <v>0</v>
      </c>
      <c r="S157" s="7">
        <f t="shared" si="26"/>
        <v>0</v>
      </c>
      <c r="T157" s="7">
        <v>3530</v>
      </c>
      <c r="U157" s="7">
        <f t="shared" si="31"/>
        <v>281147.63997519447</v>
      </c>
      <c r="V157" s="7">
        <f t="shared" si="27"/>
        <v>79.645223789006934</v>
      </c>
      <c r="W157" s="14" t="s">
        <v>10</v>
      </c>
      <c r="X157" s="8">
        <v>150660</v>
      </c>
      <c r="Y157" s="8">
        <v>951909.09090909082</v>
      </c>
      <c r="Z157" s="8">
        <v>1230000</v>
      </c>
      <c r="AA157" s="8">
        <v>5728</v>
      </c>
      <c r="AB157" s="8">
        <v>1074</v>
      </c>
      <c r="AC157" s="8">
        <v>6</v>
      </c>
      <c r="AD157" s="8">
        <v>1139553.3600000001</v>
      </c>
      <c r="AE157" s="8">
        <v>100000</v>
      </c>
      <c r="AF157" s="8">
        <v>11152.759788475036</v>
      </c>
      <c r="AG157" s="7">
        <f t="shared" si="32"/>
        <v>193499.7094909091</v>
      </c>
      <c r="AH157" s="1">
        <f t="shared" si="28"/>
        <v>17.349939670615566</v>
      </c>
    </row>
    <row r="158" spans="1:34" x14ac:dyDescent="0.25">
      <c r="A158" s="13" t="s">
        <v>0</v>
      </c>
      <c r="B158" s="19">
        <v>45814</v>
      </c>
      <c r="C158" s="7">
        <v>4454</v>
      </c>
      <c r="D158" s="7">
        <v>47843</v>
      </c>
      <c r="E158" s="7">
        <v>0</v>
      </c>
      <c r="F158" s="7">
        <v>3766</v>
      </c>
      <c r="G158" s="7">
        <v>7962</v>
      </c>
      <c r="H158" s="7">
        <v>7096</v>
      </c>
      <c r="I158" s="7">
        <v>0</v>
      </c>
      <c r="J158" s="2">
        <v>39.75</v>
      </c>
      <c r="K158" s="23">
        <f t="shared" si="30"/>
        <v>80552.950000000012</v>
      </c>
      <c r="L158" s="23">
        <f t="shared" si="29"/>
        <v>10.117175332830948</v>
      </c>
      <c r="M158" s="13" t="s">
        <v>9</v>
      </c>
      <c r="N158" s="7">
        <v>117881.45712586492</v>
      </c>
      <c r="O158" s="7">
        <v>73360</v>
      </c>
      <c r="P158" s="7">
        <f t="shared" si="25"/>
        <v>83363.636363636368</v>
      </c>
      <c r="Q158" s="7">
        <v>0</v>
      </c>
      <c r="R158" s="7">
        <v>0</v>
      </c>
      <c r="S158" s="7">
        <f t="shared" si="26"/>
        <v>0</v>
      </c>
      <c r="T158" s="7">
        <v>6305</v>
      </c>
      <c r="U158" s="7">
        <f t="shared" si="31"/>
        <v>501660.25596468028</v>
      </c>
      <c r="V158" s="7">
        <f t="shared" si="27"/>
        <v>79.565464863549607</v>
      </c>
      <c r="W158" s="14" t="s">
        <v>10</v>
      </c>
      <c r="X158" s="7">
        <v>160340</v>
      </c>
      <c r="Y158" s="7">
        <v>1063909.0909090908</v>
      </c>
      <c r="Z158" s="7">
        <v>1372545.4545454546</v>
      </c>
      <c r="AA158" s="7">
        <v>8068</v>
      </c>
      <c r="AB158" s="7">
        <v>1394</v>
      </c>
      <c r="AC158" s="7">
        <v>3766</v>
      </c>
      <c r="AD158" s="7">
        <v>1273417.2</v>
      </c>
      <c r="AE158" s="7">
        <v>100000</v>
      </c>
      <c r="AF158" s="7">
        <v>12356.475076675415</v>
      </c>
      <c r="AG158" s="7">
        <f t="shared" si="32"/>
        <v>217205.12163636365</v>
      </c>
      <c r="AH158" s="1">
        <f t="shared" si="28"/>
        <v>17.578243009316537</v>
      </c>
    </row>
    <row r="159" spans="1:34" x14ac:dyDescent="0.25">
      <c r="A159" s="13" t="s">
        <v>0</v>
      </c>
      <c r="B159" s="19">
        <v>45815</v>
      </c>
      <c r="C159" s="7">
        <v>11463</v>
      </c>
      <c r="D159" s="7">
        <v>26759</v>
      </c>
      <c r="E159" s="7">
        <v>0</v>
      </c>
      <c r="F159" s="7">
        <v>3486</v>
      </c>
      <c r="G159" s="7">
        <v>7271.5</v>
      </c>
      <c r="H159" s="7">
        <v>5077</v>
      </c>
      <c r="I159" s="7">
        <v>0</v>
      </c>
      <c r="J159" s="2">
        <v>37.349998474121087</v>
      </c>
      <c r="K159" s="23">
        <f t="shared" si="30"/>
        <v>123278.3</v>
      </c>
      <c r="L159" s="23">
        <f t="shared" si="29"/>
        <v>16.953627174585712</v>
      </c>
      <c r="M159" s="13" t="s">
        <v>9</v>
      </c>
      <c r="N159" s="7">
        <v>73898.845444142818</v>
      </c>
      <c r="O159" s="7">
        <v>39140</v>
      </c>
      <c r="P159" s="7">
        <f t="shared" si="25"/>
        <v>44477.272727272728</v>
      </c>
      <c r="Q159" s="7">
        <v>0</v>
      </c>
      <c r="R159" s="7">
        <v>0</v>
      </c>
      <c r="S159" s="7">
        <f t="shared" si="26"/>
        <v>0</v>
      </c>
      <c r="T159" s="7">
        <v>3445</v>
      </c>
      <c r="U159" s="7">
        <f t="shared" si="31"/>
        <v>273705.2740851877</v>
      </c>
      <c r="V159" s="7">
        <f t="shared" si="27"/>
        <v>79.450006991346214</v>
      </c>
      <c r="W159" s="14" t="s">
        <v>10</v>
      </c>
      <c r="X159" s="7">
        <v>91660</v>
      </c>
      <c r="Y159" s="7">
        <v>475272.72727272729</v>
      </c>
      <c r="Z159" s="7">
        <v>622272.72727272729</v>
      </c>
      <c r="AA159" s="7">
        <v>7704</v>
      </c>
      <c r="AB159" s="7">
        <v>1078</v>
      </c>
      <c r="AC159" s="7">
        <v>3486</v>
      </c>
      <c r="AD159" s="7">
        <v>573518.88</v>
      </c>
      <c r="AE159" s="7">
        <v>25000</v>
      </c>
      <c r="AF159" s="7">
        <v>5682.375347251892</v>
      </c>
      <c r="AG159" s="7">
        <f t="shared" si="32"/>
        <v>122100.78320000001</v>
      </c>
      <c r="AH159" s="1">
        <f t="shared" si="28"/>
        <v>21.487630742142077</v>
      </c>
    </row>
    <row r="160" spans="1:34" x14ac:dyDescent="0.25">
      <c r="A160" s="13" t="s">
        <v>0</v>
      </c>
      <c r="B160" s="19">
        <v>45816</v>
      </c>
      <c r="C160" s="7">
        <v>8470</v>
      </c>
      <c r="D160" s="7">
        <v>37509</v>
      </c>
      <c r="E160" s="7">
        <v>0</v>
      </c>
      <c r="F160" s="7">
        <v>3505</v>
      </c>
      <c r="G160" s="7">
        <v>6581</v>
      </c>
      <c r="H160" s="7">
        <v>7356</v>
      </c>
      <c r="I160" s="7">
        <v>0</v>
      </c>
      <c r="J160" s="2">
        <v>34.25</v>
      </c>
      <c r="K160" s="23">
        <f t="shared" si="30"/>
        <v>105491.45</v>
      </c>
      <c r="L160" s="23">
        <f t="shared" si="29"/>
        <v>16.029699133870231</v>
      </c>
      <c r="M160" s="13" t="s">
        <v>9</v>
      </c>
      <c r="N160" s="7">
        <v>115202.88421943784</v>
      </c>
      <c r="O160" s="7">
        <v>72420</v>
      </c>
      <c r="P160" s="7">
        <f t="shared" si="25"/>
        <v>82295.454545454544</v>
      </c>
      <c r="Q160" s="7">
        <v>0</v>
      </c>
      <c r="R160" s="7">
        <v>0</v>
      </c>
      <c r="S160" s="7">
        <f t="shared" si="26"/>
        <v>0</v>
      </c>
      <c r="T160" s="7">
        <v>6315</v>
      </c>
      <c r="U160" s="7">
        <f t="shared" si="31"/>
        <v>494589.76813887263</v>
      </c>
      <c r="V160" s="7">
        <f t="shared" si="27"/>
        <v>78.319836601563367</v>
      </c>
      <c r="W160" s="14" t="s">
        <v>10</v>
      </c>
      <c r="X160" s="7">
        <v>158680</v>
      </c>
      <c r="Y160" s="7">
        <v>1091363.6363636362</v>
      </c>
      <c r="Z160" s="7">
        <v>1404363.6363636362</v>
      </c>
      <c r="AA160" s="7">
        <v>7889</v>
      </c>
      <c r="AB160" s="7">
        <v>1466</v>
      </c>
      <c r="AC160" s="7">
        <v>3505</v>
      </c>
      <c r="AD160" s="7">
        <v>1321317.3599999999</v>
      </c>
      <c r="AE160" s="7">
        <v>137500</v>
      </c>
      <c r="AF160" s="7">
        <v>12641.533047561645</v>
      </c>
      <c r="AG160" s="7">
        <f t="shared" si="32"/>
        <v>220321.7604</v>
      </c>
      <c r="AH160" s="1">
        <f t="shared" si="28"/>
        <v>17.428405207744692</v>
      </c>
    </row>
    <row r="161" spans="1:34" x14ac:dyDescent="0.25">
      <c r="A161" s="13" t="s">
        <v>0</v>
      </c>
      <c r="B161" s="19">
        <v>45817</v>
      </c>
      <c r="C161" s="7">
        <v>13608</v>
      </c>
      <c r="D161" s="7">
        <v>42127</v>
      </c>
      <c r="E161" s="7">
        <v>0</v>
      </c>
      <c r="F161" s="7">
        <v>3489</v>
      </c>
      <c r="G161" s="7">
        <v>14753</v>
      </c>
      <c r="H161" s="7">
        <v>7567</v>
      </c>
      <c r="I161" s="7">
        <v>0</v>
      </c>
      <c r="J161" s="2">
        <v>28.39999961853027</v>
      </c>
      <c r="K161" s="23">
        <f t="shared" si="30"/>
        <v>148798.45000000001</v>
      </c>
      <c r="L161" s="23">
        <f t="shared" si="29"/>
        <v>10.08597912289026</v>
      </c>
      <c r="M161" s="13" t="s">
        <v>9</v>
      </c>
      <c r="N161" s="7">
        <v>115327</v>
      </c>
      <c r="O161" s="7">
        <v>74380</v>
      </c>
      <c r="P161" s="7">
        <f t="shared" si="25"/>
        <v>84522.727272727279</v>
      </c>
      <c r="Q161" s="7">
        <v>0</v>
      </c>
      <c r="R161" s="7">
        <v>0</v>
      </c>
      <c r="S161" s="7">
        <f t="shared" si="26"/>
        <v>0</v>
      </c>
      <c r="T161" s="7">
        <v>7075</v>
      </c>
      <c r="U161" s="7">
        <f t="shared" si="31"/>
        <v>506328.94090909092</v>
      </c>
      <c r="V161" s="7">
        <f t="shared" si="27"/>
        <v>71.565928043687762</v>
      </c>
      <c r="W161" s="14" t="s">
        <v>10</v>
      </c>
      <c r="X161" s="7">
        <v>156220</v>
      </c>
      <c r="Y161" s="7">
        <v>1008272.7272727273</v>
      </c>
      <c r="Z161" s="7">
        <v>1304272.7272727273</v>
      </c>
      <c r="AA161" s="7">
        <v>7959</v>
      </c>
      <c r="AB161" s="7">
        <v>1566</v>
      </c>
      <c r="AC161" s="7">
        <v>3489</v>
      </c>
      <c r="AD161" s="7">
        <v>1243586.52</v>
      </c>
      <c r="AE161" s="7">
        <v>112500</v>
      </c>
      <c r="AF161" s="7">
        <v>11772.100621452331</v>
      </c>
      <c r="AG161" s="7">
        <f t="shared" si="32"/>
        <v>211816.7978</v>
      </c>
      <c r="AH161" s="1">
        <f t="shared" si="28"/>
        <v>17.993118187760448</v>
      </c>
    </row>
    <row r="162" spans="1:34" x14ac:dyDescent="0.25">
      <c r="A162" s="13" t="s">
        <v>0</v>
      </c>
      <c r="B162" s="19">
        <v>45818</v>
      </c>
      <c r="C162" s="8">
        <v>11623</v>
      </c>
      <c r="D162" s="8">
        <v>47864</v>
      </c>
      <c r="E162" s="8">
        <v>29500</v>
      </c>
      <c r="F162" s="7">
        <v>3483</v>
      </c>
      <c r="G162" s="8">
        <v>13833</v>
      </c>
      <c r="H162" s="8">
        <v>9545</v>
      </c>
      <c r="I162" s="8">
        <v>118000</v>
      </c>
      <c r="J162" s="2">
        <v>30.20000076293945</v>
      </c>
      <c r="K162" s="23">
        <f t="shared" si="30"/>
        <v>369193.05</v>
      </c>
      <c r="L162" s="23">
        <f t="shared" si="29"/>
        <v>26.689297332465841</v>
      </c>
      <c r="M162" s="13" t="s">
        <v>9</v>
      </c>
      <c r="N162" s="7">
        <v>115600</v>
      </c>
      <c r="O162" s="7">
        <v>68380</v>
      </c>
      <c r="P162" s="7">
        <f t="shared" si="25"/>
        <v>77704.545454545456</v>
      </c>
      <c r="Q162" s="7">
        <v>0</v>
      </c>
      <c r="R162" s="7">
        <v>0</v>
      </c>
      <c r="S162" s="7">
        <f t="shared" si="26"/>
        <v>0</v>
      </c>
      <c r="T162" s="7">
        <v>6595</v>
      </c>
      <c r="U162" s="7">
        <f t="shared" si="31"/>
        <v>470751.81818181818</v>
      </c>
      <c r="V162" s="7">
        <f t="shared" si="27"/>
        <v>71.380108897925425</v>
      </c>
      <c r="W162" s="14" t="s">
        <v>10</v>
      </c>
      <c r="X162" s="8">
        <v>153380</v>
      </c>
      <c r="Y162" s="8">
        <v>1035545.4545454544</v>
      </c>
      <c r="Z162" s="8">
        <v>1332727.2727272727</v>
      </c>
      <c r="AA162" s="8">
        <v>7886</v>
      </c>
      <c r="AB162" s="8">
        <v>2731</v>
      </c>
      <c r="AC162" s="8">
        <v>3483</v>
      </c>
      <c r="AD162" s="8">
        <v>1275983.28</v>
      </c>
      <c r="AE162" s="8">
        <v>150000</v>
      </c>
      <c r="AF162" s="8">
        <v>12159.100812549592</v>
      </c>
      <c r="AG162" s="7">
        <f t="shared" si="32"/>
        <v>219722.06738181817</v>
      </c>
      <c r="AH162" s="1">
        <f t="shared" si="28"/>
        <v>18.070585215893573</v>
      </c>
    </row>
    <row r="163" spans="1:34" x14ac:dyDescent="0.25">
      <c r="A163" s="13" t="s">
        <v>0</v>
      </c>
      <c r="B163" s="19">
        <v>45819</v>
      </c>
      <c r="C163" s="7">
        <v>17499</v>
      </c>
      <c r="D163" s="7">
        <v>46701</v>
      </c>
      <c r="E163" s="7">
        <v>12000</v>
      </c>
      <c r="F163" s="7">
        <v>1556</v>
      </c>
      <c r="G163" s="7">
        <v>15828</v>
      </c>
      <c r="H163" s="7">
        <v>7811</v>
      </c>
      <c r="I163" s="7">
        <v>48000</v>
      </c>
      <c r="J163" s="2">
        <v>30.04999923706055</v>
      </c>
      <c r="K163" s="23">
        <f t="shared" si="30"/>
        <v>267382.60000000003</v>
      </c>
      <c r="L163" s="23">
        <f t="shared" si="29"/>
        <v>16.893012383118528</v>
      </c>
      <c r="M163" s="13" t="s">
        <v>9</v>
      </c>
      <c r="N163" s="7">
        <v>116762</v>
      </c>
      <c r="O163" s="7">
        <v>69660</v>
      </c>
      <c r="P163" s="7">
        <f t="shared" si="25"/>
        <v>79159.090909090912</v>
      </c>
      <c r="Q163" s="7">
        <v>0</v>
      </c>
      <c r="R163" s="7">
        <v>0</v>
      </c>
      <c r="S163" s="7">
        <f t="shared" si="26"/>
        <v>0</v>
      </c>
      <c r="T163" s="7">
        <v>6890</v>
      </c>
      <c r="U163" s="7">
        <f t="shared" si="31"/>
        <v>479012.73636363645</v>
      </c>
      <c r="V163" s="7">
        <f t="shared" si="27"/>
        <v>69.522893521572783</v>
      </c>
      <c r="W163" s="14" t="s">
        <v>10</v>
      </c>
      <c r="X163" s="7">
        <v>154130</v>
      </c>
      <c r="Y163" s="7">
        <v>1041636.3636363634</v>
      </c>
      <c r="Z163" s="7">
        <v>1350545.4545454546</v>
      </c>
      <c r="AA163" s="7">
        <v>7924</v>
      </c>
      <c r="AB163" s="7">
        <v>1958</v>
      </c>
      <c r="AC163" s="7">
        <v>1556</v>
      </c>
      <c r="AD163" s="7">
        <v>1304210.1600000001</v>
      </c>
      <c r="AE163" s="7">
        <v>150000</v>
      </c>
      <c r="AF163" s="7">
        <v>12122.718174972535</v>
      </c>
      <c r="AG163" s="7">
        <f t="shared" si="32"/>
        <v>217550.74330909087</v>
      </c>
      <c r="AH163" s="1">
        <f t="shared" si="28"/>
        <v>17.945706579092668</v>
      </c>
    </row>
    <row r="164" spans="1:34" x14ac:dyDescent="0.25">
      <c r="A164" s="13" t="s">
        <v>0</v>
      </c>
      <c r="B164" s="19">
        <v>45820</v>
      </c>
      <c r="C164" s="7">
        <v>12943</v>
      </c>
      <c r="D164" s="7">
        <v>47643</v>
      </c>
      <c r="E164" s="7">
        <v>40000</v>
      </c>
      <c r="F164" s="7">
        <v>0</v>
      </c>
      <c r="G164" s="7">
        <v>8405</v>
      </c>
      <c r="H164" s="7">
        <v>8408</v>
      </c>
      <c r="I164" s="7">
        <v>160000</v>
      </c>
      <c r="J164" s="2">
        <v>29.85000038146973</v>
      </c>
      <c r="K164" s="23">
        <f t="shared" si="30"/>
        <v>445100.5</v>
      </c>
      <c r="L164" s="23">
        <f t="shared" si="29"/>
        <v>52.956632956573465</v>
      </c>
      <c r="M164" s="13" t="s">
        <v>9</v>
      </c>
      <c r="N164" s="7">
        <v>133570</v>
      </c>
      <c r="O164" s="7">
        <v>70132</v>
      </c>
      <c r="P164" s="7">
        <f t="shared" si="25"/>
        <v>79695.454545454544</v>
      </c>
      <c r="Q164" s="7">
        <v>1600</v>
      </c>
      <c r="R164" s="7">
        <v>0</v>
      </c>
      <c r="S164" s="7">
        <f t="shared" si="26"/>
        <v>0</v>
      </c>
      <c r="T164" s="7">
        <v>6487</v>
      </c>
      <c r="U164" s="7">
        <f t="shared" si="31"/>
        <v>497627.68181818182</v>
      </c>
      <c r="V164" s="7">
        <f t="shared" si="27"/>
        <v>76.711527951006914</v>
      </c>
      <c r="W164" s="14" t="s">
        <v>10</v>
      </c>
      <c r="X164" s="7">
        <v>146400</v>
      </c>
      <c r="Y164" s="7">
        <v>1014909.0909090908</v>
      </c>
      <c r="Z164" s="7">
        <v>1205636.3636363635</v>
      </c>
      <c r="AA164" s="7">
        <v>7914</v>
      </c>
      <c r="AB164" s="7">
        <v>2987</v>
      </c>
      <c r="AC164" s="7">
        <v>0</v>
      </c>
      <c r="AD164" s="7">
        <v>1242196.56</v>
      </c>
      <c r="AE164" s="7">
        <v>112500</v>
      </c>
      <c r="AF164" s="7">
        <v>11651.429939651489</v>
      </c>
      <c r="AG164" s="7">
        <f t="shared" si="32"/>
        <v>210397.7211272727</v>
      </c>
      <c r="AH164" s="1">
        <f t="shared" si="28"/>
        <v>18.057673797724952</v>
      </c>
    </row>
    <row r="165" spans="1:34" x14ac:dyDescent="0.25">
      <c r="A165" s="13" t="s">
        <v>0</v>
      </c>
      <c r="B165" s="19">
        <v>45821</v>
      </c>
      <c r="C165" s="7">
        <v>13206</v>
      </c>
      <c r="D165" s="7">
        <v>44280</v>
      </c>
      <c r="E165" s="7">
        <v>30000</v>
      </c>
      <c r="F165" s="7">
        <v>0</v>
      </c>
      <c r="G165" s="7">
        <v>10015</v>
      </c>
      <c r="H165" s="7">
        <v>9105</v>
      </c>
      <c r="I165" s="7">
        <v>120000</v>
      </c>
      <c r="J165" s="2">
        <v>30.25</v>
      </c>
      <c r="K165" s="23">
        <f t="shared" si="30"/>
        <v>366341.7</v>
      </c>
      <c r="L165" s="23">
        <f t="shared" si="29"/>
        <v>36.579301048427361</v>
      </c>
      <c r="M165" s="13" t="s">
        <v>9</v>
      </c>
      <c r="N165" s="7">
        <v>185097.01015214622</v>
      </c>
      <c r="O165" s="7">
        <v>67710</v>
      </c>
      <c r="P165" s="7">
        <f t="shared" si="25"/>
        <v>76943.181818181823</v>
      </c>
      <c r="Q165" s="7">
        <v>20000</v>
      </c>
      <c r="R165" s="7">
        <v>0</v>
      </c>
      <c r="S165" s="7">
        <f t="shared" si="26"/>
        <v>0</v>
      </c>
      <c r="T165" s="7">
        <v>6055</v>
      </c>
      <c r="U165" s="7">
        <f t="shared" si="31"/>
        <v>586985.62831095327</v>
      </c>
      <c r="V165" s="7">
        <f t="shared" si="27"/>
        <v>96.942300299083939</v>
      </c>
      <c r="W165" s="14" t="s">
        <v>10</v>
      </c>
      <c r="X165" s="7">
        <v>153690</v>
      </c>
      <c r="Y165" s="7">
        <v>1068090.9090909092</v>
      </c>
      <c r="Z165" s="7">
        <v>1283363.6363636362</v>
      </c>
      <c r="AA165" s="7">
        <v>8000</v>
      </c>
      <c r="AB165" s="7">
        <v>3025</v>
      </c>
      <c r="AC165" s="7">
        <v>0</v>
      </c>
      <c r="AD165" s="7">
        <v>1307524.68</v>
      </c>
      <c r="AE165" s="7">
        <v>125000</v>
      </c>
      <c r="AF165" s="7">
        <v>12172.91655052185</v>
      </c>
      <c r="AG165" s="7">
        <f t="shared" si="32"/>
        <v>220400.59747272727</v>
      </c>
      <c r="AH165" s="1">
        <f t="shared" si="28"/>
        <v>18.105816840030727</v>
      </c>
    </row>
    <row r="166" spans="1:34" x14ac:dyDescent="0.25">
      <c r="A166" s="13" t="s">
        <v>0</v>
      </c>
      <c r="B166" s="19">
        <v>45822</v>
      </c>
      <c r="C166" s="7">
        <v>10699</v>
      </c>
      <c r="D166" s="7">
        <v>43565</v>
      </c>
      <c r="E166" s="7">
        <v>0</v>
      </c>
      <c r="F166" s="7">
        <v>0</v>
      </c>
      <c r="G166" s="7">
        <v>11922</v>
      </c>
      <c r="H166" s="7">
        <v>8668</v>
      </c>
      <c r="I166" s="7">
        <v>0</v>
      </c>
      <c r="J166" s="2">
        <v>35.75</v>
      </c>
      <c r="K166" s="23">
        <f t="shared" si="30"/>
        <v>109017.8</v>
      </c>
      <c r="L166" s="23">
        <f t="shared" si="29"/>
        <v>9.1442543197450092</v>
      </c>
      <c r="M166" s="13" t="s">
        <v>9</v>
      </c>
      <c r="N166" s="7">
        <v>186847.08973983675</v>
      </c>
      <c r="O166" s="7">
        <v>65695</v>
      </c>
      <c r="P166" s="7">
        <f t="shared" si="25"/>
        <v>74653.409090909088</v>
      </c>
      <c r="Q166" s="7">
        <v>26800</v>
      </c>
      <c r="R166" s="7">
        <v>0</v>
      </c>
      <c r="S166" s="7">
        <f t="shared" si="26"/>
        <v>0</v>
      </c>
      <c r="T166" s="7">
        <v>7300</v>
      </c>
      <c r="U166" s="7">
        <f t="shared" si="31"/>
        <v>603829.76299327379</v>
      </c>
      <c r="V166" s="7">
        <f t="shared" si="27"/>
        <v>82.716405889489565</v>
      </c>
      <c r="W166" s="14" t="s">
        <v>10</v>
      </c>
      <c r="X166" s="7">
        <v>165300</v>
      </c>
      <c r="Y166" s="7">
        <v>1133181.8181818181</v>
      </c>
      <c r="Z166" s="7">
        <v>1347909.0909090908</v>
      </c>
      <c r="AA166" s="7">
        <v>7887</v>
      </c>
      <c r="AB166" s="7">
        <v>3162</v>
      </c>
      <c r="AC166" s="7">
        <v>0</v>
      </c>
      <c r="AD166" s="7">
        <v>1379161.08</v>
      </c>
      <c r="AE166" s="7">
        <v>124999.99999999999</v>
      </c>
      <c r="AF166" s="7">
        <v>12905.754133148193</v>
      </c>
      <c r="AG166" s="7">
        <f t="shared" si="32"/>
        <v>232127.18892727274</v>
      </c>
      <c r="AH166" s="1">
        <f t="shared" si="28"/>
        <v>17.986332804144958</v>
      </c>
    </row>
    <row r="167" spans="1:34" x14ac:dyDescent="0.25">
      <c r="A167" s="13" t="s">
        <v>0</v>
      </c>
      <c r="B167" s="19">
        <v>45823</v>
      </c>
      <c r="C167" s="8">
        <v>10795</v>
      </c>
      <c r="D167" s="8">
        <v>44249</v>
      </c>
      <c r="E167" s="8">
        <v>0</v>
      </c>
      <c r="F167" s="7">
        <v>0</v>
      </c>
      <c r="G167" s="8">
        <v>7808</v>
      </c>
      <c r="H167" s="8">
        <v>6420</v>
      </c>
      <c r="I167" s="8">
        <v>0</v>
      </c>
      <c r="J167" s="2">
        <v>39.650001525878913</v>
      </c>
      <c r="K167" s="23">
        <f t="shared" si="30"/>
        <v>110157.2</v>
      </c>
      <c r="L167" s="23">
        <f t="shared" si="29"/>
        <v>14.108247950819672</v>
      </c>
      <c r="M167" s="13" t="s">
        <v>9</v>
      </c>
      <c r="N167" s="7">
        <v>189123.91027882695</v>
      </c>
      <c r="O167" s="7">
        <v>71780</v>
      </c>
      <c r="P167" s="7">
        <f t="shared" si="25"/>
        <v>81568.181818181823</v>
      </c>
      <c r="Q167" s="7">
        <v>33420</v>
      </c>
      <c r="R167" s="7">
        <v>0</v>
      </c>
      <c r="S167" s="7">
        <f t="shared" si="26"/>
        <v>0</v>
      </c>
      <c r="T167" s="7">
        <v>7690</v>
      </c>
      <c r="U167" s="7">
        <f t="shared" si="31"/>
        <v>668457.42338062765</v>
      </c>
      <c r="V167" s="7">
        <f t="shared" si="27"/>
        <v>86.925542702292276</v>
      </c>
      <c r="W167" s="14" t="s">
        <v>10</v>
      </c>
      <c r="X167" s="8">
        <v>160400</v>
      </c>
      <c r="Y167" s="8">
        <v>983363.63636363635</v>
      </c>
      <c r="Z167" s="8">
        <v>1171363.6363636362</v>
      </c>
      <c r="AA167" s="8">
        <v>8021</v>
      </c>
      <c r="AB167" s="8">
        <v>3237</v>
      </c>
      <c r="AC167" s="8">
        <v>0</v>
      </c>
      <c r="AD167" s="8">
        <v>1189271.1600000001</v>
      </c>
      <c r="AE167" s="8">
        <v>137500</v>
      </c>
      <c r="AF167" s="8">
        <v>11410.009611816406</v>
      </c>
      <c r="AG167" s="7">
        <f t="shared" si="32"/>
        <v>218004.0674</v>
      </c>
      <c r="AH167" s="1">
        <f t="shared" si="28"/>
        <v>19.106387708405713</v>
      </c>
    </row>
    <row r="168" spans="1:34" x14ac:dyDescent="0.25">
      <c r="A168" s="13" t="s">
        <v>0</v>
      </c>
      <c r="B168" s="19">
        <v>45824</v>
      </c>
      <c r="C168" s="7">
        <v>10164</v>
      </c>
      <c r="D168" s="7">
        <v>39310</v>
      </c>
      <c r="E168" s="7">
        <v>5000</v>
      </c>
      <c r="F168" s="7">
        <v>0</v>
      </c>
      <c r="G168" s="7">
        <v>10474</v>
      </c>
      <c r="H168" s="7">
        <v>6085</v>
      </c>
      <c r="I168" s="7">
        <v>20000</v>
      </c>
      <c r="J168" s="2">
        <v>38.099998474121087</v>
      </c>
      <c r="K168" s="23">
        <f t="shared" si="30"/>
        <v>141924.29999999999</v>
      </c>
      <c r="L168" s="23">
        <f t="shared" si="29"/>
        <v>13.550152759213288</v>
      </c>
      <c r="M168" s="13" t="s">
        <v>9</v>
      </c>
      <c r="N168" s="7">
        <v>172189</v>
      </c>
      <c r="O168" s="7">
        <v>74772</v>
      </c>
      <c r="P168" s="7">
        <f t="shared" si="25"/>
        <v>84968.181818181823</v>
      </c>
      <c r="Q168" s="7">
        <v>0</v>
      </c>
      <c r="R168" s="7">
        <v>0</v>
      </c>
      <c r="S168" s="7">
        <f t="shared" si="26"/>
        <v>0</v>
      </c>
      <c r="T168" s="7">
        <v>6735</v>
      </c>
      <c r="U168" s="7">
        <f t="shared" si="31"/>
        <v>539937.22272727278</v>
      </c>
      <c r="V168" s="7">
        <f t="shared" si="27"/>
        <v>80.168852669231299</v>
      </c>
      <c r="W168" s="14" t="s">
        <v>10</v>
      </c>
      <c r="X168" s="7">
        <v>161840</v>
      </c>
      <c r="Y168" s="7">
        <v>1005000</v>
      </c>
      <c r="Z168" s="7">
        <v>1198909.0909090908</v>
      </c>
      <c r="AA168" s="7">
        <v>6895</v>
      </c>
      <c r="AB168" s="7">
        <v>3358</v>
      </c>
      <c r="AC168" s="7">
        <v>0</v>
      </c>
      <c r="AD168" s="7">
        <v>1190340.3600000001</v>
      </c>
      <c r="AE168" s="7">
        <v>125000</v>
      </c>
      <c r="AF168" s="7">
        <v>11570.755995941163</v>
      </c>
      <c r="AG168" s="7">
        <f t="shared" si="32"/>
        <v>216974.69630909091</v>
      </c>
      <c r="AH168" s="1">
        <f t="shared" si="28"/>
        <v>18.751989618068361</v>
      </c>
    </row>
    <row r="169" spans="1:34" x14ac:dyDescent="0.25">
      <c r="A169" s="13" t="s">
        <v>0</v>
      </c>
      <c r="B169" s="19">
        <v>45825</v>
      </c>
      <c r="C169" s="7">
        <v>9883</v>
      </c>
      <c r="D169" s="7">
        <v>34696</v>
      </c>
      <c r="E169" s="7">
        <v>40725</v>
      </c>
      <c r="F169" s="7">
        <v>0</v>
      </c>
      <c r="G169" s="7">
        <v>13872</v>
      </c>
      <c r="H169" s="7">
        <v>6114</v>
      </c>
      <c r="I169" s="7">
        <v>162900</v>
      </c>
      <c r="J169" s="2">
        <v>40.049999237060547</v>
      </c>
      <c r="K169" s="23">
        <f t="shared" si="30"/>
        <v>419380.15</v>
      </c>
      <c r="L169" s="23">
        <f t="shared" si="29"/>
        <v>30.232133073817764</v>
      </c>
      <c r="M169" s="13" t="s">
        <v>9</v>
      </c>
      <c r="N169" s="7">
        <v>119581.27623800188</v>
      </c>
      <c r="O169" s="7">
        <v>68040</v>
      </c>
      <c r="P169" s="7">
        <f t="shared" si="25"/>
        <v>77318.181818181823</v>
      </c>
      <c r="Q169" s="7">
        <v>0</v>
      </c>
      <c r="R169" s="7">
        <v>0</v>
      </c>
      <c r="S169" s="7">
        <f t="shared" si="26"/>
        <v>0</v>
      </c>
      <c r="T169" s="7">
        <v>6012</v>
      </c>
      <c r="U169" s="7">
        <f t="shared" si="31"/>
        <v>470916.9746581738</v>
      </c>
      <c r="V169" s="7">
        <f t="shared" si="27"/>
        <v>78.329503436156656</v>
      </c>
      <c r="W169" s="14" t="s">
        <v>10</v>
      </c>
      <c r="X169" s="7">
        <v>134510</v>
      </c>
      <c r="Y169" s="7">
        <v>1277363.6363636362</v>
      </c>
      <c r="Z169" s="7">
        <v>1396909.0909090908</v>
      </c>
      <c r="AA169" s="7">
        <v>4894</v>
      </c>
      <c r="AB169" s="7">
        <v>3580</v>
      </c>
      <c r="AC169" s="7">
        <v>0</v>
      </c>
      <c r="AD169" s="7">
        <v>1236636.72</v>
      </c>
      <c r="AE169" s="7">
        <v>75000</v>
      </c>
      <c r="AF169" s="7">
        <v>12209.947162857055</v>
      </c>
      <c r="AG169" s="7">
        <f t="shared" si="32"/>
        <v>209593.00534545453</v>
      </c>
      <c r="AH169" s="1">
        <f t="shared" si="28"/>
        <v>17.165758586002841</v>
      </c>
    </row>
    <row r="170" spans="1:34" x14ac:dyDescent="0.25">
      <c r="A170" s="13" t="s">
        <v>0</v>
      </c>
      <c r="B170" s="19">
        <v>45826</v>
      </c>
      <c r="C170" s="7">
        <v>9002</v>
      </c>
      <c r="D170" s="7">
        <v>34542</v>
      </c>
      <c r="E170" s="7">
        <v>45900</v>
      </c>
      <c r="F170" s="7">
        <v>0</v>
      </c>
      <c r="G170" s="7">
        <v>13375</v>
      </c>
      <c r="H170" s="7">
        <v>3891</v>
      </c>
      <c r="I170" s="7">
        <v>183600</v>
      </c>
      <c r="J170" s="2">
        <v>42.599998474121087</v>
      </c>
      <c r="K170" s="23">
        <f t="shared" si="30"/>
        <v>453174</v>
      </c>
      <c r="L170" s="23">
        <f t="shared" si="29"/>
        <v>33.882168224299065</v>
      </c>
      <c r="M170" s="13" t="s">
        <v>9</v>
      </c>
      <c r="N170" s="7">
        <v>115706.30299431831</v>
      </c>
      <c r="O170" s="7">
        <v>69634</v>
      </c>
      <c r="P170" s="7">
        <f t="shared" si="25"/>
        <v>79129.545454545456</v>
      </c>
      <c r="Q170" s="7">
        <v>0</v>
      </c>
      <c r="R170" s="7">
        <v>0</v>
      </c>
      <c r="S170" s="7">
        <f t="shared" si="26"/>
        <v>0</v>
      </c>
      <c r="T170" s="7">
        <v>5910</v>
      </c>
      <c r="U170" s="7">
        <f t="shared" si="31"/>
        <v>478277.28482869331</v>
      </c>
      <c r="V170" s="7">
        <f t="shared" si="27"/>
        <v>80.926782542926105</v>
      </c>
      <c r="W170" s="14" t="s">
        <v>10</v>
      </c>
      <c r="X170" s="7">
        <v>108870</v>
      </c>
      <c r="Y170" s="7">
        <v>922363.63636363635</v>
      </c>
      <c r="Z170" s="7">
        <v>1017000</v>
      </c>
      <c r="AA170" s="7">
        <v>5212</v>
      </c>
      <c r="AB170" s="7">
        <v>3622</v>
      </c>
      <c r="AC170" s="7">
        <v>0</v>
      </c>
      <c r="AD170" s="7">
        <v>937581.48</v>
      </c>
      <c r="AE170" s="7">
        <v>62500</v>
      </c>
      <c r="AF170" s="7">
        <v>9155.7791152954105</v>
      </c>
      <c r="AG170" s="7">
        <f t="shared" si="32"/>
        <v>169332.08583636364</v>
      </c>
      <c r="AH170" s="1">
        <f t="shared" si="28"/>
        <v>18.494557776462933</v>
      </c>
    </row>
    <row r="171" spans="1:34" x14ac:dyDescent="0.25">
      <c r="A171" s="13" t="s">
        <v>0</v>
      </c>
      <c r="B171" s="19">
        <v>45827</v>
      </c>
      <c r="C171" s="7">
        <v>10174</v>
      </c>
      <c r="D171" s="7">
        <v>36430</v>
      </c>
      <c r="E171" s="7">
        <v>12000</v>
      </c>
      <c r="F171" s="7">
        <v>0</v>
      </c>
      <c r="G171" s="7">
        <v>12564</v>
      </c>
      <c r="H171" s="7">
        <v>4865</v>
      </c>
      <c r="I171" s="7">
        <v>48000</v>
      </c>
      <c r="J171" s="2">
        <v>39.5</v>
      </c>
      <c r="K171" s="23">
        <f t="shared" si="30"/>
        <v>195719.8</v>
      </c>
      <c r="L171" s="23">
        <f t="shared" si="29"/>
        <v>15.577825533269658</v>
      </c>
      <c r="M171" s="13" t="s">
        <v>9</v>
      </c>
      <c r="N171" s="7">
        <v>116003.61082421988</v>
      </c>
      <c r="O171" s="7">
        <v>70707</v>
      </c>
      <c r="P171" s="7">
        <f t="shared" si="25"/>
        <v>80348.863636363632</v>
      </c>
      <c r="Q171" s="7">
        <v>0</v>
      </c>
      <c r="R171" s="7">
        <v>0</v>
      </c>
      <c r="S171" s="7">
        <f t="shared" si="26"/>
        <v>0</v>
      </c>
      <c r="T171" s="7">
        <v>6539</v>
      </c>
      <c r="U171" s="7">
        <f t="shared" si="31"/>
        <v>484830.03140786639</v>
      </c>
      <c r="V171" s="7">
        <f t="shared" si="27"/>
        <v>74.144369384900813</v>
      </c>
      <c r="W171" s="14" t="s">
        <v>10</v>
      </c>
      <c r="X171" s="7">
        <v>159760</v>
      </c>
      <c r="Y171" s="7">
        <v>981727.27272727271</v>
      </c>
      <c r="Z171" s="7">
        <v>1175818.1818181816</v>
      </c>
      <c r="AA171" s="7">
        <v>5345</v>
      </c>
      <c r="AB171" s="7">
        <v>3760</v>
      </c>
      <c r="AC171" s="7">
        <v>0</v>
      </c>
      <c r="AD171" s="7">
        <v>1189591.92</v>
      </c>
      <c r="AE171" s="7">
        <v>100000</v>
      </c>
      <c r="AF171" s="7">
        <v>11315.961461791992</v>
      </c>
      <c r="AG171" s="7">
        <f t="shared" si="32"/>
        <v>210652.28789090909</v>
      </c>
      <c r="AH171" s="1">
        <f t="shared" si="28"/>
        <v>18.615500645011057</v>
      </c>
    </row>
    <row r="172" spans="1:34" x14ac:dyDescent="0.25">
      <c r="A172" s="13" t="s">
        <v>0</v>
      </c>
      <c r="B172" s="19">
        <v>45828</v>
      </c>
      <c r="C172" s="8">
        <v>11575</v>
      </c>
      <c r="D172" s="8">
        <v>42328</v>
      </c>
      <c r="E172" s="8">
        <v>14000</v>
      </c>
      <c r="F172" s="7">
        <v>0</v>
      </c>
      <c r="G172" s="8">
        <v>19800</v>
      </c>
      <c r="H172" s="8">
        <v>9451</v>
      </c>
      <c r="I172" s="8">
        <v>58333</v>
      </c>
      <c r="J172" s="2">
        <v>33.599998474121087</v>
      </c>
      <c r="K172" s="23">
        <f t="shared" si="30"/>
        <v>225901.65</v>
      </c>
      <c r="L172" s="23">
        <f t="shared" si="29"/>
        <v>11.409174242424243</v>
      </c>
      <c r="M172" s="13" t="s">
        <v>9</v>
      </c>
      <c r="N172" s="7">
        <v>132794</v>
      </c>
      <c r="O172" s="7">
        <v>68690</v>
      </c>
      <c r="P172" s="7">
        <f t="shared" si="25"/>
        <v>78056.818181818177</v>
      </c>
      <c r="Q172" s="7">
        <v>0</v>
      </c>
      <c r="R172" s="7">
        <v>0</v>
      </c>
      <c r="S172" s="7">
        <f t="shared" si="26"/>
        <v>0</v>
      </c>
      <c r="T172" s="7">
        <v>6897</v>
      </c>
      <c r="U172" s="7">
        <f t="shared" si="31"/>
        <v>482054.42727272725</v>
      </c>
      <c r="V172" s="7">
        <f t="shared" si="27"/>
        <v>69.893348886867798</v>
      </c>
      <c r="W172" s="14" t="s">
        <v>10</v>
      </c>
      <c r="X172" s="8">
        <v>147340</v>
      </c>
      <c r="Y172" s="8">
        <v>938363.63636363647</v>
      </c>
      <c r="Z172" s="8">
        <v>1121272.7272727273</v>
      </c>
      <c r="AA172" s="8">
        <v>5392</v>
      </c>
      <c r="AB172" s="8">
        <v>3330</v>
      </c>
      <c r="AC172" s="8">
        <v>0</v>
      </c>
      <c r="AD172" s="8">
        <v>1130679</v>
      </c>
      <c r="AE172" s="8">
        <v>100000</v>
      </c>
      <c r="AF172" s="8">
        <v>10702.020044326782</v>
      </c>
      <c r="AG172" s="7">
        <f t="shared" si="32"/>
        <v>197947.27590909091</v>
      </c>
      <c r="AH172" s="1">
        <f t="shared" si="28"/>
        <v>18.496253519355367</v>
      </c>
    </row>
    <row r="173" spans="1:34" x14ac:dyDescent="0.25">
      <c r="A173" s="13" t="s">
        <v>0</v>
      </c>
      <c r="B173" s="19">
        <v>45829</v>
      </c>
      <c r="C173" s="7">
        <v>11437</v>
      </c>
      <c r="D173" s="7">
        <v>45297</v>
      </c>
      <c r="E173" s="7">
        <v>0</v>
      </c>
      <c r="F173" s="7">
        <v>0</v>
      </c>
      <c r="G173" s="7">
        <v>13880</v>
      </c>
      <c r="H173" s="7">
        <v>7994</v>
      </c>
      <c r="I173" s="7">
        <v>0</v>
      </c>
      <c r="J173" s="2">
        <v>33.299999237060547</v>
      </c>
      <c r="K173" s="23">
        <f t="shared" si="30"/>
        <v>115837.50000000001</v>
      </c>
      <c r="L173" s="23">
        <f t="shared" si="29"/>
        <v>8.3456412103746409</v>
      </c>
      <c r="M173" s="13" t="s">
        <v>9</v>
      </c>
      <c r="N173" s="7">
        <v>133072</v>
      </c>
      <c r="O173" s="7">
        <v>70507</v>
      </c>
      <c r="P173" s="7">
        <f t="shared" si="25"/>
        <v>80121.590909090912</v>
      </c>
      <c r="Q173" s="7">
        <v>0</v>
      </c>
      <c r="R173" s="7">
        <v>0</v>
      </c>
      <c r="S173" s="7">
        <f t="shared" si="26"/>
        <v>0</v>
      </c>
      <c r="T173" s="7">
        <v>5942</v>
      </c>
      <c r="U173" s="7">
        <f t="shared" si="31"/>
        <v>493026.73636363645</v>
      </c>
      <c r="V173" s="7">
        <f t="shared" si="27"/>
        <v>82.973196964597179</v>
      </c>
      <c r="W173" s="14" t="s">
        <v>10</v>
      </c>
      <c r="X173" s="7">
        <v>147590</v>
      </c>
      <c r="Y173" s="7">
        <v>915636.36363636365</v>
      </c>
      <c r="Z173" s="7">
        <v>1045454.5454545454</v>
      </c>
      <c r="AA173" s="7">
        <v>5294</v>
      </c>
      <c r="AB173" s="7">
        <v>3990</v>
      </c>
      <c r="AC173" s="7">
        <v>0</v>
      </c>
      <c r="AD173" s="7">
        <v>1033274.8799999999</v>
      </c>
      <c r="AE173" s="7">
        <v>87500</v>
      </c>
      <c r="AF173" s="7">
        <v>10021.82</v>
      </c>
      <c r="AG173" s="7">
        <f t="shared" si="32"/>
        <v>195993.30501818183</v>
      </c>
      <c r="AH173" s="1">
        <f t="shared" si="28"/>
        <v>19.556657874336381</v>
      </c>
    </row>
    <row r="174" spans="1:34" x14ac:dyDescent="0.25">
      <c r="A174" s="13" t="s">
        <v>0</v>
      </c>
      <c r="B174" s="19">
        <v>45830</v>
      </c>
      <c r="C174" s="7">
        <v>11999</v>
      </c>
      <c r="D174" s="7">
        <v>45276</v>
      </c>
      <c r="E174" s="7">
        <v>0</v>
      </c>
      <c r="F174" s="7">
        <v>0</v>
      </c>
      <c r="G174" s="7">
        <v>8769</v>
      </c>
      <c r="H174" s="7">
        <v>7787</v>
      </c>
      <c r="I174" s="7">
        <v>0</v>
      </c>
      <c r="J174" s="2">
        <v>31.35000038146973</v>
      </c>
      <c r="K174" s="23">
        <f t="shared" si="30"/>
        <v>120293.85</v>
      </c>
      <c r="L174" s="23">
        <f t="shared" si="29"/>
        <v>13.718080738966815</v>
      </c>
      <c r="M174" s="13" t="s">
        <v>9</v>
      </c>
      <c r="N174" s="7">
        <v>73421</v>
      </c>
      <c r="O174" s="7">
        <v>35046</v>
      </c>
      <c r="P174" s="7">
        <f t="shared" si="25"/>
        <v>39825</v>
      </c>
      <c r="Q174" s="7">
        <v>0</v>
      </c>
      <c r="R174" s="7">
        <v>0</v>
      </c>
      <c r="S174" s="7">
        <f t="shared" si="26"/>
        <v>0</v>
      </c>
      <c r="T174" s="7">
        <v>3831</v>
      </c>
      <c r="U174" s="7">
        <f t="shared" si="31"/>
        <v>249064.55</v>
      </c>
      <c r="V174" s="7">
        <f t="shared" si="27"/>
        <v>65.012933959801614</v>
      </c>
      <c r="W174" s="14" t="s">
        <v>10</v>
      </c>
      <c r="X174" s="7">
        <v>89760</v>
      </c>
      <c r="Y174" s="7">
        <v>523181.81818181818</v>
      </c>
      <c r="Z174" s="7">
        <v>588090.90909090906</v>
      </c>
      <c r="AA174" s="7">
        <v>5988</v>
      </c>
      <c r="AB174" s="7">
        <v>3948</v>
      </c>
      <c r="AC174" s="7">
        <v>0</v>
      </c>
      <c r="AD174" s="7">
        <v>595865.15999999992</v>
      </c>
      <c r="AE174" s="7">
        <v>62500</v>
      </c>
      <c r="AF174" s="7">
        <v>5673.1866468811031</v>
      </c>
      <c r="AG174" s="7">
        <f t="shared" si="32"/>
        <v>132552.06830909092</v>
      </c>
      <c r="AH174" s="1">
        <f t="shared" si="28"/>
        <v>23.364658446758998</v>
      </c>
    </row>
    <row r="175" spans="1:34" x14ac:dyDescent="0.25">
      <c r="A175" s="13" t="s">
        <v>0</v>
      </c>
      <c r="B175" s="19">
        <v>45831</v>
      </c>
      <c r="C175" s="7">
        <v>10703</v>
      </c>
      <c r="D175" s="7">
        <v>38604</v>
      </c>
      <c r="E175" s="7">
        <v>200</v>
      </c>
      <c r="F175" s="7">
        <v>0</v>
      </c>
      <c r="G175" s="7">
        <v>12815</v>
      </c>
      <c r="H175" s="7">
        <v>5639</v>
      </c>
      <c r="I175" s="7">
        <v>40816</v>
      </c>
      <c r="J175" s="2">
        <v>30.89999961853027</v>
      </c>
      <c r="K175" s="23">
        <f t="shared" si="30"/>
        <v>107901.05</v>
      </c>
      <c r="L175" s="23">
        <f t="shared" si="29"/>
        <v>8.4199024580569652</v>
      </c>
      <c r="M175" s="13" t="s">
        <v>9</v>
      </c>
      <c r="N175" s="7">
        <v>117817.68549536169</v>
      </c>
      <c r="O175" s="7">
        <v>72489.064040183963</v>
      </c>
      <c r="P175" s="7">
        <f t="shared" si="25"/>
        <v>82373.93640929996</v>
      </c>
      <c r="Q175" s="7">
        <v>0</v>
      </c>
      <c r="R175" s="7">
        <v>0</v>
      </c>
      <c r="S175" s="7">
        <f t="shared" si="26"/>
        <v>0</v>
      </c>
      <c r="T175" s="7">
        <v>6540</v>
      </c>
      <c r="U175" s="7">
        <f t="shared" si="31"/>
        <v>496439.1538071807</v>
      </c>
      <c r="V175" s="7">
        <f t="shared" si="27"/>
        <v>75.90812749345271</v>
      </c>
      <c r="W175" s="14" t="s">
        <v>10</v>
      </c>
      <c r="X175" s="7">
        <v>163200</v>
      </c>
      <c r="Y175" s="7">
        <v>1167272.7272727273</v>
      </c>
      <c r="Z175" s="7">
        <v>1296363.6363636362</v>
      </c>
      <c r="AA175" s="7">
        <v>5162</v>
      </c>
      <c r="AB175" s="7">
        <v>3216</v>
      </c>
      <c r="AC175" s="7">
        <v>0</v>
      </c>
      <c r="AD175" s="7">
        <v>1323669.6000000001</v>
      </c>
      <c r="AE175" s="7">
        <v>75000</v>
      </c>
      <c r="AF175" s="7">
        <v>12455.905974197387</v>
      </c>
      <c r="AG175" s="7">
        <f t="shared" si="32"/>
        <v>219306.95309090908</v>
      </c>
      <c r="AH175" s="1">
        <f t="shared" si="28"/>
        <v>17.606664143516099</v>
      </c>
    </row>
    <row r="176" spans="1:34" x14ac:dyDescent="0.25">
      <c r="A176" s="13" t="s">
        <v>0</v>
      </c>
      <c r="B176" s="19">
        <v>45832</v>
      </c>
      <c r="C176" s="7">
        <v>7781</v>
      </c>
      <c r="D176" s="7">
        <v>31736</v>
      </c>
      <c r="E176" s="7">
        <v>575</v>
      </c>
      <c r="F176" s="7">
        <v>0</v>
      </c>
      <c r="G176" s="7">
        <v>12741</v>
      </c>
      <c r="H176" s="7">
        <v>5063</v>
      </c>
      <c r="I176" s="7">
        <v>42379</v>
      </c>
      <c r="J176" s="2">
        <v>33.049999237060547</v>
      </c>
      <c r="K176" s="23">
        <f t="shared" si="30"/>
        <v>83856.25</v>
      </c>
      <c r="L176" s="23">
        <f t="shared" si="29"/>
        <v>6.5816066242838085</v>
      </c>
      <c r="M176" s="13" t="s">
        <v>9</v>
      </c>
      <c r="N176" s="7">
        <v>117190</v>
      </c>
      <c r="O176" s="7">
        <v>69600</v>
      </c>
      <c r="P176" s="7">
        <f t="shared" si="25"/>
        <v>79090.909090909088</v>
      </c>
      <c r="Q176" s="7">
        <v>0</v>
      </c>
      <c r="R176" s="7">
        <v>0</v>
      </c>
      <c r="S176" s="7">
        <f t="shared" si="26"/>
        <v>0</v>
      </c>
      <c r="T176" s="7">
        <v>6265</v>
      </c>
      <c r="U176" s="7">
        <f t="shared" si="31"/>
        <v>478890.86363636365</v>
      </c>
      <c r="V176" s="7">
        <f t="shared" si="27"/>
        <v>76.439084379307843</v>
      </c>
      <c r="W176" s="14" t="s">
        <v>10</v>
      </c>
      <c r="X176" s="7">
        <v>155620</v>
      </c>
      <c r="Y176" s="7">
        <v>1129545.4545454546</v>
      </c>
      <c r="Z176" s="7">
        <v>1262818.1818181816</v>
      </c>
      <c r="AA176" s="7">
        <v>6158</v>
      </c>
      <c r="AB176" s="7">
        <v>3071</v>
      </c>
      <c r="AC176" s="7">
        <v>0</v>
      </c>
      <c r="AD176" s="7">
        <v>1293197.3999999999</v>
      </c>
      <c r="AE176" s="7">
        <v>112500.00000000001</v>
      </c>
      <c r="AF176" s="7">
        <v>12464.047851104737</v>
      </c>
      <c r="AG176" s="7">
        <f t="shared" si="32"/>
        <v>216482.68827272728</v>
      </c>
      <c r="AH176" s="1">
        <f t="shared" si="28"/>
        <v>17.368570055155843</v>
      </c>
    </row>
    <row r="177" spans="1:34" x14ac:dyDescent="0.25">
      <c r="A177" s="13" t="s">
        <v>0</v>
      </c>
      <c r="B177" s="19">
        <v>45833</v>
      </c>
      <c r="C177" s="8">
        <v>8791</v>
      </c>
      <c r="D177" s="8">
        <v>36473</v>
      </c>
      <c r="E177" s="8">
        <v>7500</v>
      </c>
      <c r="F177" s="7">
        <v>0</v>
      </c>
      <c r="G177" s="8">
        <v>21373</v>
      </c>
      <c r="H177" s="8">
        <v>4092</v>
      </c>
      <c r="I177" s="8">
        <v>30612</v>
      </c>
      <c r="J177" s="2">
        <v>39.450000762939453</v>
      </c>
      <c r="K177" s="23">
        <f t="shared" si="30"/>
        <v>149198.6</v>
      </c>
      <c r="L177" s="23">
        <f t="shared" si="29"/>
        <v>6.9807046273335516</v>
      </c>
      <c r="M177" s="13" t="s">
        <v>9</v>
      </c>
      <c r="N177" s="7">
        <v>116900</v>
      </c>
      <c r="O177" s="7">
        <v>72100</v>
      </c>
      <c r="P177" s="7">
        <f t="shared" si="25"/>
        <v>81931.818181818177</v>
      </c>
      <c r="Q177" s="7">
        <v>0</v>
      </c>
      <c r="R177" s="7">
        <v>0</v>
      </c>
      <c r="S177" s="7">
        <f t="shared" si="26"/>
        <v>0</v>
      </c>
      <c r="T177" s="7">
        <v>6630</v>
      </c>
      <c r="U177" s="7">
        <f t="shared" si="31"/>
        <v>493617.72727272724</v>
      </c>
      <c r="V177" s="7">
        <f t="shared" si="27"/>
        <v>74.452145893322353</v>
      </c>
      <c r="W177" s="14" t="s">
        <v>10</v>
      </c>
      <c r="X177" s="8">
        <v>134900</v>
      </c>
      <c r="Y177" s="8">
        <v>1344636.3636363638</v>
      </c>
      <c r="Z177" s="8">
        <v>1392545.4545454546</v>
      </c>
      <c r="AA177" s="8">
        <v>6356</v>
      </c>
      <c r="AB177" s="8">
        <v>2643</v>
      </c>
      <c r="AC177" s="8">
        <v>0</v>
      </c>
      <c r="AD177" s="8">
        <v>1310197.6800000002</v>
      </c>
      <c r="AE177" s="8">
        <v>75000</v>
      </c>
      <c r="AF177" s="8">
        <v>12873.058158111573</v>
      </c>
      <c r="AG177" s="7">
        <f t="shared" si="32"/>
        <v>212389.55610909092</v>
      </c>
      <c r="AH177" s="1">
        <f t="shared" si="28"/>
        <v>16.498764590390667</v>
      </c>
    </row>
    <row r="178" spans="1:34" x14ac:dyDescent="0.25">
      <c r="A178" s="13" t="s">
        <v>0</v>
      </c>
      <c r="B178" s="19">
        <v>45834</v>
      </c>
      <c r="C178" s="7">
        <v>8286</v>
      </c>
      <c r="D178" s="7">
        <v>37709</v>
      </c>
      <c r="E178" s="7">
        <v>7000</v>
      </c>
      <c r="F178" s="7">
        <v>0</v>
      </c>
      <c r="G178" s="7">
        <v>18271</v>
      </c>
      <c r="H178" s="7">
        <v>5402</v>
      </c>
      <c r="I178" s="7">
        <v>29166</v>
      </c>
      <c r="J178" s="2">
        <v>42.299999237060547</v>
      </c>
      <c r="K178" s="23">
        <f t="shared" si="30"/>
        <v>141913.65</v>
      </c>
      <c r="L178" s="23">
        <f t="shared" si="29"/>
        <v>7.7671528651962118</v>
      </c>
      <c r="M178" s="13" t="s">
        <v>9</v>
      </c>
      <c r="N178" s="7">
        <v>116040</v>
      </c>
      <c r="O178" s="7">
        <v>71400</v>
      </c>
      <c r="P178" s="7">
        <f t="shared" si="25"/>
        <v>81136.363636363632</v>
      </c>
      <c r="Q178" s="7">
        <v>0</v>
      </c>
      <c r="R178" s="7">
        <v>0</v>
      </c>
      <c r="S178" s="7">
        <f t="shared" si="26"/>
        <v>0</v>
      </c>
      <c r="T178" s="7">
        <v>6890</v>
      </c>
      <c r="U178" s="7">
        <f t="shared" si="31"/>
        <v>488976.54545454547</v>
      </c>
      <c r="V178" s="7">
        <f t="shared" si="27"/>
        <v>70.969019659585697</v>
      </c>
      <c r="W178" s="14" t="s">
        <v>10</v>
      </c>
      <c r="X178" s="7">
        <v>115920</v>
      </c>
      <c r="Y178" s="7">
        <v>1057727.2727272727</v>
      </c>
      <c r="Z178" s="7">
        <v>1072090.9090909092</v>
      </c>
      <c r="AA178" s="7">
        <v>8082</v>
      </c>
      <c r="AB178" s="7">
        <v>2643</v>
      </c>
      <c r="AC178" s="7">
        <v>0</v>
      </c>
      <c r="AD178" s="7">
        <v>1030601.8799999999</v>
      </c>
      <c r="AE178" s="7">
        <v>87500.000000000015</v>
      </c>
      <c r="AF178" s="7">
        <v>10020.368471889497</v>
      </c>
      <c r="AG178" s="7">
        <f t="shared" si="32"/>
        <v>185065.66456363638</v>
      </c>
      <c r="AH178" s="1">
        <f t="shared" si="28"/>
        <v>18.468948031482856</v>
      </c>
    </row>
    <row r="179" spans="1:34" x14ac:dyDescent="0.25">
      <c r="A179" s="13" t="s">
        <v>0</v>
      </c>
      <c r="B179" s="19">
        <v>45835</v>
      </c>
      <c r="C179" s="7">
        <v>7796</v>
      </c>
      <c r="D179" s="7">
        <v>33878</v>
      </c>
      <c r="E179" s="7">
        <v>0</v>
      </c>
      <c r="F179" s="7">
        <v>0</v>
      </c>
      <c r="G179" s="7">
        <v>7762</v>
      </c>
      <c r="H179" s="7">
        <v>4956</v>
      </c>
      <c r="I179" s="7">
        <v>0</v>
      </c>
      <c r="J179" s="2">
        <v>44.200000762939453</v>
      </c>
      <c r="K179" s="23">
        <f t="shared" si="30"/>
        <v>80611.100000000006</v>
      </c>
      <c r="L179" s="23">
        <f t="shared" si="29"/>
        <v>10.385351713475909</v>
      </c>
      <c r="M179" s="13" t="s">
        <v>9</v>
      </c>
      <c r="N179" s="7">
        <v>115280.24743619561</v>
      </c>
      <c r="O179" s="7">
        <v>68375.467240546306</v>
      </c>
      <c r="P179" s="7">
        <f t="shared" si="25"/>
        <v>77699.394591529897</v>
      </c>
      <c r="Q179" s="7">
        <v>0</v>
      </c>
      <c r="R179" s="7">
        <v>68375.467240546306</v>
      </c>
      <c r="S179" s="7">
        <f t="shared" si="26"/>
        <v>91167.289654061737</v>
      </c>
      <c r="T179" s="7">
        <v>5702.9169342092137</v>
      </c>
      <c r="U179" s="7">
        <f t="shared" si="31"/>
        <v>1281937.8416706738</v>
      </c>
      <c r="V179" s="7">
        <f t="shared" si="27"/>
        <v>224.78634292933671</v>
      </c>
      <c r="W179" s="14" t="s">
        <v>10</v>
      </c>
      <c r="X179" s="7">
        <v>153930</v>
      </c>
      <c r="Y179" s="7">
        <v>1193818.1818181816</v>
      </c>
      <c r="Z179" s="7">
        <v>1205090.9090909092</v>
      </c>
      <c r="AA179" s="7">
        <v>7493</v>
      </c>
      <c r="AB179" s="7">
        <v>2149</v>
      </c>
      <c r="AC179" s="7">
        <v>0</v>
      </c>
      <c r="AD179" s="7">
        <v>1204881.48</v>
      </c>
      <c r="AE179" s="7">
        <v>100000</v>
      </c>
      <c r="AF179" s="7">
        <v>11553.134143829346</v>
      </c>
      <c r="AG179" s="7">
        <f t="shared" si="32"/>
        <v>213045.44947272725</v>
      </c>
      <c r="AH179" s="1">
        <f t="shared" si="28"/>
        <v>18.440489552050874</v>
      </c>
    </row>
    <row r="180" spans="1:34" x14ac:dyDescent="0.25">
      <c r="A180" s="13" t="s">
        <v>0</v>
      </c>
      <c r="B180" s="19">
        <v>45836</v>
      </c>
      <c r="C180" s="7">
        <v>8446</v>
      </c>
      <c r="D180" s="7">
        <v>42792</v>
      </c>
      <c r="E180" s="7">
        <v>0</v>
      </c>
      <c r="F180" s="7">
        <v>0</v>
      </c>
      <c r="G180" s="7">
        <v>8933</v>
      </c>
      <c r="H180" s="7">
        <v>8298</v>
      </c>
      <c r="I180" s="7">
        <v>0</v>
      </c>
      <c r="J180" s="2">
        <v>44.650001525878913</v>
      </c>
      <c r="K180" s="23">
        <f t="shared" si="30"/>
        <v>90681.3</v>
      </c>
      <c r="L180" s="23">
        <f t="shared" si="29"/>
        <v>10.151270569797381</v>
      </c>
      <c r="M180" s="13" t="s">
        <v>9</v>
      </c>
      <c r="N180" s="7">
        <v>115131.89079068601</v>
      </c>
      <c r="O180" s="7">
        <v>70014.795439155248</v>
      </c>
      <c r="P180" s="7">
        <f t="shared" si="25"/>
        <v>79562.267544494607</v>
      </c>
      <c r="Q180" s="7">
        <v>0</v>
      </c>
      <c r="R180" s="7">
        <v>70014.795439155248</v>
      </c>
      <c r="S180" s="7">
        <f t="shared" si="26"/>
        <v>93353.060585540326</v>
      </c>
      <c r="T180" s="7">
        <v>6811.5735245602664</v>
      </c>
      <c r="U180" s="7">
        <f t="shared" si="31"/>
        <v>1311071.061079338</v>
      </c>
      <c r="V180" s="7">
        <f t="shared" si="27"/>
        <v>192.47697413116839</v>
      </c>
      <c r="W180" s="14" t="s">
        <v>10</v>
      </c>
      <c r="X180" s="7">
        <v>121660</v>
      </c>
      <c r="Y180" s="7">
        <v>825727.27272727271</v>
      </c>
      <c r="Z180" s="7">
        <v>837000</v>
      </c>
      <c r="AA180" s="7">
        <v>8110</v>
      </c>
      <c r="AB180" s="7">
        <v>2499</v>
      </c>
      <c r="AC180" s="7">
        <v>1289</v>
      </c>
      <c r="AD180" s="7">
        <v>836221.32000000007</v>
      </c>
      <c r="AE180" s="7">
        <v>75000</v>
      </c>
      <c r="AF180" s="7">
        <v>7946.038791732788</v>
      </c>
      <c r="AG180" s="7">
        <f t="shared" si="32"/>
        <v>169973.54707272726</v>
      </c>
      <c r="AH180" s="1">
        <f t="shared" si="28"/>
        <v>21.390978766624073</v>
      </c>
    </row>
    <row r="181" spans="1:34" x14ac:dyDescent="0.25">
      <c r="A181" s="13" t="s">
        <v>0</v>
      </c>
      <c r="B181" s="19">
        <v>45837</v>
      </c>
      <c r="C181" s="7">
        <v>8740</v>
      </c>
      <c r="D181" s="7">
        <v>34453</v>
      </c>
      <c r="E181" s="7">
        <v>0</v>
      </c>
      <c r="F181" s="7">
        <v>0</v>
      </c>
      <c r="G181" s="7">
        <v>5050</v>
      </c>
      <c r="H181" s="7">
        <v>11160</v>
      </c>
      <c r="I181" s="7">
        <v>0</v>
      </c>
      <c r="J181" s="2">
        <v>43.950000762939453</v>
      </c>
      <c r="K181" s="23">
        <f t="shared" si="30"/>
        <v>88432.15</v>
      </c>
      <c r="L181" s="23">
        <f t="shared" si="29"/>
        <v>17.511316831683168</v>
      </c>
      <c r="M181" s="13" t="s">
        <v>9</v>
      </c>
      <c r="N181" s="7">
        <v>86203.775385171175</v>
      </c>
      <c r="O181" s="7">
        <v>46651.290585575909</v>
      </c>
      <c r="P181" s="7">
        <f t="shared" si="25"/>
        <v>53012.830210881715</v>
      </c>
      <c r="Q181" s="7">
        <v>0</v>
      </c>
      <c r="R181" s="7">
        <v>46651.290585575909</v>
      </c>
      <c r="S181" s="7">
        <f t="shared" si="26"/>
        <v>62201.720780767879</v>
      </c>
      <c r="T181" s="7">
        <v>4860.6549304771288</v>
      </c>
      <c r="U181" s="7">
        <f>N181*0.55+P181*5.24+Q181*4.1+S181*8.9</f>
        <v>878794.62171569839</v>
      </c>
      <c r="V181" s="7">
        <f t="shared" si="27"/>
        <v>180.79757445966951</v>
      </c>
      <c r="W181" s="14" t="s">
        <v>10</v>
      </c>
      <c r="X181" s="7">
        <v>139890</v>
      </c>
      <c r="Y181" s="7">
        <v>907090.90909090906</v>
      </c>
      <c r="Z181" s="7">
        <v>909454.54545454541</v>
      </c>
      <c r="AA181" s="7">
        <v>7842</v>
      </c>
      <c r="AB181" s="7">
        <v>4117</v>
      </c>
      <c r="AC181" s="7">
        <v>3154</v>
      </c>
      <c r="AD181" s="7">
        <v>919405.08</v>
      </c>
      <c r="AE181" s="7">
        <v>87500</v>
      </c>
      <c r="AF181" s="7">
        <v>8827.0381006240841</v>
      </c>
      <c r="AG181" s="7">
        <f t="shared" si="32"/>
        <v>193733.71256363636</v>
      </c>
      <c r="AH181" s="1">
        <f t="shared" si="28"/>
        <v>21.947759866351898</v>
      </c>
    </row>
    <row r="182" spans="1:34" x14ac:dyDescent="0.25">
      <c r="A182" s="13" t="s">
        <v>0</v>
      </c>
      <c r="B182" s="19">
        <v>45838</v>
      </c>
      <c r="C182" s="7">
        <v>6895</v>
      </c>
      <c r="D182" s="7">
        <v>31832</v>
      </c>
      <c r="E182" s="7">
        <v>0</v>
      </c>
      <c r="F182" s="7">
        <v>0</v>
      </c>
      <c r="G182" s="7">
        <v>13389</v>
      </c>
      <c r="H182" s="7">
        <v>11485</v>
      </c>
      <c r="I182" s="7">
        <v>0</v>
      </c>
      <c r="J182" s="2">
        <v>40.299999237060547</v>
      </c>
      <c r="K182" s="23">
        <f t="shared" si="30"/>
        <v>72322.850000000006</v>
      </c>
      <c r="L182" s="23">
        <f t="shared" si="29"/>
        <v>5.4016618119351714</v>
      </c>
      <c r="M182" s="13" t="s">
        <v>9</v>
      </c>
      <c r="N182" s="7">
        <v>80000</v>
      </c>
      <c r="O182" s="7">
        <v>34945</v>
      </c>
      <c r="P182" s="7">
        <f t="shared" si="25"/>
        <v>39710.227272727272</v>
      </c>
      <c r="Q182" s="7">
        <v>0</v>
      </c>
      <c r="R182" s="7">
        <v>0</v>
      </c>
      <c r="S182" s="7">
        <f t="shared" si="26"/>
        <v>0</v>
      </c>
      <c r="T182" s="7">
        <v>3425</v>
      </c>
      <c r="U182" s="7">
        <f t="shared" si="31"/>
        <v>252081.59090909091</v>
      </c>
      <c r="V182" s="7">
        <f t="shared" si="27"/>
        <v>73.600464499004644</v>
      </c>
      <c r="W182" s="14" t="s">
        <v>10</v>
      </c>
      <c r="X182" s="8">
        <v>89040</v>
      </c>
      <c r="Y182" s="8">
        <v>649363.63636363635</v>
      </c>
      <c r="Z182" s="8">
        <v>775727.27272727271</v>
      </c>
      <c r="AA182" s="8">
        <v>7724</v>
      </c>
      <c r="AB182" s="8">
        <v>3590</v>
      </c>
      <c r="AC182" s="8">
        <v>3429</v>
      </c>
      <c r="AD182" s="8">
        <v>777308.4</v>
      </c>
      <c r="AE182" s="8">
        <v>37500</v>
      </c>
      <c r="AF182" s="8">
        <v>7436.6333304977416</v>
      </c>
      <c r="AG182" s="7">
        <f t="shared" si="32"/>
        <v>146771.26236363637</v>
      </c>
      <c r="AH182" s="1">
        <f t="shared" si="28"/>
        <v>19.736251048135625</v>
      </c>
    </row>
    <row r="183" spans="1:34" x14ac:dyDescent="0.25">
      <c r="A183" s="13" t="s">
        <v>0</v>
      </c>
      <c r="B183" s="19">
        <v>45839</v>
      </c>
      <c r="C183" s="7">
        <v>11666</v>
      </c>
      <c r="D183" s="7">
        <v>35564</v>
      </c>
      <c r="E183" s="7">
        <v>5400</v>
      </c>
      <c r="F183" s="7">
        <v>1959</v>
      </c>
      <c r="G183" s="7">
        <v>8681</v>
      </c>
      <c r="H183" s="7">
        <v>3752</v>
      </c>
      <c r="I183" s="7">
        <v>22040</v>
      </c>
      <c r="J183" s="2">
        <v>37.299999237060547</v>
      </c>
      <c r="K183" s="23">
        <f>C183*8.051+D183*0.55+E183*8+F183*5</f>
        <v>166478.166</v>
      </c>
      <c r="L183" s="23">
        <f t="shared" si="29"/>
        <v>19.177302845294321</v>
      </c>
      <c r="M183" s="13" t="s">
        <v>9</v>
      </c>
      <c r="N183" s="7">
        <v>82429.72896130383</v>
      </c>
      <c r="O183" s="7">
        <v>63704</v>
      </c>
      <c r="P183" s="7">
        <f t="shared" si="25"/>
        <v>72390.909090909088</v>
      </c>
      <c r="Q183" s="7">
        <v>0</v>
      </c>
      <c r="R183" s="7">
        <v>0</v>
      </c>
      <c r="S183" s="7">
        <f t="shared" si="26"/>
        <v>0</v>
      </c>
      <c r="T183" s="7">
        <v>6205.0000000000009</v>
      </c>
      <c r="U183" s="7">
        <f>N183*0.55+P183*5.257+Q183*4.05+S183*9.01</f>
        <v>425895.36001962615</v>
      </c>
      <c r="V183" s="7">
        <f t="shared" si="27"/>
        <v>68.637447223146836</v>
      </c>
      <c r="W183" s="14" t="s">
        <v>10</v>
      </c>
      <c r="X183" s="7">
        <v>150540</v>
      </c>
      <c r="Y183" s="7">
        <v>1007090.9090909091</v>
      </c>
      <c r="Z183" s="7">
        <v>1184727.2727272727</v>
      </c>
      <c r="AA183" s="7">
        <v>8324</v>
      </c>
      <c r="AB183" s="7">
        <v>3107</v>
      </c>
      <c r="AC183" s="7">
        <v>1959</v>
      </c>
      <c r="AD183" s="7">
        <v>1197076.32</v>
      </c>
      <c r="AE183" s="7">
        <v>100000</v>
      </c>
      <c r="AF183" s="7">
        <v>11300.859853439331</v>
      </c>
      <c r="AG183" s="7">
        <f t="shared" si="32"/>
        <v>212373.50843636366</v>
      </c>
      <c r="AH183" s="1">
        <f t="shared" si="28"/>
        <v>18.792685794765376</v>
      </c>
    </row>
    <row r="184" spans="1:34" x14ac:dyDescent="0.25">
      <c r="A184" s="13" t="s">
        <v>0</v>
      </c>
      <c r="B184" s="19">
        <v>45840</v>
      </c>
      <c r="C184" s="7">
        <v>13853</v>
      </c>
      <c r="D184" s="7">
        <v>33917</v>
      </c>
      <c r="E184" s="7">
        <v>22500</v>
      </c>
      <c r="F184" s="7">
        <v>2111</v>
      </c>
      <c r="G184" s="7">
        <v>11088</v>
      </c>
      <c r="H184" s="7">
        <v>0</v>
      </c>
      <c r="I184" s="7">
        <v>93750</v>
      </c>
      <c r="J184" s="2">
        <v>38.849998474121087</v>
      </c>
      <c r="K184" s="23">
        <f t="shared" ref="K184:K213" si="33">C184*8.051+D184*0.55+E184*8+F184*5</f>
        <v>320739.853</v>
      </c>
      <c r="L184" s="23">
        <f t="shared" si="29"/>
        <v>28.926754419191919</v>
      </c>
      <c r="M184" s="13" t="s">
        <v>9</v>
      </c>
      <c r="N184" s="7">
        <v>111975.23631510139</v>
      </c>
      <c r="O184" s="7">
        <v>60351</v>
      </c>
      <c r="P184" s="7">
        <f t="shared" si="25"/>
        <v>68580.681818181823</v>
      </c>
      <c r="Q184" s="7">
        <v>0</v>
      </c>
      <c r="R184" s="7">
        <v>0</v>
      </c>
      <c r="S184" s="7">
        <f t="shared" si="26"/>
        <v>0</v>
      </c>
      <c r="T184" s="7">
        <v>6185</v>
      </c>
      <c r="U184" s="7">
        <f t="shared" ref="U184:U213" si="34">N184*0.55+P184*5.257+Q184*4.05+S184*9.01</f>
        <v>422115.02429148764</v>
      </c>
      <c r="V184" s="7">
        <f t="shared" si="27"/>
        <v>68.248185010749822</v>
      </c>
      <c r="W184" s="14" t="s">
        <v>10</v>
      </c>
      <c r="X184" s="7">
        <v>125330</v>
      </c>
      <c r="Y184" s="7">
        <v>687454.54545454541</v>
      </c>
      <c r="Z184" s="7">
        <v>754727.27272727271</v>
      </c>
      <c r="AA184" s="7">
        <v>3769</v>
      </c>
      <c r="AB184" s="7">
        <v>2861</v>
      </c>
      <c r="AC184" s="7">
        <v>2111</v>
      </c>
      <c r="AD184" s="7">
        <v>832158.3600000001</v>
      </c>
      <c r="AE184" s="7">
        <v>87500</v>
      </c>
      <c r="AF184" s="7">
        <v>7746.2150761985777</v>
      </c>
      <c r="AG184" s="7">
        <f t="shared" si="32"/>
        <v>154707.10267272725</v>
      </c>
      <c r="AH184" s="1">
        <f t="shared" si="28"/>
        <v>19.971960647992891</v>
      </c>
    </row>
    <row r="185" spans="1:34" x14ac:dyDescent="0.25">
      <c r="A185" s="13" t="s">
        <v>0</v>
      </c>
      <c r="B185" s="19">
        <v>45841</v>
      </c>
      <c r="C185" s="7">
        <v>11769</v>
      </c>
      <c r="D185" s="7">
        <v>33883</v>
      </c>
      <c r="E185" s="7">
        <v>11000</v>
      </c>
      <c r="F185" s="7">
        <v>0</v>
      </c>
      <c r="G185" s="7">
        <v>13890</v>
      </c>
      <c r="H185" s="7">
        <v>1758</v>
      </c>
      <c r="I185" s="7">
        <v>44000</v>
      </c>
      <c r="J185" s="2">
        <v>36.700000762939453</v>
      </c>
      <c r="K185" s="23">
        <f t="shared" si="33"/>
        <v>201387.86900000001</v>
      </c>
      <c r="L185" s="23">
        <f t="shared" si="29"/>
        <v>14.498766666666667</v>
      </c>
      <c r="M185" s="13" t="s">
        <v>9</v>
      </c>
      <c r="N185" s="7">
        <v>113163.43254335225</v>
      </c>
      <c r="O185" s="7">
        <v>65603</v>
      </c>
      <c r="P185" s="7">
        <f t="shared" si="25"/>
        <v>74548.863636363632</v>
      </c>
      <c r="Q185" s="7">
        <v>0</v>
      </c>
      <c r="R185" s="7">
        <v>0</v>
      </c>
      <c r="S185" s="7">
        <f t="shared" si="26"/>
        <v>0</v>
      </c>
      <c r="T185" s="7">
        <v>6738</v>
      </c>
      <c r="U185" s="7">
        <f t="shared" si="34"/>
        <v>454143.26403520734</v>
      </c>
      <c r="V185" s="7">
        <f t="shared" si="27"/>
        <v>67.400306327576033</v>
      </c>
      <c r="W185" s="14" t="s">
        <v>10</v>
      </c>
      <c r="X185" s="7">
        <v>146840</v>
      </c>
      <c r="Y185" s="7">
        <v>1003363.6363636362</v>
      </c>
      <c r="Z185" s="7">
        <v>1117454.5454545454</v>
      </c>
      <c r="AA185" s="7">
        <v>7985</v>
      </c>
      <c r="AB185" s="7">
        <v>2752</v>
      </c>
      <c r="AC185" s="7">
        <v>0</v>
      </c>
      <c r="AD185" s="7">
        <v>1196007.1200000001</v>
      </c>
      <c r="AE185" s="7">
        <v>112500.00000000001</v>
      </c>
      <c r="AF185" s="7">
        <v>11104.714419651031</v>
      </c>
      <c r="AG185" s="7">
        <f t="shared" si="32"/>
        <v>205834.0158909091</v>
      </c>
      <c r="AH185" s="1">
        <f t="shared" si="28"/>
        <v>18.535732492738656</v>
      </c>
    </row>
    <row r="186" spans="1:34" x14ac:dyDescent="0.25">
      <c r="A186" s="13" t="s">
        <v>0</v>
      </c>
      <c r="B186" s="19">
        <v>45842</v>
      </c>
      <c r="C186" s="7">
        <v>12487</v>
      </c>
      <c r="D186" s="7">
        <v>44747</v>
      </c>
      <c r="E186" s="7">
        <v>0</v>
      </c>
      <c r="F186" s="7">
        <v>1512</v>
      </c>
      <c r="G186" s="7">
        <v>13617</v>
      </c>
      <c r="H186" s="7">
        <v>7034</v>
      </c>
      <c r="I186" s="7">
        <v>0</v>
      </c>
      <c r="J186" s="2">
        <v>34.349998474121087</v>
      </c>
      <c r="K186" s="23">
        <f t="shared" si="33"/>
        <v>132703.68700000001</v>
      </c>
      <c r="L186" s="23">
        <f t="shared" si="29"/>
        <v>9.7454422413160025</v>
      </c>
      <c r="M186" s="13" t="s">
        <v>9</v>
      </c>
      <c r="N186" s="7">
        <v>110000</v>
      </c>
      <c r="O186" s="7">
        <v>60640</v>
      </c>
      <c r="P186" s="7">
        <f t="shared" si="25"/>
        <v>68909.090909090912</v>
      </c>
      <c r="Q186" s="7">
        <v>0</v>
      </c>
      <c r="R186" s="7">
        <v>0</v>
      </c>
      <c r="S186" s="7">
        <f t="shared" si="26"/>
        <v>0</v>
      </c>
      <c r="T186" s="7">
        <v>6050</v>
      </c>
      <c r="U186" s="7">
        <f t="shared" si="34"/>
        <v>422755.09090909088</v>
      </c>
      <c r="V186" s="7">
        <f t="shared" si="27"/>
        <v>69.876874530428239</v>
      </c>
      <c r="W186" s="14" t="s">
        <v>10</v>
      </c>
      <c r="X186" s="7">
        <v>138090</v>
      </c>
      <c r="Y186" s="7">
        <v>938909.09090909071</v>
      </c>
      <c r="Z186" s="7">
        <v>1062090.9090909092</v>
      </c>
      <c r="AA186" s="7">
        <v>9782</v>
      </c>
      <c r="AB186" s="7">
        <v>2004</v>
      </c>
      <c r="AC186" s="7">
        <v>1512</v>
      </c>
      <c r="AD186" s="7">
        <v>1141798.68</v>
      </c>
      <c r="AE186" s="7">
        <v>100000</v>
      </c>
      <c r="AF186" s="7">
        <v>10477.139269866944</v>
      </c>
      <c r="AG186" s="7">
        <f t="shared" si="32"/>
        <v>197688.29838181817</v>
      </c>
      <c r="AH186" s="1">
        <f t="shared" si="28"/>
        <v>18.868537803099063</v>
      </c>
    </row>
    <row r="187" spans="1:34" x14ac:dyDescent="0.25">
      <c r="A187" s="13" t="s">
        <v>0</v>
      </c>
      <c r="B187" s="19">
        <v>45843</v>
      </c>
      <c r="C187" s="8">
        <v>13222</v>
      </c>
      <c r="D187" s="8">
        <v>46814</v>
      </c>
      <c r="E187" s="8">
        <v>19000</v>
      </c>
      <c r="F187" s="7">
        <v>1648</v>
      </c>
      <c r="G187" s="8">
        <v>19456</v>
      </c>
      <c r="H187" s="8">
        <v>10204</v>
      </c>
      <c r="I187" s="8">
        <v>77551</v>
      </c>
      <c r="J187" s="2">
        <v>33.549999237060547</v>
      </c>
      <c r="K187" s="23">
        <f t="shared" si="33"/>
        <v>292438.022</v>
      </c>
      <c r="L187" s="23">
        <f t="shared" si="29"/>
        <v>15.030737150493421</v>
      </c>
      <c r="M187" s="13" t="s">
        <v>9</v>
      </c>
      <c r="N187" s="7">
        <v>107470</v>
      </c>
      <c r="O187" s="7">
        <v>64120</v>
      </c>
      <c r="P187" s="7">
        <f t="shared" si="25"/>
        <v>72863.636363636368</v>
      </c>
      <c r="Q187" s="7">
        <v>0</v>
      </c>
      <c r="R187" s="7">
        <v>0</v>
      </c>
      <c r="S187" s="7">
        <f t="shared" si="26"/>
        <v>0</v>
      </c>
      <c r="T187" s="7">
        <v>6445</v>
      </c>
      <c r="U187" s="7">
        <f t="shared" si="34"/>
        <v>442152.63636363635</v>
      </c>
      <c r="V187" s="7">
        <f t="shared" si="27"/>
        <v>68.603977713519996</v>
      </c>
      <c r="W187" s="14" t="s">
        <v>10</v>
      </c>
      <c r="X187" s="8">
        <v>134700</v>
      </c>
      <c r="Y187" s="8">
        <v>791000</v>
      </c>
      <c r="Z187" s="8">
        <v>864909.09090909082</v>
      </c>
      <c r="AA187" s="8">
        <v>9797</v>
      </c>
      <c r="AB187" s="8">
        <v>4026</v>
      </c>
      <c r="AC187" s="8">
        <v>1648</v>
      </c>
      <c r="AD187" s="8">
        <v>963028.44000000006</v>
      </c>
      <c r="AE187" s="8">
        <v>100000</v>
      </c>
      <c r="AF187" s="8">
        <v>8915.9040462112425</v>
      </c>
      <c r="AG187" s="7">
        <f t="shared" si="32"/>
        <v>192772.01750909092</v>
      </c>
      <c r="AH187" s="1">
        <f t="shared" si="28"/>
        <v>21.621140885988805</v>
      </c>
    </row>
    <row r="188" spans="1:34" x14ac:dyDescent="0.25">
      <c r="A188" s="13" t="s">
        <v>0</v>
      </c>
      <c r="B188" s="19">
        <v>45844</v>
      </c>
      <c r="C188" s="7">
        <v>13505</v>
      </c>
      <c r="D188" s="7">
        <v>51394</v>
      </c>
      <c r="E188" s="7">
        <v>0</v>
      </c>
      <c r="F188" s="7">
        <v>1722</v>
      </c>
      <c r="G188" s="7">
        <v>10236</v>
      </c>
      <c r="H188" s="7">
        <v>9715</v>
      </c>
      <c r="I188" s="7">
        <v>0</v>
      </c>
      <c r="J188" s="2">
        <v>34.400001525878913</v>
      </c>
      <c r="K188" s="23">
        <f t="shared" si="33"/>
        <v>145605.45500000002</v>
      </c>
      <c r="L188" s="23">
        <f t="shared" si="29"/>
        <v>14.22483929269246</v>
      </c>
      <c r="M188" s="13" t="s">
        <v>9</v>
      </c>
      <c r="N188" s="7">
        <v>113721.02309282124</v>
      </c>
      <c r="O188" s="7">
        <v>63826.089479623763</v>
      </c>
      <c r="P188" s="7">
        <f t="shared" si="25"/>
        <v>72529.647135936088</v>
      </c>
      <c r="Q188" s="7">
        <v>0</v>
      </c>
      <c r="R188" s="7">
        <v>0</v>
      </c>
      <c r="S188" s="7">
        <f t="shared" si="26"/>
        <v>0</v>
      </c>
      <c r="T188" s="7">
        <v>6409.3338240678422</v>
      </c>
      <c r="U188" s="7">
        <f t="shared" si="34"/>
        <v>443834.9176946677</v>
      </c>
      <c r="V188" s="7">
        <f t="shared" si="27"/>
        <v>69.24821360185868</v>
      </c>
      <c r="W188" s="14" t="s">
        <v>10</v>
      </c>
      <c r="X188" s="7">
        <v>147229.99999998254</v>
      </c>
      <c r="Y188" s="7">
        <v>1019181.818181818</v>
      </c>
      <c r="Z188" s="7">
        <v>1136818.1818181816</v>
      </c>
      <c r="AA188" s="7">
        <v>9694</v>
      </c>
      <c r="AB188" s="7">
        <v>4373</v>
      </c>
      <c r="AC188" s="7">
        <v>1722</v>
      </c>
      <c r="AD188" s="7">
        <v>1220277.96</v>
      </c>
      <c r="AE188" s="7">
        <v>112500</v>
      </c>
      <c r="AF188" s="7">
        <v>11256.947116928101</v>
      </c>
      <c r="AG188" s="7">
        <f t="shared" si="32"/>
        <v>220715.033036354</v>
      </c>
      <c r="AH188" s="1">
        <f t="shared" si="28"/>
        <v>19.607006299642702</v>
      </c>
    </row>
    <row r="189" spans="1:34" x14ac:dyDescent="0.25">
      <c r="A189" s="13" t="s">
        <v>0</v>
      </c>
      <c r="B189" s="19">
        <v>45845</v>
      </c>
      <c r="C189" s="7">
        <v>13301</v>
      </c>
      <c r="D189" s="7">
        <v>49136</v>
      </c>
      <c r="E189" s="7">
        <v>22500</v>
      </c>
      <c r="F189" s="7">
        <v>1728</v>
      </c>
      <c r="G189" s="7">
        <v>15263</v>
      </c>
      <c r="H189" s="7">
        <v>12334</v>
      </c>
      <c r="I189" s="7">
        <v>93750</v>
      </c>
      <c r="J189" s="2">
        <v>36.150001525878913</v>
      </c>
      <c r="K189" s="23">
        <f t="shared" si="33"/>
        <v>322751.15100000001</v>
      </c>
      <c r="L189" s="23">
        <f t="shared" si="29"/>
        <v>21.145983817073972</v>
      </c>
      <c r="M189" s="13" t="s">
        <v>9</v>
      </c>
      <c r="N189" s="7">
        <v>108688</v>
      </c>
      <c r="O189" s="7">
        <v>63500</v>
      </c>
      <c r="P189" s="7">
        <f t="shared" si="25"/>
        <v>72159.090909090912</v>
      </c>
      <c r="Q189" s="7">
        <v>0</v>
      </c>
      <c r="R189" s="7">
        <v>0</v>
      </c>
      <c r="S189" s="7">
        <f t="shared" si="26"/>
        <v>0</v>
      </c>
      <c r="T189" s="7">
        <v>5575</v>
      </c>
      <c r="U189" s="7">
        <f t="shared" si="34"/>
        <v>439118.74090909091</v>
      </c>
      <c r="V189" s="7">
        <f t="shared" si="27"/>
        <v>78.765693436608231</v>
      </c>
      <c r="W189" s="14" t="s">
        <v>10</v>
      </c>
      <c r="X189" s="7">
        <v>143420</v>
      </c>
      <c r="Y189" s="7">
        <v>969181.81818181812</v>
      </c>
      <c r="Z189" s="7">
        <v>1085545.4545454546</v>
      </c>
      <c r="AA189" s="7">
        <v>7451</v>
      </c>
      <c r="AB189" s="7">
        <v>4449</v>
      </c>
      <c r="AC189" s="7">
        <v>1728</v>
      </c>
      <c r="AD189" s="7">
        <v>1164679.56</v>
      </c>
      <c r="AE189" s="7">
        <v>87500</v>
      </c>
      <c r="AF189" s="7">
        <v>10691.820577926635</v>
      </c>
      <c r="AG189" s="7">
        <f t="shared" si="32"/>
        <v>207245.82976363634</v>
      </c>
      <c r="AH189" s="1">
        <f t="shared" si="28"/>
        <v>19.38358657004564</v>
      </c>
    </row>
    <row r="190" spans="1:34" x14ac:dyDescent="0.25">
      <c r="A190" s="13" t="s">
        <v>0</v>
      </c>
      <c r="B190" s="19">
        <v>45846</v>
      </c>
      <c r="C190" s="7">
        <v>10966</v>
      </c>
      <c r="D190" s="7">
        <v>51241</v>
      </c>
      <c r="E190" s="7">
        <v>10400</v>
      </c>
      <c r="F190" s="7">
        <v>1824</v>
      </c>
      <c r="G190" s="7">
        <v>17459</v>
      </c>
      <c r="H190" s="7">
        <v>10255</v>
      </c>
      <c r="I190" s="7">
        <v>41600</v>
      </c>
      <c r="J190" s="2">
        <v>37.349998474121087</v>
      </c>
      <c r="K190" s="23">
        <f t="shared" si="33"/>
        <v>208789.81599999999</v>
      </c>
      <c r="L190" s="23">
        <f t="shared" si="29"/>
        <v>11.95886453977891</v>
      </c>
      <c r="M190" s="13" t="s">
        <v>9</v>
      </c>
      <c r="N190" s="7">
        <v>113825</v>
      </c>
      <c r="O190" s="7">
        <v>62900</v>
      </c>
      <c r="P190" s="7">
        <f t="shared" si="25"/>
        <v>71477.272727272721</v>
      </c>
      <c r="Q190" s="7">
        <v>0</v>
      </c>
      <c r="R190" s="7">
        <v>0</v>
      </c>
      <c r="S190" s="7">
        <f t="shared" si="26"/>
        <v>0</v>
      </c>
      <c r="T190" s="7">
        <v>6240</v>
      </c>
      <c r="U190" s="7">
        <f t="shared" si="34"/>
        <v>438359.77272727265</v>
      </c>
      <c r="V190" s="7">
        <f t="shared" si="27"/>
        <v>70.249963578088568</v>
      </c>
      <c r="W190" s="14" t="s">
        <v>10</v>
      </c>
      <c r="X190" s="7">
        <v>123840</v>
      </c>
      <c r="Y190" s="7">
        <v>1162454.5454545454</v>
      </c>
      <c r="Z190" s="7">
        <v>1205090.9090909092</v>
      </c>
      <c r="AA190" s="7">
        <v>5988</v>
      </c>
      <c r="AB190" s="7">
        <v>4288</v>
      </c>
      <c r="AC190" s="7">
        <v>1814</v>
      </c>
      <c r="AD190" s="7">
        <v>1151100.72</v>
      </c>
      <c r="AE190" s="7">
        <v>100000</v>
      </c>
      <c r="AF190" s="7">
        <v>11106.431909179688</v>
      </c>
      <c r="AG190" s="7">
        <f t="shared" si="32"/>
        <v>200975.37443636364</v>
      </c>
      <c r="AH190" s="1">
        <f t="shared" si="28"/>
        <v>18.095404183791327</v>
      </c>
    </row>
    <row r="191" spans="1:34" x14ac:dyDescent="0.25">
      <c r="A191" s="13" t="s">
        <v>0</v>
      </c>
      <c r="B191" s="19">
        <v>45847</v>
      </c>
      <c r="C191" s="7">
        <v>12635</v>
      </c>
      <c r="D191" s="7">
        <v>44304</v>
      </c>
      <c r="E191" s="7">
        <v>10000</v>
      </c>
      <c r="F191" s="7">
        <v>1946</v>
      </c>
      <c r="G191" s="7">
        <v>12539</v>
      </c>
      <c r="H191" s="7">
        <v>8946</v>
      </c>
      <c r="I191" s="7">
        <v>40216</v>
      </c>
      <c r="J191" s="2">
        <v>35</v>
      </c>
      <c r="K191" s="23">
        <f t="shared" si="33"/>
        <v>215821.58499999999</v>
      </c>
      <c r="L191" s="23">
        <f t="shared" si="29"/>
        <v>17.212025281122894</v>
      </c>
      <c r="M191" s="13" t="s">
        <v>9</v>
      </c>
      <c r="N191" s="7">
        <v>112796</v>
      </c>
      <c r="O191" s="7">
        <v>63224</v>
      </c>
      <c r="P191" s="7">
        <f t="shared" si="25"/>
        <v>71845.454545454544</v>
      </c>
      <c r="Q191" s="7">
        <v>0</v>
      </c>
      <c r="R191" s="7">
        <v>0</v>
      </c>
      <c r="S191" s="7">
        <f t="shared" si="26"/>
        <v>0</v>
      </c>
      <c r="T191" s="7">
        <v>6195</v>
      </c>
      <c r="U191" s="7">
        <f t="shared" si="34"/>
        <v>439729.35454545449</v>
      </c>
      <c r="V191" s="7">
        <f t="shared" si="27"/>
        <v>70.98133245285787</v>
      </c>
      <c r="W191" s="14" t="s">
        <v>10</v>
      </c>
      <c r="X191" s="7">
        <v>117090</v>
      </c>
      <c r="Y191" s="7">
        <v>1042454.5454545454</v>
      </c>
      <c r="Z191" s="7">
        <v>1068818.1818181816</v>
      </c>
      <c r="AA191" s="7">
        <v>6016</v>
      </c>
      <c r="AB191" s="7">
        <v>3470</v>
      </c>
      <c r="AC191" s="7">
        <v>1946</v>
      </c>
      <c r="AD191" s="7">
        <v>1024293.6</v>
      </c>
      <c r="AE191" s="7">
        <v>37500</v>
      </c>
      <c r="AF191" s="7">
        <v>9993.132061386108</v>
      </c>
      <c r="AG191" s="7">
        <f t="shared" si="32"/>
        <v>180761.54036363639</v>
      </c>
      <c r="AH191" s="1">
        <f t="shared" si="28"/>
        <v>18.088577160118472</v>
      </c>
    </row>
    <row r="192" spans="1:34" x14ac:dyDescent="0.25">
      <c r="A192" s="13" t="s">
        <v>0</v>
      </c>
      <c r="B192" s="19">
        <v>45848</v>
      </c>
      <c r="C192" s="8">
        <v>13442</v>
      </c>
      <c r="D192" s="8">
        <v>37472</v>
      </c>
      <c r="E192" s="8">
        <v>0</v>
      </c>
      <c r="F192" s="7">
        <v>1870</v>
      </c>
      <c r="G192" s="8">
        <v>12438</v>
      </c>
      <c r="H192" s="8">
        <v>6683</v>
      </c>
      <c r="I192" s="8">
        <v>0</v>
      </c>
      <c r="J192" s="2">
        <v>32.450000762939453</v>
      </c>
      <c r="K192" s="23">
        <f t="shared" si="33"/>
        <v>138181.14199999999</v>
      </c>
      <c r="L192" s="23">
        <f t="shared" si="29"/>
        <v>11.109594950956744</v>
      </c>
      <c r="M192" s="13" t="s">
        <v>9</v>
      </c>
      <c r="N192" s="7">
        <v>114463.82361450791</v>
      </c>
      <c r="O192" s="7">
        <v>62093.894145341437</v>
      </c>
      <c r="P192" s="7">
        <f t="shared" si="25"/>
        <v>70561.24334697891</v>
      </c>
      <c r="Q192" s="7">
        <v>0</v>
      </c>
      <c r="R192" s="7">
        <v>0</v>
      </c>
      <c r="S192" s="7">
        <f t="shared" si="26"/>
        <v>0</v>
      </c>
      <c r="T192" s="7">
        <v>6084.9139449051581</v>
      </c>
      <c r="U192" s="7">
        <f t="shared" si="34"/>
        <v>433895.55926304747</v>
      </c>
      <c r="V192" s="7">
        <f t="shared" si="27"/>
        <v>71.306770020362279</v>
      </c>
      <c r="W192" s="14" t="s">
        <v>10</v>
      </c>
      <c r="X192" s="8">
        <v>151540</v>
      </c>
      <c r="Y192" s="8">
        <v>1073909.0909090908</v>
      </c>
      <c r="Z192" s="8">
        <v>1180181.8181818181</v>
      </c>
      <c r="AA192" s="8">
        <v>5720</v>
      </c>
      <c r="AB192" s="8">
        <v>3508</v>
      </c>
      <c r="AC192" s="8">
        <v>1870</v>
      </c>
      <c r="AD192" s="8">
        <v>1278977.04</v>
      </c>
      <c r="AE192" s="8">
        <v>87500</v>
      </c>
      <c r="AF192" s="8">
        <v>11924.820098876953</v>
      </c>
      <c r="AG192" s="7">
        <f t="shared" si="32"/>
        <v>209541.38287272726</v>
      </c>
      <c r="AH192" s="1">
        <f t="shared" si="28"/>
        <v>17.57186952383972</v>
      </c>
    </row>
    <row r="193" spans="1:34" x14ac:dyDescent="0.25">
      <c r="A193" s="13" t="s">
        <v>0</v>
      </c>
      <c r="B193" s="19">
        <v>45849</v>
      </c>
      <c r="C193" s="7">
        <v>11954</v>
      </c>
      <c r="D193" s="7">
        <v>45304</v>
      </c>
      <c r="E193" s="7">
        <v>0</v>
      </c>
      <c r="F193" s="7">
        <v>1813</v>
      </c>
      <c r="G193" s="7">
        <v>11975</v>
      </c>
      <c r="H193" s="7">
        <v>7893</v>
      </c>
      <c r="I193" s="7">
        <v>0</v>
      </c>
      <c r="J193" s="2">
        <v>30.70000076293945</v>
      </c>
      <c r="K193" s="23">
        <f t="shared" si="33"/>
        <v>130223.85399999999</v>
      </c>
      <c r="L193" s="23">
        <f t="shared" si="29"/>
        <v>10.874643340292275</v>
      </c>
      <c r="M193" s="13" t="s">
        <v>9</v>
      </c>
      <c r="N193" s="7">
        <v>73556.652583435178</v>
      </c>
      <c r="O193" s="7">
        <v>34220.501567066094</v>
      </c>
      <c r="P193" s="7">
        <f t="shared" si="25"/>
        <v>38886.93359893874</v>
      </c>
      <c r="Q193" s="7">
        <v>0</v>
      </c>
      <c r="R193" s="7">
        <v>0</v>
      </c>
      <c r="S193" s="7">
        <f t="shared" si="26"/>
        <v>0</v>
      </c>
      <c r="T193" s="7">
        <v>3315.6313301613554</v>
      </c>
      <c r="U193" s="7">
        <f t="shared" si="34"/>
        <v>244884.7688505103</v>
      </c>
      <c r="V193" s="7">
        <f t="shared" si="27"/>
        <v>73.857659210438499</v>
      </c>
      <c r="W193" s="14" t="s">
        <v>10</v>
      </c>
      <c r="X193" s="7">
        <v>145180</v>
      </c>
      <c r="Y193" s="7">
        <v>1082090.9090909089</v>
      </c>
      <c r="Z193" s="7">
        <v>1223545.4545454546</v>
      </c>
      <c r="AA193" s="7">
        <v>5582</v>
      </c>
      <c r="AB193" s="7">
        <v>4626</v>
      </c>
      <c r="AC193" s="7">
        <v>1813</v>
      </c>
      <c r="AD193" s="7">
        <v>1310732.28</v>
      </c>
      <c r="AE193" s="7">
        <v>150000</v>
      </c>
      <c r="AF193" s="7">
        <v>12006.232049560547</v>
      </c>
      <c r="AG193" s="7">
        <f t="shared" si="32"/>
        <v>216129.02965454548</v>
      </c>
      <c r="AH193" s="1">
        <f t="shared" si="28"/>
        <v>18.001403667893978</v>
      </c>
    </row>
    <row r="194" spans="1:34" x14ac:dyDescent="0.25">
      <c r="A194" s="13" t="s">
        <v>0</v>
      </c>
      <c r="B194" s="19">
        <v>45850</v>
      </c>
      <c r="C194" s="7">
        <v>11119</v>
      </c>
      <c r="D194" s="7">
        <v>45604</v>
      </c>
      <c r="E194" s="7">
        <v>32600</v>
      </c>
      <c r="F194" s="7">
        <v>0</v>
      </c>
      <c r="G194" s="7">
        <v>7177</v>
      </c>
      <c r="H194" s="7">
        <v>8345</v>
      </c>
      <c r="I194" s="7">
        <v>133061</v>
      </c>
      <c r="J194" s="2">
        <v>30.35000038146973</v>
      </c>
      <c r="K194" s="23">
        <f t="shared" si="33"/>
        <v>375401.26899999997</v>
      </c>
      <c r="L194" s="23">
        <f t="shared" si="29"/>
        <v>52.306154242719792</v>
      </c>
      <c r="M194" s="13" t="s">
        <v>9</v>
      </c>
      <c r="N194" s="7">
        <v>113530</v>
      </c>
      <c r="O194" s="7">
        <v>65900</v>
      </c>
      <c r="P194" s="7">
        <f t="shared" ref="P194:P257" si="35">O194/0.88</f>
        <v>74886.363636363632</v>
      </c>
      <c r="Q194" s="7">
        <v>0</v>
      </c>
      <c r="R194" s="7">
        <v>0</v>
      </c>
      <c r="S194" s="7">
        <f t="shared" si="26"/>
        <v>0</v>
      </c>
      <c r="T194" s="7">
        <v>7127.4970674091019</v>
      </c>
      <c r="U194" s="7">
        <f t="shared" si="34"/>
        <v>456119.11363636359</v>
      </c>
      <c r="V194" s="7">
        <f t="shared" si="27"/>
        <v>63.994289906059024</v>
      </c>
      <c r="W194" s="14" t="s">
        <v>10</v>
      </c>
      <c r="X194" s="7">
        <v>152410</v>
      </c>
      <c r="Y194" s="7">
        <v>1115909.0909090908</v>
      </c>
      <c r="Z194" s="7">
        <v>1250727.2727272727</v>
      </c>
      <c r="AA194" s="7">
        <v>4739</v>
      </c>
      <c r="AB194" s="7">
        <v>4176</v>
      </c>
      <c r="AC194" s="7">
        <v>0</v>
      </c>
      <c r="AD194" s="7">
        <v>1330940.1599999999</v>
      </c>
      <c r="AE194" s="7">
        <v>125000</v>
      </c>
      <c r="AF194" s="7">
        <v>12255.448711624145</v>
      </c>
      <c r="AG194" s="7">
        <f t="shared" si="32"/>
        <v>216338.28421818183</v>
      </c>
      <c r="AH194" s="1">
        <f t="shared" si="28"/>
        <v>17.652416431965282</v>
      </c>
    </row>
    <row r="195" spans="1:34" x14ac:dyDescent="0.25">
      <c r="A195" s="13" t="s">
        <v>0</v>
      </c>
      <c r="B195" s="19">
        <v>45851</v>
      </c>
      <c r="C195" s="7">
        <v>13612</v>
      </c>
      <c r="D195" s="7">
        <v>46894</v>
      </c>
      <c r="E195" s="7">
        <v>0</v>
      </c>
      <c r="F195" s="7">
        <v>0</v>
      </c>
      <c r="G195" s="7">
        <v>8798</v>
      </c>
      <c r="H195" s="7">
        <v>8148</v>
      </c>
      <c r="I195" s="7">
        <v>0</v>
      </c>
      <c r="J195" s="2">
        <v>35.549999237060547</v>
      </c>
      <c r="K195" s="23">
        <f t="shared" si="33"/>
        <v>135381.91200000001</v>
      </c>
      <c r="L195" s="23">
        <f t="shared" si="29"/>
        <v>15.387805410320528</v>
      </c>
      <c r="M195" s="13" t="s">
        <v>9</v>
      </c>
      <c r="N195" s="7">
        <v>115170</v>
      </c>
      <c r="O195" s="7">
        <v>66607</v>
      </c>
      <c r="P195" s="7">
        <f t="shared" si="35"/>
        <v>75689.772727272721</v>
      </c>
      <c r="Q195" s="7">
        <v>0</v>
      </c>
      <c r="R195" s="7">
        <v>0</v>
      </c>
      <c r="S195" s="7">
        <f t="shared" ref="S195:S258" si="36">R195/0.75</f>
        <v>0</v>
      </c>
      <c r="T195" s="7">
        <v>6740</v>
      </c>
      <c r="U195" s="7">
        <f t="shared" si="34"/>
        <v>461244.63522727269</v>
      </c>
      <c r="V195" s="7">
        <f t="shared" ref="V195:V258" si="37">U195/T195</f>
        <v>68.433922140544908</v>
      </c>
      <c r="W195" s="14" t="s">
        <v>10</v>
      </c>
      <c r="X195" s="7">
        <v>159920</v>
      </c>
      <c r="Y195" s="7">
        <v>1139727.2727272727</v>
      </c>
      <c r="Z195" s="7">
        <v>1259818.1818181816</v>
      </c>
      <c r="AA195" s="7">
        <v>4768</v>
      </c>
      <c r="AB195" s="7">
        <v>4430</v>
      </c>
      <c r="AC195" s="7">
        <v>0</v>
      </c>
      <c r="AD195" s="7">
        <v>1354034.88</v>
      </c>
      <c r="AE195" s="7">
        <v>150000</v>
      </c>
      <c r="AF195" s="7">
        <v>12399.75</v>
      </c>
      <c r="AG195" s="7">
        <f t="shared" si="32"/>
        <v>224266.93229090908</v>
      </c>
      <c r="AH195" s="1">
        <f t="shared" ref="AH195:AH258" si="38">AG195/AF195</f>
        <v>18.086407572000169</v>
      </c>
    </row>
    <row r="196" spans="1:34" x14ac:dyDescent="0.25">
      <c r="A196" s="13" t="s">
        <v>0</v>
      </c>
      <c r="B196" s="19">
        <v>45852</v>
      </c>
      <c r="C196" s="7">
        <v>8800</v>
      </c>
      <c r="D196" s="7">
        <v>39557</v>
      </c>
      <c r="E196" s="7">
        <v>20000</v>
      </c>
      <c r="F196" s="7">
        <v>0</v>
      </c>
      <c r="G196" s="7">
        <v>10130</v>
      </c>
      <c r="H196" s="7">
        <v>5117</v>
      </c>
      <c r="I196" s="7">
        <v>83333</v>
      </c>
      <c r="J196" s="2">
        <v>42.650001525878913</v>
      </c>
      <c r="K196" s="23">
        <f t="shared" si="33"/>
        <v>252605.15000000002</v>
      </c>
      <c r="L196" s="23">
        <f t="shared" si="29"/>
        <v>24.936342546890426</v>
      </c>
      <c r="M196" s="13" t="s">
        <v>9</v>
      </c>
      <c r="N196" s="7">
        <v>111363.31727600098</v>
      </c>
      <c r="O196" s="7">
        <v>65014.457367845811</v>
      </c>
      <c r="P196" s="7">
        <f t="shared" si="35"/>
        <v>73880.065190733876</v>
      </c>
      <c r="Q196" s="7">
        <v>0</v>
      </c>
      <c r="R196" s="7">
        <v>0</v>
      </c>
      <c r="S196" s="7">
        <f t="shared" si="36"/>
        <v>0</v>
      </c>
      <c r="T196" s="7">
        <v>6308.096708140336</v>
      </c>
      <c r="U196" s="7">
        <f t="shared" si="34"/>
        <v>449637.32720948849</v>
      </c>
      <c r="V196" s="7">
        <f t="shared" si="37"/>
        <v>71.279396625173845</v>
      </c>
      <c r="W196" s="14" t="s">
        <v>10</v>
      </c>
      <c r="X196" s="7">
        <v>155020</v>
      </c>
      <c r="Y196" s="7">
        <v>1093363.6363636362</v>
      </c>
      <c r="Z196" s="7">
        <v>1206363.6363636362</v>
      </c>
      <c r="AA196" s="7">
        <v>4749</v>
      </c>
      <c r="AB196" s="7">
        <v>3815</v>
      </c>
      <c r="AC196" s="7">
        <v>0</v>
      </c>
      <c r="AD196" s="7">
        <v>1293732</v>
      </c>
      <c r="AE196" s="7">
        <v>150000</v>
      </c>
      <c r="AF196" s="7">
        <v>11925.05261226654</v>
      </c>
      <c r="AG196" s="7">
        <f t="shared" si="32"/>
        <v>214503.48</v>
      </c>
      <c r="AH196" s="1">
        <f t="shared" si="38"/>
        <v>17.987633847363824</v>
      </c>
    </row>
    <row r="197" spans="1:34" x14ac:dyDescent="0.25">
      <c r="A197" s="13" t="s">
        <v>0</v>
      </c>
      <c r="B197" s="19">
        <v>45853</v>
      </c>
      <c r="C197" s="8">
        <v>11157</v>
      </c>
      <c r="D197" s="8">
        <v>36191</v>
      </c>
      <c r="E197" s="8">
        <v>20000</v>
      </c>
      <c r="F197" s="7">
        <v>0</v>
      </c>
      <c r="G197" s="8">
        <v>12451</v>
      </c>
      <c r="H197" s="8">
        <v>6880</v>
      </c>
      <c r="I197" s="8">
        <v>83333</v>
      </c>
      <c r="J197" s="2">
        <v>42.650001525878913</v>
      </c>
      <c r="K197" s="23">
        <f t="shared" si="33"/>
        <v>269730.05700000003</v>
      </c>
      <c r="L197" s="23">
        <f t="shared" si="29"/>
        <v>21.663324793189304</v>
      </c>
      <c r="M197" s="13" t="s">
        <v>9</v>
      </c>
      <c r="N197" s="7">
        <v>112004.96363095939</v>
      </c>
      <c r="O197" s="7">
        <v>65182.921969812014</v>
      </c>
      <c r="P197" s="7">
        <f t="shared" si="35"/>
        <v>74071.502238422749</v>
      </c>
      <c r="Q197" s="7">
        <v>0</v>
      </c>
      <c r="R197" s="7">
        <v>0</v>
      </c>
      <c r="S197" s="7">
        <f t="shared" si="36"/>
        <v>0</v>
      </c>
      <c r="T197" s="7">
        <v>6558.4340678118169</v>
      </c>
      <c r="U197" s="7">
        <f t="shared" si="34"/>
        <v>450996.61726441601</v>
      </c>
      <c r="V197" s="7">
        <f t="shared" si="37"/>
        <v>68.765899390201298</v>
      </c>
      <c r="W197" s="14" t="s">
        <v>10</v>
      </c>
      <c r="X197" s="8">
        <v>157240</v>
      </c>
      <c r="Y197" s="8">
        <v>1173545.4545454546</v>
      </c>
      <c r="Z197" s="8">
        <v>1160000</v>
      </c>
      <c r="AA197" s="8">
        <v>5119</v>
      </c>
      <c r="AB197" s="8">
        <v>3189</v>
      </c>
      <c r="AC197" s="8">
        <v>0</v>
      </c>
      <c r="AD197" s="8">
        <v>1188736.56</v>
      </c>
      <c r="AE197" s="8">
        <v>150000</v>
      </c>
      <c r="AF197" s="8">
        <v>10949.926113739013</v>
      </c>
      <c r="AG197" s="7">
        <f t="shared" si="32"/>
        <v>212931.09385454547</v>
      </c>
      <c r="AH197" s="1">
        <f t="shared" si="38"/>
        <v>19.445893209030707</v>
      </c>
    </row>
    <row r="198" spans="1:34" x14ac:dyDescent="0.25">
      <c r="A198" s="13" t="s">
        <v>0</v>
      </c>
      <c r="B198" s="19">
        <v>45854</v>
      </c>
      <c r="C198" s="7">
        <v>12362</v>
      </c>
      <c r="D198" s="7">
        <v>35461</v>
      </c>
      <c r="E198" s="7">
        <v>40000</v>
      </c>
      <c r="F198" s="7">
        <v>0</v>
      </c>
      <c r="G198" s="7">
        <v>10994</v>
      </c>
      <c r="H198" s="7">
        <v>6179</v>
      </c>
      <c r="I198" s="7">
        <v>80000</v>
      </c>
      <c r="J198" s="2">
        <v>40.450000762939453</v>
      </c>
      <c r="K198" s="23">
        <f t="shared" si="33"/>
        <v>439030.01199999999</v>
      </c>
      <c r="L198" s="23">
        <f t="shared" si="29"/>
        <v>39.933601237038381</v>
      </c>
      <c r="M198" s="13" t="s">
        <v>9</v>
      </c>
      <c r="N198" s="7">
        <v>110138.63253374398</v>
      </c>
      <c r="O198" s="7">
        <v>67086.842106282798</v>
      </c>
      <c r="P198" s="7">
        <f t="shared" si="35"/>
        <v>76235.047848048634</v>
      </c>
      <c r="Q198" s="7">
        <v>0</v>
      </c>
      <c r="R198" s="7">
        <v>0</v>
      </c>
      <c r="S198" s="7">
        <f t="shared" si="36"/>
        <v>0</v>
      </c>
      <c r="T198" s="7">
        <v>7037.1619685278274</v>
      </c>
      <c r="U198" s="7">
        <f t="shared" si="34"/>
        <v>461343.89443075086</v>
      </c>
      <c r="V198" s="7">
        <f t="shared" si="37"/>
        <v>65.558231641393334</v>
      </c>
      <c r="W198" s="14" t="s">
        <v>10</v>
      </c>
      <c r="X198" s="7">
        <v>130560</v>
      </c>
      <c r="Y198" s="7">
        <v>1065545.4545454546</v>
      </c>
      <c r="Z198" s="7">
        <v>1058909.0909090908</v>
      </c>
      <c r="AA198" s="7">
        <v>6061</v>
      </c>
      <c r="AB198" s="7">
        <v>4547</v>
      </c>
      <c r="AC198" s="7">
        <v>0</v>
      </c>
      <c r="AD198" s="7">
        <v>1084917.24</v>
      </c>
      <c r="AE198" s="7">
        <v>87500</v>
      </c>
      <c r="AF198" s="7">
        <v>10156.57947341919</v>
      </c>
      <c r="AG198" s="7">
        <f t="shared" si="32"/>
        <v>197190.39496363635</v>
      </c>
      <c r="AH198" s="1">
        <f t="shared" si="38"/>
        <v>19.41503982514033</v>
      </c>
    </row>
    <row r="199" spans="1:34" x14ac:dyDescent="0.25">
      <c r="A199" s="13" t="s">
        <v>0</v>
      </c>
      <c r="B199" s="19">
        <v>45855</v>
      </c>
      <c r="C199" s="7">
        <v>11635</v>
      </c>
      <c r="D199" s="7">
        <v>35735</v>
      </c>
      <c r="E199" s="7">
        <v>0</v>
      </c>
      <c r="F199" s="7">
        <v>0</v>
      </c>
      <c r="G199" s="7">
        <v>11856</v>
      </c>
      <c r="H199" s="7">
        <v>8157</v>
      </c>
      <c r="I199" s="7">
        <v>0</v>
      </c>
      <c r="J199" s="2">
        <v>35.5</v>
      </c>
      <c r="K199" s="23">
        <f t="shared" si="33"/>
        <v>113327.63499999999</v>
      </c>
      <c r="L199" s="23">
        <f t="shared" si="29"/>
        <v>9.5586736673414308</v>
      </c>
      <c r="M199" s="13" t="s">
        <v>9</v>
      </c>
      <c r="N199" s="7">
        <v>110424.35796806216</v>
      </c>
      <c r="O199" s="7">
        <v>63589.988386491539</v>
      </c>
      <c r="P199" s="7">
        <f t="shared" si="35"/>
        <v>72261.350439194925</v>
      </c>
      <c r="Q199" s="7">
        <v>0</v>
      </c>
      <c r="R199" s="7">
        <v>0</v>
      </c>
      <c r="S199" s="7">
        <f t="shared" si="36"/>
        <v>0</v>
      </c>
      <c r="T199" s="7">
        <v>6568.9104947512969</v>
      </c>
      <c r="U199" s="7">
        <f t="shared" si="34"/>
        <v>440611.31614128192</v>
      </c>
      <c r="V199" s="7">
        <f t="shared" si="37"/>
        <v>67.07525037726424</v>
      </c>
      <c r="W199" s="14" t="s">
        <v>10</v>
      </c>
      <c r="X199" s="7">
        <v>115560</v>
      </c>
      <c r="Y199" s="7">
        <v>1191272.7272727273</v>
      </c>
      <c r="Z199" s="7">
        <v>1173363.6363636362</v>
      </c>
      <c r="AA199" s="7">
        <v>5671</v>
      </c>
      <c r="AB199" s="7">
        <v>3513</v>
      </c>
      <c r="AC199" s="7">
        <v>0</v>
      </c>
      <c r="AD199" s="7">
        <v>1166283.3600000001</v>
      </c>
      <c r="AE199" s="7">
        <v>112500</v>
      </c>
      <c r="AF199" s="7">
        <v>11303.705895423889</v>
      </c>
      <c r="AG199" s="7">
        <f t="shared" si="32"/>
        <v>192191.65949090908</v>
      </c>
      <c r="AH199" s="1">
        <f t="shared" si="38"/>
        <v>17.002535386975573</v>
      </c>
    </row>
    <row r="200" spans="1:34" x14ac:dyDescent="0.25">
      <c r="A200" s="13" t="s">
        <v>0</v>
      </c>
      <c r="B200" s="19">
        <v>45856</v>
      </c>
      <c r="C200" s="7">
        <v>14188</v>
      </c>
      <c r="D200" s="7">
        <v>44427</v>
      </c>
      <c r="E200" s="7">
        <v>10000</v>
      </c>
      <c r="F200" s="7">
        <v>0</v>
      </c>
      <c r="G200" s="7">
        <v>12011</v>
      </c>
      <c r="H200" s="7">
        <v>7865</v>
      </c>
      <c r="I200" s="7">
        <v>40816</v>
      </c>
      <c r="J200" s="2">
        <v>33.299999237060547</v>
      </c>
      <c r="K200" s="23">
        <f t="shared" si="33"/>
        <v>218662.43799999999</v>
      </c>
      <c r="L200" s="23">
        <f t="shared" si="29"/>
        <v>18.205181750062444</v>
      </c>
      <c r="M200" s="13" t="s">
        <v>9</v>
      </c>
      <c r="N200" s="7">
        <v>113421.52209478617</v>
      </c>
      <c r="O200" s="7">
        <v>65126.086799252793</v>
      </c>
      <c r="P200" s="7">
        <f t="shared" si="35"/>
        <v>74006.91681733272</v>
      </c>
      <c r="Q200" s="7">
        <v>0</v>
      </c>
      <c r="R200" s="7">
        <v>0</v>
      </c>
      <c r="S200" s="7">
        <f t="shared" si="36"/>
        <v>0</v>
      </c>
      <c r="T200" s="7">
        <v>7113.2465881782118</v>
      </c>
      <c r="U200" s="7">
        <f t="shared" si="34"/>
        <v>451436.19886085048</v>
      </c>
      <c r="V200" s="7">
        <f t="shared" si="37"/>
        <v>63.464157085614083</v>
      </c>
      <c r="W200" s="14" t="s">
        <v>10</v>
      </c>
      <c r="X200" s="7">
        <v>137100</v>
      </c>
      <c r="Y200" s="7">
        <v>1333272.7272727271</v>
      </c>
      <c r="Z200" s="7">
        <v>1337000</v>
      </c>
      <c r="AA200" s="7">
        <v>5919</v>
      </c>
      <c r="AB200" s="7">
        <v>4116</v>
      </c>
      <c r="AC200" s="7">
        <v>0</v>
      </c>
      <c r="AD200" s="7">
        <v>1313191.44</v>
      </c>
      <c r="AE200" s="7">
        <v>87500</v>
      </c>
      <c r="AF200" s="7">
        <v>12434.31</v>
      </c>
      <c r="AG200" s="7">
        <f t="shared" si="32"/>
        <v>218159.64432727272</v>
      </c>
      <c r="AH200" s="1">
        <f t="shared" si="38"/>
        <v>17.544973892984228</v>
      </c>
    </row>
    <row r="201" spans="1:34" x14ac:dyDescent="0.25">
      <c r="A201" s="13" t="s">
        <v>0</v>
      </c>
      <c r="B201" s="19">
        <v>45857</v>
      </c>
      <c r="C201" s="7">
        <v>14394</v>
      </c>
      <c r="D201" s="7">
        <v>47644</v>
      </c>
      <c r="E201" s="7">
        <v>0</v>
      </c>
      <c r="F201" s="7">
        <v>0</v>
      </c>
      <c r="G201" s="7">
        <v>12311</v>
      </c>
      <c r="H201" s="7">
        <v>6828</v>
      </c>
      <c r="I201" s="7">
        <v>0</v>
      </c>
      <c r="J201" s="2">
        <v>32.200000762939453</v>
      </c>
      <c r="K201" s="23">
        <f t="shared" si="33"/>
        <v>142090.29399999999</v>
      </c>
      <c r="L201" s="23">
        <f t="shared" ref="L201:L264" si="39">K201/G201</f>
        <v>11.54173454634067</v>
      </c>
      <c r="M201" s="13" t="s">
        <v>9</v>
      </c>
      <c r="N201" s="7">
        <v>115213.79439522326</v>
      </c>
      <c r="O201" s="7">
        <v>61393.125104072853</v>
      </c>
      <c r="P201" s="7">
        <f t="shared" si="35"/>
        <v>69764.914890991873</v>
      </c>
      <c r="Q201" s="7">
        <v>0</v>
      </c>
      <c r="R201" s="7">
        <v>0</v>
      </c>
      <c r="S201" s="7">
        <f t="shared" si="36"/>
        <v>0</v>
      </c>
      <c r="T201" s="7">
        <v>5967.6259216291364</v>
      </c>
      <c r="U201" s="7">
        <f t="shared" si="34"/>
        <v>430121.74449931702</v>
      </c>
      <c r="V201" s="7">
        <f t="shared" si="37"/>
        <v>72.075855649795088</v>
      </c>
      <c r="W201" s="14" t="s">
        <v>10</v>
      </c>
      <c r="X201" s="7">
        <v>153830</v>
      </c>
      <c r="Y201" s="7">
        <v>1258181.8181818181</v>
      </c>
      <c r="Z201" s="7">
        <v>1276000</v>
      </c>
      <c r="AA201" s="7">
        <v>7099</v>
      </c>
      <c r="AB201" s="7">
        <v>4406</v>
      </c>
      <c r="AC201" s="7">
        <v>0</v>
      </c>
      <c r="AD201" s="7">
        <v>1299078</v>
      </c>
      <c r="AE201" s="7">
        <v>125000</v>
      </c>
      <c r="AF201" s="7">
        <v>12210.713885879517</v>
      </c>
      <c r="AG201" s="7">
        <f t="shared" si="32"/>
        <v>229734.85181818181</v>
      </c>
      <c r="AH201" s="1">
        <f t="shared" si="38"/>
        <v>18.814203163325892</v>
      </c>
    </row>
    <row r="202" spans="1:34" x14ac:dyDescent="0.25">
      <c r="A202" s="13" t="s">
        <v>0</v>
      </c>
      <c r="B202" s="19">
        <v>45858</v>
      </c>
      <c r="C202" s="8">
        <v>11119</v>
      </c>
      <c r="D202" s="8">
        <v>48519</v>
      </c>
      <c r="E202" s="8">
        <v>0</v>
      </c>
      <c r="F202" s="7">
        <v>0</v>
      </c>
      <c r="G202" s="8">
        <v>13122</v>
      </c>
      <c r="H202" s="8">
        <v>7625</v>
      </c>
      <c r="I202" s="8">
        <v>0</v>
      </c>
      <c r="J202" s="2">
        <v>31.04999923706055</v>
      </c>
      <c r="K202" s="23">
        <f t="shared" si="33"/>
        <v>116204.519</v>
      </c>
      <c r="L202" s="23">
        <f t="shared" si="39"/>
        <v>8.8557017985063258</v>
      </c>
      <c r="M202" s="13" t="s">
        <v>9</v>
      </c>
      <c r="N202" s="7">
        <v>111990.51711401343</v>
      </c>
      <c r="O202" s="7">
        <v>65079.96798460681</v>
      </c>
      <c r="P202" s="7">
        <f t="shared" si="35"/>
        <v>73954.509073416833</v>
      </c>
      <c r="Q202" s="7">
        <v>0</v>
      </c>
      <c r="R202" s="7">
        <v>0</v>
      </c>
      <c r="S202" s="7">
        <f t="shared" si="36"/>
        <v>0</v>
      </c>
      <c r="T202" s="7">
        <v>5546.2838339405134</v>
      </c>
      <c r="U202" s="7">
        <f t="shared" si="34"/>
        <v>450373.63861165964</v>
      </c>
      <c r="V202" s="7">
        <f t="shared" si="37"/>
        <v>81.202775064556874</v>
      </c>
      <c r="W202" s="14" t="s">
        <v>10</v>
      </c>
      <c r="X202" s="8">
        <v>145800</v>
      </c>
      <c r="Y202" s="8">
        <v>1178454.5454545454</v>
      </c>
      <c r="Z202" s="8">
        <v>1299818.1818181816</v>
      </c>
      <c r="AA202" s="8">
        <v>7155</v>
      </c>
      <c r="AB202" s="8">
        <v>4239</v>
      </c>
      <c r="AC202" s="8">
        <v>0</v>
      </c>
      <c r="AD202" s="8">
        <v>1332223.2</v>
      </c>
      <c r="AE202" s="8">
        <v>112500.00000000001</v>
      </c>
      <c r="AF202" s="8">
        <v>12400.723961639404</v>
      </c>
      <c r="AG202" s="7">
        <f t="shared" si="32"/>
        <v>223075.98436363635</v>
      </c>
      <c r="AH202" s="1">
        <f t="shared" si="38"/>
        <v>17.988948472178169</v>
      </c>
    </row>
    <row r="203" spans="1:34" x14ac:dyDescent="0.25">
      <c r="A203" s="13" t="s">
        <v>0</v>
      </c>
      <c r="B203" s="19">
        <v>45859</v>
      </c>
      <c r="C203" s="7">
        <v>12761</v>
      </c>
      <c r="D203" s="7">
        <v>45252</v>
      </c>
      <c r="E203" s="7">
        <v>4000</v>
      </c>
      <c r="F203" s="7">
        <v>0</v>
      </c>
      <c r="G203" s="7">
        <v>13096</v>
      </c>
      <c r="H203" s="7">
        <v>7523</v>
      </c>
      <c r="I203" s="7">
        <v>16666</v>
      </c>
      <c r="J203" s="2">
        <v>32.799999237060547</v>
      </c>
      <c r="K203" s="23">
        <f t="shared" si="33"/>
        <v>159627.41100000002</v>
      </c>
      <c r="L203" s="23">
        <f t="shared" si="39"/>
        <v>12.189020387904705</v>
      </c>
      <c r="M203" s="13" t="s">
        <v>9</v>
      </c>
      <c r="N203" s="7">
        <v>116650.77991747856</v>
      </c>
      <c r="O203" s="7">
        <v>71018.771283177106</v>
      </c>
      <c r="P203" s="7">
        <f t="shared" si="35"/>
        <v>80703.149185428527</v>
      </c>
      <c r="Q203" s="7">
        <v>0</v>
      </c>
      <c r="R203" s="7">
        <v>0</v>
      </c>
      <c r="S203" s="7">
        <f t="shared" si="36"/>
        <v>0</v>
      </c>
      <c r="T203" s="7">
        <v>5454.921805312355</v>
      </c>
      <c r="U203" s="7">
        <f t="shared" si="34"/>
        <v>488414.38422241097</v>
      </c>
      <c r="V203" s="7">
        <f t="shared" si="37"/>
        <v>89.536459303002573</v>
      </c>
      <c r="W203" s="14" t="s">
        <v>10</v>
      </c>
      <c r="X203" s="7">
        <v>148240</v>
      </c>
      <c r="Y203" s="7">
        <v>1126000</v>
      </c>
      <c r="Z203" s="7">
        <v>1224272.7272727273</v>
      </c>
      <c r="AA203" s="7">
        <v>5064</v>
      </c>
      <c r="AB203" s="7">
        <v>4158</v>
      </c>
      <c r="AC203" s="7">
        <v>0</v>
      </c>
      <c r="AD203" s="7">
        <v>1259196.8399999999</v>
      </c>
      <c r="AE203" s="7">
        <v>125000</v>
      </c>
      <c r="AF203" s="7">
        <v>11939.836125869751</v>
      </c>
      <c r="AG203" s="7">
        <f t="shared" si="32"/>
        <v>213294.67987272725</v>
      </c>
      <c r="AH203" s="1">
        <f t="shared" si="38"/>
        <v>17.864121217760005</v>
      </c>
    </row>
    <row r="204" spans="1:34" x14ac:dyDescent="0.25">
      <c r="A204" s="13" t="s">
        <v>0</v>
      </c>
      <c r="B204" s="19">
        <v>45860</v>
      </c>
      <c r="C204" s="7">
        <v>16612</v>
      </c>
      <c r="D204" s="7">
        <v>42361</v>
      </c>
      <c r="E204" s="7">
        <v>5000</v>
      </c>
      <c r="F204" s="7">
        <v>0</v>
      </c>
      <c r="G204" s="7">
        <v>13536</v>
      </c>
      <c r="H204" s="7">
        <v>6885</v>
      </c>
      <c r="I204" s="7">
        <v>20408</v>
      </c>
      <c r="J204" s="2">
        <v>33.099998474121087</v>
      </c>
      <c r="K204" s="23">
        <f t="shared" si="33"/>
        <v>197041.76199999999</v>
      </c>
      <c r="L204" s="23">
        <f t="shared" si="39"/>
        <v>14.556867760047281</v>
      </c>
      <c r="M204" s="13" t="s">
        <v>9</v>
      </c>
      <c r="N204" s="7">
        <v>115451.41047786176</v>
      </c>
      <c r="O204" s="7">
        <v>69068.450766140813</v>
      </c>
      <c r="P204" s="7">
        <f t="shared" si="35"/>
        <v>78486.87587061456</v>
      </c>
      <c r="Q204" s="7">
        <v>0</v>
      </c>
      <c r="R204" s="7">
        <v>0</v>
      </c>
      <c r="S204" s="7">
        <f t="shared" si="36"/>
        <v>0</v>
      </c>
      <c r="T204" s="7">
        <v>5477.4470845722353</v>
      </c>
      <c r="U204" s="7">
        <f t="shared" si="34"/>
        <v>476103.78221464471</v>
      </c>
      <c r="V204" s="7">
        <f t="shared" si="37"/>
        <v>86.920745168974335</v>
      </c>
      <c r="W204" s="14" t="s">
        <v>10</v>
      </c>
      <c r="X204" s="7">
        <v>150380</v>
      </c>
      <c r="Y204" s="7">
        <v>1095454.5454545454</v>
      </c>
      <c r="Z204" s="7">
        <v>1206454.5454545454</v>
      </c>
      <c r="AA204" s="7">
        <v>5138</v>
      </c>
      <c r="AB204" s="7">
        <v>4201</v>
      </c>
      <c r="AC204" s="7">
        <v>0</v>
      </c>
      <c r="AD204" s="7">
        <v>1224875.52</v>
      </c>
      <c r="AE204" s="7">
        <v>137500</v>
      </c>
      <c r="AF204" s="7">
        <v>11482.041588134765</v>
      </c>
      <c r="AG204" s="7">
        <f t="shared" si="32"/>
        <v>213515.63279999999</v>
      </c>
      <c r="AH204" s="1">
        <f t="shared" si="38"/>
        <v>18.595615697877399</v>
      </c>
    </row>
    <row r="205" spans="1:34" x14ac:dyDescent="0.25">
      <c r="A205" s="13" t="s">
        <v>0</v>
      </c>
      <c r="B205" s="19">
        <v>45861</v>
      </c>
      <c r="C205" s="7">
        <v>20457</v>
      </c>
      <c r="D205" s="7">
        <v>40325</v>
      </c>
      <c r="E205" s="7">
        <v>14100</v>
      </c>
      <c r="F205" s="7">
        <v>0</v>
      </c>
      <c r="G205" s="7">
        <v>13439</v>
      </c>
      <c r="H205" s="7">
        <v>4199</v>
      </c>
      <c r="I205" s="7">
        <v>56669</v>
      </c>
      <c r="J205" s="2">
        <v>33.700000762939453</v>
      </c>
      <c r="K205" s="23">
        <f t="shared" si="33"/>
        <v>299678.05700000003</v>
      </c>
      <c r="L205" s="23">
        <f t="shared" si="39"/>
        <v>22.299133640895903</v>
      </c>
      <c r="M205" s="13" t="s">
        <v>9</v>
      </c>
      <c r="N205" s="7">
        <v>113929.43326058984</v>
      </c>
      <c r="O205" s="7">
        <v>71049.271112538467</v>
      </c>
      <c r="P205" s="7">
        <f t="shared" si="35"/>
        <v>80737.80808243007</v>
      </c>
      <c r="Q205" s="7">
        <v>0</v>
      </c>
      <c r="R205" s="7">
        <v>0</v>
      </c>
      <c r="S205" s="7">
        <f t="shared" si="36"/>
        <v>0</v>
      </c>
      <c r="T205" s="7">
        <v>5560.1714139562537</v>
      </c>
      <c r="U205" s="7">
        <f t="shared" si="34"/>
        <v>487099.84538265929</v>
      </c>
      <c r="V205" s="7">
        <f t="shared" si="37"/>
        <v>87.605185005631142</v>
      </c>
      <c r="W205" s="14" t="s">
        <v>10</v>
      </c>
      <c r="X205" s="7">
        <v>146640</v>
      </c>
      <c r="Y205" s="7">
        <v>1032090.9090909091</v>
      </c>
      <c r="Z205" s="7">
        <v>1127818.1818181819</v>
      </c>
      <c r="AA205" s="7">
        <v>4892</v>
      </c>
      <c r="AB205" s="7">
        <v>4031</v>
      </c>
      <c r="AC205" s="7">
        <v>0</v>
      </c>
      <c r="AD205" s="7">
        <v>1155163.6800000002</v>
      </c>
      <c r="AE205" s="7">
        <v>100000</v>
      </c>
      <c r="AF205" s="7">
        <v>10752.093111305237</v>
      </c>
      <c r="AG205" s="7">
        <f t="shared" si="32"/>
        <v>202815.22792727273</v>
      </c>
      <c r="AH205" s="1">
        <f t="shared" si="38"/>
        <v>18.862860080147893</v>
      </c>
    </row>
    <row r="206" spans="1:34" x14ac:dyDescent="0.25">
      <c r="A206" s="13" t="s">
        <v>0</v>
      </c>
      <c r="B206" s="19">
        <v>45862</v>
      </c>
      <c r="C206" s="7">
        <v>17630</v>
      </c>
      <c r="D206" s="7">
        <v>44770</v>
      </c>
      <c r="E206" s="7">
        <v>40000</v>
      </c>
      <c r="F206" s="7">
        <v>0</v>
      </c>
      <c r="G206" s="7">
        <v>19225</v>
      </c>
      <c r="H206" s="7">
        <v>8217</v>
      </c>
      <c r="I206" s="7">
        <v>163265</v>
      </c>
      <c r="J206" s="2">
        <v>40.650001525878913</v>
      </c>
      <c r="K206" s="23">
        <f t="shared" si="33"/>
        <v>486562.63</v>
      </c>
      <c r="L206" s="23">
        <f t="shared" si="39"/>
        <v>25.308849414824447</v>
      </c>
      <c r="M206" s="13" t="s">
        <v>9</v>
      </c>
      <c r="N206" s="7">
        <v>113709.57864281535</v>
      </c>
      <c r="O206" s="7">
        <v>65598.921790555323</v>
      </c>
      <c r="P206" s="7">
        <f t="shared" si="35"/>
        <v>74544.229307449234</v>
      </c>
      <c r="Q206" s="7">
        <v>0</v>
      </c>
      <c r="R206" s="7">
        <v>0</v>
      </c>
      <c r="S206" s="7">
        <f t="shared" si="36"/>
        <v>0</v>
      </c>
      <c r="T206" s="7">
        <v>4502.0007571572314</v>
      </c>
      <c r="U206" s="7">
        <f t="shared" si="34"/>
        <v>454419.28172280907</v>
      </c>
      <c r="V206" s="7">
        <f t="shared" si="37"/>
        <v>100.93718465070853</v>
      </c>
      <c r="W206" s="14" t="s">
        <v>10</v>
      </c>
      <c r="X206" s="7">
        <v>137800</v>
      </c>
      <c r="Y206" s="7">
        <v>1011545.4545454546</v>
      </c>
      <c r="Z206" s="7">
        <v>1112636.3636363635</v>
      </c>
      <c r="AA206" s="7">
        <v>6121</v>
      </c>
      <c r="AB206" s="7">
        <v>4001</v>
      </c>
      <c r="AC206" s="7">
        <v>0</v>
      </c>
      <c r="AD206" s="7">
        <v>1132710.48</v>
      </c>
      <c r="AE206" s="7">
        <v>99999.999999999985</v>
      </c>
      <c r="AF206" s="7">
        <v>10643.469732055664</v>
      </c>
      <c r="AG206" s="7">
        <f t="shared" si="32"/>
        <v>200082.06629090908</v>
      </c>
      <c r="AH206" s="1">
        <f t="shared" si="38"/>
        <v>18.798575213523488</v>
      </c>
    </row>
    <row r="207" spans="1:34" x14ac:dyDescent="0.25">
      <c r="A207" s="13" t="s">
        <v>0</v>
      </c>
      <c r="B207" s="19">
        <v>45863</v>
      </c>
      <c r="C207" s="8">
        <v>15276</v>
      </c>
      <c r="D207" s="8">
        <v>49259</v>
      </c>
      <c r="E207" s="8">
        <v>10200</v>
      </c>
      <c r="F207" s="7">
        <v>0</v>
      </c>
      <c r="G207" s="8">
        <v>17531</v>
      </c>
      <c r="H207" s="8">
        <v>11431</v>
      </c>
      <c r="I207" s="8">
        <v>42500</v>
      </c>
      <c r="J207" s="2">
        <v>36.700000762939453</v>
      </c>
      <c r="K207" s="23">
        <f t="shared" si="33"/>
        <v>231679.52600000001</v>
      </c>
      <c r="L207" s="23">
        <f t="shared" si="39"/>
        <v>13.215419884775541</v>
      </c>
      <c r="M207" s="13" t="s">
        <v>9</v>
      </c>
      <c r="N207" s="7">
        <v>120000</v>
      </c>
      <c r="O207" s="7">
        <v>72300</v>
      </c>
      <c r="P207" s="7">
        <f t="shared" si="35"/>
        <v>82159.090909090912</v>
      </c>
      <c r="Q207" s="7">
        <v>0</v>
      </c>
      <c r="R207" s="7">
        <v>0</v>
      </c>
      <c r="S207" s="7">
        <f t="shared" si="36"/>
        <v>0</v>
      </c>
      <c r="T207" s="7">
        <v>5640</v>
      </c>
      <c r="U207" s="7">
        <f t="shared" si="34"/>
        <v>497910.34090909088</v>
      </c>
      <c r="V207" s="7">
        <f t="shared" si="37"/>
        <v>88.281975338491293</v>
      </c>
      <c r="W207" s="14" t="s">
        <v>10</v>
      </c>
      <c r="X207" s="8">
        <v>151510</v>
      </c>
      <c r="Y207" s="8">
        <v>1030090.9090909092</v>
      </c>
      <c r="Z207" s="8">
        <v>1126454.5454545454</v>
      </c>
      <c r="AA207" s="8">
        <v>5134</v>
      </c>
      <c r="AB207" s="8">
        <v>3713</v>
      </c>
      <c r="AC207" s="8">
        <v>0</v>
      </c>
      <c r="AD207" s="8">
        <v>1160295.8400000001</v>
      </c>
      <c r="AE207" s="8">
        <v>87500</v>
      </c>
      <c r="AF207" s="8">
        <v>10854.47305606842</v>
      </c>
      <c r="AG207" s="7">
        <f t="shared" si="32"/>
        <v>204043.57396363636</v>
      </c>
      <c r="AH207" s="1">
        <f t="shared" si="38"/>
        <v>18.798109582073312</v>
      </c>
    </row>
    <row r="208" spans="1:34" x14ac:dyDescent="0.25">
      <c r="A208" s="13" t="s">
        <v>0</v>
      </c>
      <c r="B208" s="19">
        <v>45864</v>
      </c>
      <c r="C208" s="7">
        <v>15751</v>
      </c>
      <c r="D208" s="7">
        <v>49468</v>
      </c>
      <c r="E208" s="7">
        <v>5000</v>
      </c>
      <c r="F208" s="7">
        <v>0</v>
      </c>
      <c r="G208" s="7">
        <v>17861</v>
      </c>
      <c r="H208" s="7">
        <v>15957</v>
      </c>
      <c r="I208" s="7">
        <v>20000</v>
      </c>
      <c r="J208" s="2">
        <v>39.299999237060547</v>
      </c>
      <c r="K208" s="23">
        <f t="shared" si="33"/>
        <v>194018.701</v>
      </c>
      <c r="L208" s="23">
        <f t="shared" si="39"/>
        <v>10.862700912602877</v>
      </c>
      <c r="M208" s="13" t="s">
        <v>9</v>
      </c>
      <c r="N208" s="7">
        <v>108275.54944472015</v>
      </c>
      <c r="O208" s="7">
        <v>57313.805613516248</v>
      </c>
      <c r="P208" s="7">
        <f t="shared" si="35"/>
        <v>65129.324560813919</v>
      </c>
      <c r="Q208" s="7">
        <v>0</v>
      </c>
      <c r="R208" s="7">
        <v>0</v>
      </c>
      <c r="S208" s="7">
        <f t="shared" si="36"/>
        <v>0</v>
      </c>
      <c r="T208" s="7">
        <v>4508.8477698363786</v>
      </c>
      <c r="U208" s="7">
        <f t="shared" si="34"/>
        <v>401936.41141079483</v>
      </c>
      <c r="V208" s="7">
        <f t="shared" si="37"/>
        <v>89.143930318450444</v>
      </c>
      <c r="W208" s="14" t="s">
        <v>10</v>
      </c>
      <c r="X208" s="7">
        <v>129550</v>
      </c>
      <c r="Y208" s="7">
        <v>894727.27272727271</v>
      </c>
      <c r="Z208" s="7">
        <v>975727.27272727282</v>
      </c>
      <c r="AA208" s="7">
        <v>3358</v>
      </c>
      <c r="AB208" s="7">
        <v>4289</v>
      </c>
      <c r="AC208" s="7">
        <v>0</v>
      </c>
      <c r="AD208" s="7">
        <v>987833.88</v>
      </c>
      <c r="AE208" s="7">
        <v>75000</v>
      </c>
      <c r="AF208" s="7">
        <v>9406.0750000000007</v>
      </c>
      <c r="AG208" s="7">
        <f t="shared" si="32"/>
        <v>177687.00820000001</v>
      </c>
      <c r="AH208" s="1">
        <f t="shared" si="38"/>
        <v>18.89066461834506</v>
      </c>
    </row>
    <row r="209" spans="1:34" x14ac:dyDescent="0.25">
      <c r="A209" s="13" t="s">
        <v>0</v>
      </c>
      <c r="B209" s="19">
        <v>45865</v>
      </c>
      <c r="C209" s="7">
        <v>11547</v>
      </c>
      <c r="D209" s="7">
        <v>49268</v>
      </c>
      <c r="E209" s="7">
        <v>0</v>
      </c>
      <c r="F209" s="7">
        <v>0</v>
      </c>
      <c r="G209" s="7">
        <v>12874</v>
      </c>
      <c r="H209" s="7">
        <v>13876</v>
      </c>
      <c r="I209" s="7">
        <v>0</v>
      </c>
      <c r="J209" s="2">
        <v>36.900001525878913</v>
      </c>
      <c r="K209" s="23">
        <f t="shared" si="33"/>
        <v>120062.29699999999</v>
      </c>
      <c r="L209" s="23">
        <f t="shared" si="39"/>
        <v>9.32595129718813</v>
      </c>
      <c r="M209" s="13" t="s">
        <v>9</v>
      </c>
      <c r="N209" s="7">
        <v>114422.94033016264</v>
      </c>
      <c r="O209" s="7">
        <v>71022.946201162544</v>
      </c>
      <c r="P209" s="7">
        <f t="shared" si="35"/>
        <v>80707.893410411983</v>
      </c>
      <c r="Q209" s="7">
        <v>0</v>
      </c>
      <c r="R209" s="7">
        <v>0</v>
      </c>
      <c r="S209" s="7">
        <f t="shared" si="36"/>
        <v>0</v>
      </c>
      <c r="T209" s="7">
        <v>5707.5727802933106</v>
      </c>
      <c r="U209" s="7">
        <f t="shared" si="34"/>
        <v>487214.01284012524</v>
      </c>
      <c r="V209" s="7">
        <f t="shared" si="37"/>
        <v>85.362733265941372</v>
      </c>
      <c r="W209" s="14" t="s">
        <v>10</v>
      </c>
      <c r="X209" s="7">
        <v>153430</v>
      </c>
      <c r="Y209" s="7">
        <v>1101636.3636363638</v>
      </c>
      <c r="Z209" s="7">
        <v>1195090.9090909092</v>
      </c>
      <c r="AA209" s="7">
        <v>5584</v>
      </c>
      <c r="AB209" s="7">
        <v>3980</v>
      </c>
      <c r="AC209" s="7">
        <v>0</v>
      </c>
      <c r="AD209" s="7">
        <v>1206912.96</v>
      </c>
      <c r="AE209" s="7">
        <v>125000</v>
      </c>
      <c r="AF209" s="7">
        <v>11405.438940925598</v>
      </c>
      <c r="AG209" s="7">
        <f t="shared" si="32"/>
        <v>214406.73985454548</v>
      </c>
      <c r="AH209" s="1">
        <f t="shared" si="38"/>
        <v>18.79863992653539</v>
      </c>
    </row>
    <row r="210" spans="1:34" x14ac:dyDescent="0.25">
      <c r="A210" s="13" t="s">
        <v>0</v>
      </c>
      <c r="B210" s="19">
        <v>45866</v>
      </c>
      <c r="C210" s="7">
        <v>13551</v>
      </c>
      <c r="D210" s="7">
        <v>45728</v>
      </c>
      <c r="E210" s="7">
        <v>28000</v>
      </c>
      <c r="F210" s="7">
        <v>0</v>
      </c>
      <c r="G210" s="25">
        <v>7545.5</v>
      </c>
      <c r="H210" s="7">
        <v>9620</v>
      </c>
      <c r="I210" s="7">
        <v>112000</v>
      </c>
      <c r="J210" s="2">
        <v>36.200000762939453</v>
      </c>
      <c r="K210" s="23">
        <f t="shared" si="33"/>
        <v>358249.50099999999</v>
      </c>
      <c r="L210" s="23">
        <f t="shared" si="39"/>
        <v>47.478563514677624</v>
      </c>
      <c r="M210" s="13" t="s">
        <v>9</v>
      </c>
      <c r="N210" s="7">
        <v>114955.46625097096</v>
      </c>
      <c r="O210" s="7">
        <v>66139.016393696234</v>
      </c>
      <c r="P210" s="7">
        <f t="shared" si="35"/>
        <v>75157.973174654806</v>
      </c>
      <c r="Q210" s="7">
        <v>0</v>
      </c>
      <c r="R210" s="7">
        <v>0</v>
      </c>
      <c r="S210" s="7">
        <f t="shared" si="36"/>
        <v>0</v>
      </c>
      <c r="T210" s="7">
        <v>5230.8068447992991</v>
      </c>
      <c r="U210" s="7">
        <f t="shared" si="34"/>
        <v>458330.97141719435</v>
      </c>
      <c r="V210" s="7">
        <f t="shared" si="37"/>
        <v>87.621467398072127</v>
      </c>
      <c r="W210" s="14" t="s">
        <v>10</v>
      </c>
      <c r="X210" s="7">
        <v>136620</v>
      </c>
      <c r="Y210" s="7">
        <v>907090.90909090906</v>
      </c>
      <c r="Z210" s="7">
        <v>982636.36363636353</v>
      </c>
      <c r="AA210" s="7">
        <v>5309</v>
      </c>
      <c r="AB210" s="7">
        <v>4185</v>
      </c>
      <c r="AC210" s="7">
        <v>0</v>
      </c>
      <c r="AD210" s="7">
        <v>990506.88000000012</v>
      </c>
      <c r="AE210" s="7">
        <v>125000</v>
      </c>
      <c r="AF210" s="7">
        <v>9420.1044778442374</v>
      </c>
      <c r="AG210" s="7">
        <f t="shared" si="32"/>
        <v>189772.05774545454</v>
      </c>
      <c r="AH210" s="1">
        <f t="shared" si="38"/>
        <v>20.145430254175196</v>
      </c>
    </row>
    <row r="211" spans="1:34" x14ac:dyDescent="0.25">
      <c r="A211" s="13" t="s">
        <v>0</v>
      </c>
      <c r="B211" s="19">
        <v>45867</v>
      </c>
      <c r="C211" s="7">
        <v>13112</v>
      </c>
      <c r="D211" s="7">
        <v>45001</v>
      </c>
      <c r="E211" s="7">
        <v>0</v>
      </c>
      <c r="F211" s="7">
        <v>0</v>
      </c>
      <c r="G211" s="7">
        <v>2217</v>
      </c>
      <c r="H211" s="7">
        <v>12014</v>
      </c>
      <c r="I211" s="7">
        <v>0</v>
      </c>
      <c r="J211" s="2">
        <v>37.25</v>
      </c>
      <c r="K211" s="23">
        <f t="shared" si="33"/>
        <v>130315.262</v>
      </c>
      <c r="L211" s="23">
        <f t="shared" si="39"/>
        <v>58.78000090211998</v>
      </c>
      <c r="M211" s="13" t="s">
        <v>9</v>
      </c>
      <c r="N211" s="7">
        <v>116114.11237490177</v>
      </c>
      <c r="O211" s="7">
        <v>67721.23952540505</v>
      </c>
      <c r="P211" s="7">
        <f t="shared" si="35"/>
        <v>76955.954006142099</v>
      </c>
      <c r="Q211" s="7">
        <v>0</v>
      </c>
      <c r="R211" s="7">
        <v>0</v>
      </c>
      <c r="S211" s="7">
        <f t="shared" si="36"/>
        <v>0</v>
      </c>
      <c r="T211" s="7">
        <v>5703.5185058719944</v>
      </c>
      <c r="U211" s="7">
        <f t="shared" si="34"/>
        <v>468420.21201648493</v>
      </c>
      <c r="V211" s="7">
        <f t="shared" si="37"/>
        <v>82.128288272270538</v>
      </c>
      <c r="W211" s="14" t="s">
        <v>10</v>
      </c>
      <c r="X211" s="7">
        <v>149820</v>
      </c>
      <c r="Y211" s="7">
        <v>1033727.2727272727</v>
      </c>
      <c r="Z211" s="7">
        <v>1122272.7272727273</v>
      </c>
      <c r="AA211" s="7">
        <v>5758</v>
      </c>
      <c r="AB211" s="7">
        <v>4335</v>
      </c>
      <c r="AC211" s="7">
        <v>0</v>
      </c>
      <c r="AD211" s="7">
        <v>1132175.8799999999</v>
      </c>
      <c r="AE211" s="7">
        <v>100000</v>
      </c>
      <c r="AF211" s="7">
        <v>10587.25757932663</v>
      </c>
      <c r="AG211" s="7">
        <f t="shared" si="32"/>
        <v>208206.59274545452</v>
      </c>
      <c r="AH211" s="1">
        <f t="shared" si="38"/>
        <v>19.665771913589058</v>
      </c>
    </row>
    <row r="212" spans="1:34" x14ac:dyDescent="0.25">
      <c r="A212" s="13" t="s">
        <v>0</v>
      </c>
      <c r="B212" s="19">
        <v>45868</v>
      </c>
      <c r="C212" s="7">
        <v>10996</v>
      </c>
      <c r="D212" s="7">
        <v>41493</v>
      </c>
      <c r="E212" s="7">
        <v>0</v>
      </c>
      <c r="F212" s="7">
        <v>0</v>
      </c>
      <c r="G212" s="7">
        <v>5581.5</v>
      </c>
      <c r="H212" s="7">
        <v>12696</v>
      </c>
      <c r="I212" s="7">
        <v>0</v>
      </c>
      <c r="J212" s="2">
        <v>38.25</v>
      </c>
      <c r="K212" s="23">
        <f t="shared" si="33"/>
        <v>111349.946</v>
      </c>
      <c r="L212" s="23">
        <f t="shared" si="39"/>
        <v>19.949824599122099</v>
      </c>
      <c r="M212" s="13" t="s">
        <v>9</v>
      </c>
      <c r="N212" s="7">
        <v>115709.26008401811</v>
      </c>
      <c r="O212" s="7">
        <v>72056.183952734951</v>
      </c>
      <c r="P212" s="7">
        <f t="shared" si="35"/>
        <v>81882.027219016993</v>
      </c>
      <c r="Q212" s="7">
        <v>0</v>
      </c>
      <c r="R212" s="7">
        <v>0</v>
      </c>
      <c r="S212" s="7">
        <f t="shared" si="36"/>
        <v>0</v>
      </c>
      <c r="T212" s="7">
        <v>5881.4185946277939</v>
      </c>
      <c r="U212" s="7">
        <f t="shared" si="34"/>
        <v>494093.91013658227</v>
      </c>
      <c r="V212" s="7">
        <f t="shared" si="37"/>
        <v>84.009308670513192</v>
      </c>
      <c r="W212" s="14" t="s">
        <v>10</v>
      </c>
      <c r="X212" s="8">
        <v>150240</v>
      </c>
      <c r="Y212" s="8">
        <v>1115454.5454545454</v>
      </c>
      <c r="Z212" s="8">
        <v>1213363.6363636362</v>
      </c>
      <c r="AA212" s="8">
        <v>5221</v>
      </c>
      <c r="AB212" s="8">
        <v>4274</v>
      </c>
      <c r="AC212" s="8">
        <v>0</v>
      </c>
      <c r="AD212" s="8">
        <v>1221240.24</v>
      </c>
      <c r="AE212" s="8">
        <v>100000</v>
      </c>
      <c r="AF212" s="8">
        <v>11648.604120178223</v>
      </c>
      <c r="AG212" s="7">
        <f t="shared" si="32"/>
        <v>213101.69450909091</v>
      </c>
      <c r="AH212" s="1">
        <f t="shared" si="38"/>
        <v>18.294182917586394</v>
      </c>
    </row>
    <row r="213" spans="1:34" x14ac:dyDescent="0.25">
      <c r="A213" s="13" t="s">
        <v>0</v>
      </c>
      <c r="B213" s="19">
        <v>45869</v>
      </c>
      <c r="C213" s="7">
        <v>14214</v>
      </c>
      <c r="D213" s="7">
        <v>39366</v>
      </c>
      <c r="E213" s="7">
        <v>0</v>
      </c>
      <c r="F213" s="7">
        <v>0</v>
      </c>
      <c r="G213" s="7">
        <v>8946</v>
      </c>
      <c r="H213" s="7">
        <v>13755</v>
      </c>
      <c r="I213" s="7">
        <v>0</v>
      </c>
      <c r="J213" s="2">
        <v>38.799999237060547</v>
      </c>
      <c r="K213" s="23">
        <f t="shared" si="33"/>
        <v>136088.21400000001</v>
      </c>
      <c r="L213" s="23">
        <f t="shared" si="39"/>
        <v>15.212185781354796</v>
      </c>
      <c r="M213" s="13" t="s">
        <v>9</v>
      </c>
      <c r="N213" s="7">
        <v>116590.96184976399</v>
      </c>
      <c r="O213" s="7">
        <v>71731.548033229046</v>
      </c>
      <c r="P213" s="7">
        <f t="shared" si="35"/>
        <v>81513.122765033011</v>
      </c>
      <c r="Q213" s="7">
        <v>0</v>
      </c>
      <c r="R213" s="7">
        <v>0</v>
      </c>
      <c r="S213" s="7">
        <f t="shared" si="36"/>
        <v>0</v>
      </c>
      <c r="T213" s="7">
        <v>5852.4374652108818</v>
      </c>
      <c r="U213" s="7">
        <f t="shared" si="34"/>
        <v>492639.5153931487</v>
      </c>
      <c r="V213" s="7">
        <f t="shared" si="37"/>
        <v>84.176809803024071</v>
      </c>
      <c r="W213" s="14" t="s">
        <v>10</v>
      </c>
      <c r="X213" s="7">
        <v>140760</v>
      </c>
      <c r="Y213" s="7">
        <v>1040181.8181818181</v>
      </c>
      <c r="Z213" s="7">
        <v>1126090.9090909092</v>
      </c>
      <c r="AA213" s="7">
        <v>5448</v>
      </c>
      <c r="AB213" s="7">
        <v>3874</v>
      </c>
      <c r="AC213" s="7">
        <v>0</v>
      </c>
      <c r="AD213" s="7">
        <v>1144150.92</v>
      </c>
      <c r="AE213" s="7">
        <v>87500</v>
      </c>
      <c r="AF213" s="7">
        <v>10770.739166793823</v>
      </c>
      <c r="AG213" s="7">
        <f>X213*0.55+Y213*0.0285+Z213*0.032+AA213*3+AB213*5+AD213*0.015+AE213*0.045</f>
        <v>199911.8547090909</v>
      </c>
      <c r="AH213" s="1">
        <f t="shared" si="38"/>
        <v>18.560643945906602</v>
      </c>
    </row>
    <row r="214" spans="1:34" x14ac:dyDescent="0.25">
      <c r="A214" s="13" t="s">
        <v>0</v>
      </c>
      <c r="B214" s="19">
        <v>45870</v>
      </c>
      <c r="C214" s="7">
        <v>8379.3600621051901</v>
      </c>
      <c r="D214" s="7">
        <v>35865.01884011615</v>
      </c>
      <c r="E214" s="7">
        <v>32125.213988750304</v>
      </c>
      <c r="F214" s="7">
        <v>0</v>
      </c>
      <c r="G214" s="7">
        <v>11018.819253887097</v>
      </c>
      <c r="H214" s="7">
        <v>11512.613213627474</v>
      </c>
      <c r="I214" s="7">
        <v>75000</v>
      </c>
      <c r="J214" s="2">
        <v>36.599998474121087</v>
      </c>
      <c r="K214" s="23">
        <f>C214*8.001+D214*0.54+E214*8+F214*5</f>
        <v>343412.08194056875</v>
      </c>
      <c r="L214" s="23">
        <f t="shared" si="39"/>
        <v>31.165960165779435</v>
      </c>
      <c r="M214" s="13" t="s">
        <v>9</v>
      </c>
      <c r="N214" s="7">
        <v>114893.8759637326</v>
      </c>
      <c r="O214" s="7">
        <v>66858.222771795234</v>
      </c>
      <c r="P214" s="7">
        <f t="shared" si="35"/>
        <v>75975.253149767304</v>
      </c>
      <c r="Q214" s="7">
        <v>0</v>
      </c>
      <c r="R214" s="7">
        <v>0</v>
      </c>
      <c r="S214" s="7">
        <f t="shared" si="36"/>
        <v>0</v>
      </c>
      <c r="T214" s="7">
        <v>6458.6360476719492</v>
      </c>
      <c r="U214" s="7">
        <f>N214*0.54+P214*4.985+Q214*4.12+S214*8.92</f>
        <v>440779.32997200562</v>
      </c>
      <c r="V214" s="7">
        <f t="shared" si="37"/>
        <v>68.246503862202758</v>
      </c>
      <c r="W214" s="14" t="s">
        <v>10</v>
      </c>
      <c r="X214" s="7">
        <v>140990</v>
      </c>
      <c r="Y214" s="7">
        <v>977999.99999999988</v>
      </c>
      <c r="Z214" s="7">
        <v>1054636.3636363638</v>
      </c>
      <c r="AA214" s="7">
        <v>6201</v>
      </c>
      <c r="AB214" s="7">
        <v>3696</v>
      </c>
      <c r="AC214" s="7">
        <v>0</v>
      </c>
      <c r="AD214" s="7">
        <v>1064709.3599999999</v>
      </c>
      <c r="AE214" s="7">
        <v>62500</v>
      </c>
      <c r="AF214" s="7">
        <v>10149.024516448975</v>
      </c>
      <c r="AG214" s="7">
        <f>X214*0.5+Y214*0.0285+Z214*0.032+AA214*3+AB214*5+AD214*0.015+AE214*0.045</f>
        <v>187982.50403636365</v>
      </c>
      <c r="AH214" s="1">
        <f t="shared" si="38"/>
        <v>18.52222385823308</v>
      </c>
    </row>
    <row r="215" spans="1:34" x14ac:dyDescent="0.25">
      <c r="A215" s="13" t="s">
        <v>0</v>
      </c>
      <c r="B215" s="19">
        <v>45871</v>
      </c>
      <c r="C215" s="7">
        <v>5579.6071275571003</v>
      </c>
      <c r="D215" s="7">
        <v>29220.212734186436</v>
      </c>
      <c r="E215" s="7">
        <v>22086.084617265835</v>
      </c>
      <c r="F215" s="7">
        <v>0</v>
      </c>
      <c r="G215" s="7">
        <v>11125.496785829326</v>
      </c>
      <c r="H215" s="7">
        <v>5964.6300840127096</v>
      </c>
      <c r="I215" s="7">
        <v>68000</v>
      </c>
      <c r="J215" s="2">
        <v>32.450000762939453</v>
      </c>
      <c r="K215" s="23">
        <f t="shared" ref="K215:K244" si="40">C215*8.001+D215*0.54+E215*8+F215*5</f>
        <v>237110.02844217169</v>
      </c>
      <c r="L215" s="23">
        <f t="shared" si="39"/>
        <v>21.312309284398111</v>
      </c>
      <c r="M215" s="13" t="s">
        <v>9</v>
      </c>
      <c r="N215" s="7">
        <v>112651.91015963256</v>
      </c>
      <c r="O215" s="7">
        <v>48929.521169094187</v>
      </c>
      <c r="P215" s="7">
        <f t="shared" si="35"/>
        <v>55601.728601243391</v>
      </c>
      <c r="Q215" s="7">
        <v>0</v>
      </c>
      <c r="R215" s="7">
        <v>0</v>
      </c>
      <c r="S215" s="7">
        <f t="shared" si="36"/>
        <v>0</v>
      </c>
      <c r="T215" s="7">
        <v>4624.9470890858211</v>
      </c>
      <c r="U215" s="7">
        <f t="shared" ref="U215:U244" si="41">N215*0.54+P215*4.985+Q215*4.12+S215*8.92</f>
        <v>338006.64856339991</v>
      </c>
      <c r="V215" s="7">
        <f t="shared" si="37"/>
        <v>73.083354696326083</v>
      </c>
      <c r="W215" s="14" t="s">
        <v>10</v>
      </c>
      <c r="X215" s="7">
        <v>151850</v>
      </c>
      <c r="Y215" s="7">
        <v>1175727.2727272727</v>
      </c>
      <c r="Z215" s="7">
        <v>1272818.1818181816</v>
      </c>
      <c r="AA215" s="7">
        <v>7936</v>
      </c>
      <c r="AB215" s="7">
        <v>3813</v>
      </c>
      <c r="AC215" s="7">
        <v>0</v>
      </c>
      <c r="AD215" s="7">
        <v>1283040</v>
      </c>
      <c r="AE215" s="7">
        <v>87500</v>
      </c>
      <c r="AF215" s="7">
        <v>12068.594999999999</v>
      </c>
      <c r="AG215" s="7">
        <f t="shared" ref="AG215:AG274" si="42">X215*0.54+Y215*0.0285+Z215*0.032+AA215*3+AB215*5+AD215*0.015+AE215*0.045</f>
        <v>222293.50909090909</v>
      </c>
      <c r="AH215" s="1">
        <f t="shared" si="38"/>
        <v>18.419170507495622</v>
      </c>
    </row>
    <row r="216" spans="1:34" x14ac:dyDescent="0.25">
      <c r="A216" s="13" t="s">
        <v>0</v>
      </c>
      <c r="B216" s="19">
        <v>45872</v>
      </c>
      <c r="C216" s="7">
        <v>6004.4452594163877</v>
      </c>
      <c r="D216" s="7">
        <v>33983.121398924312</v>
      </c>
      <c r="E216" s="7">
        <v>0</v>
      </c>
      <c r="F216" s="7">
        <v>0</v>
      </c>
      <c r="G216" s="7">
        <v>11868.360326445198</v>
      </c>
      <c r="H216" s="7">
        <v>8785.8162123045277</v>
      </c>
      <c r="I216" s="7">
        <v>0</v>
      </c>
      <c r="J216" s="2">
        <v>35.75</v>
      </c>
      <c r="K216" s="23">
        <f t="shared" si="40"/>
        <v>66392.452076009649</v>
      </c>
      <c r="L216" s="23">
        <f t="shared" si="39"/>
        <v>5.5940711479810172</v>
      </c>
      <c r="M216" s="13" t="s">
        <v>9</v>
      </c>
      <c r="N216" s="7">
        <v>112749.35436782241</v>
      </c>
      <c r="O216" s="7">
        <v>57273.291056614195</v>
      </c>
      <c r="P216" s="7">
        <f t="shared" si="35"/>
        <v>65083.285291607041</v>
      </c>
      <c r="Q216" s="7">
        <v>0</v>
      </c>
      <c r="R216" s="7">
        <v>0</v>
      </c>
      <c r="S216" s="7">
        <f t="shared" si="36"/>
        <v>0</v>
      </c>
      <c r="T216" s="7">
        <v>5177.0564883293118</v>
      </c>
      <c r="U216" s="7">
        <f t="shared" si="41"/>
        <v>385324.82853728521</v>
      </c>
      <c r="V216" s="7">
        <f t="shared" si="37"/>
        <v>74.429326665823851</v>
      </c>
      <c r="W216" s="14" t="s">
        <v>10</v>
      </c>
      <c r="X216" s="7">
        <v>159390</v>
      </c>
      <c r="Y216" s="7">
        <v>1114363.6363636365</v>
      </c>
      <c r="Z216" s="7">
        <v>1208181.8181818181</v>
      </c>
      <c r="AA216" s="7">
        <v>6080</v>
      </c>
      <c r="AB216" s="7">
        <v>3820</v>
      </c>
      <c r="AC216" s="7">
        <v>0</v>
      </c>
      <c r="AD216" s="7">
        <v>1224020.1600000001</v>
      </c>
      <c r="AE216" s="7">
        <v>112500</v>
      </c>
      <c r="AF216" s="7">
        <v>11734.894312152863</v>
      </c>
      <c r="AG216" s="7">
        <f t="shared" si="42"/>
        <v>217254.58421818184</v>
      </c>
      <c r="AH216" s="1">
        <f t="shared" si="38"/>
        <v>18.513552694990118</v>
      </c>
    </row>
    <row r="217" spans="1:34" x14ac:dyDescent="0.25">
      <c r="A217" s="13" t="s">
        <v>0</v>
      </c>
      <c r="B217" s="19">
        <v>45873</v>
      </c>
      <c r="C217" s="7">
        <v>7707.7775351613518</v>
      </c>
      <c r="D217" s="7">
        <v>27691.723263171469</v>
      </c>
      <c r="E217" s="7">
        <v>32125.213988750304</v>
      </c>
      <c r="F217" s="7">
        <v>0</v>
      </c>
      <c r="G217" s="7">
        <v>12128.26558608626</v>
      </c>
      <c r="H217" s="7">
        <v>6660.6307172175184</v>
      </c>
      <c r="I217" s="7">
        <v>70000</v>
      </c>
      <c r="J217" s="2">
        <v>38.25</v>
      </c>
      <c r="K217" s="23">
        <f t="shared" si="40"/>
        <v>333625.17053094099</v>
      </c>
      <c r="L217" s="23">
        <f t="shared" si="39"/>
        <v>27.508069324741793</v>
      </c>
      <c r="M217" s="13" t="s">
        <v>9</v>
      </c>
      <c r="N217" s="7">
        <v>112639.39211836457</v>
      </c>
      <c r="O217" s="7">
        <v>59254.664089257858</v>
      </c>
      <c r="P217" s="7">
        <f t="shared" si="35"/>
        <v>67334.84555597484</v>
      </c>
      <c r="Q217" s="7">
        <v>0</v>
      </c>
      <c r="R217" s="7">
        <v>0</v>
      </c>
      <c r="S217" s="7">
        <f t="shared" si="36"/>
        <v>0</v>
      </c>
      <c r="T217" s="7">
        <v>6163.7422528376337</v>
      </c>
      <c r="U217" s="7">
        <f t="shared" si="41"/>
        <v>396489.47684045142</v>
      </c>
      <c r="V217" s="7">
        <f t="shared" si="37"/>
        <v>64.326096156586942</v>
      </c>
      <c r="W217" s="14" t="s">
        <v>10</v>
      </c>
      <c r="X217" s="7">
        <v>147910</v>
      </c>
      <c r="Y217" s="7">
        <v>1053636.3636363635</v>
      </c>
      <c r="Z217" s="7">
        <v>1152909.0909090908</v>
      </c>
      <c r="AA217" s="7">
        <v>5484</v>
      </c>
      <c r="AB217" s="7">
        <v>3998</v>
      </c>
      <c r="AC217" s="7">
        <v>0</v>
      </c>
      <c r="AD217" s="7">
        <v>1162541.1599999999</v>
      </c>
      <c r="AE217" s="7">
        <v>112500</v>
      </c>
      <c r="AF217" s="7">
        <v>11127.076931381225</v>
      </c>
      <c r="AG217" s="7">
        <f t="shared" si="42"/>
        <v>205735.74467272728</v>
      </c>
      <c r="AH217" s="1">
        <f t="shared" si="38"/>
        <v>18.489648803676321</v>
      </c>
    </row>
    <row r="218" spans="1:34" x14ac:dyDescent="0.25">
      <c r="A218" s="13" t="s">
        <v>0</v>
      </c>
      <c r="B218" s="19">
        <v>45874</v>
      </c>
      <c r="C218" s="8">
        <v>14188.797654438626</v>
      </c>
      <c r="D218" s="8">
        <v>28769.617572210926</v>
      </c>
      <c r="E218" s="8">
        <v>14456.346294937639</v>
      </c>
      <c r="F218" s="7">
        <v>0</v>
      </c>
      <c r="G218" s="8">
        <v>12608.314479826278</v>
      </c>
      <c r="H218" s="8">
        <v>3844.211716550391</v>
      </c>
      <c r="I218" s="8">
        <v>73469</v>
      </c>
      <c r="J218" s="2">
        <v>41.650001525878913</v>
      </c>
      <c r="K218" s="23">
        <f t="shared" si="40"/>
        <v>244710.93388165842</v>
      </c>
      <c r="L218" s="23">
        <f t="shared" si="39"/>
        <v>19.408695291761958</v>
      </c>
      <c r="M218" s="13" t="s">
        <v>9</v>
      </c>
      <c r="N218" s="7">
        <v>101473.71419757605</v>
      </c>
      <c r="O218" s="7">
        <v>41886.807544643489</v>
      </c>
      <c r="P218" s="7">
        <f t="shared" si="35"/>
        <v>47598.644937094876</v>
      </c>
      <c r="Q218" s="7">
        <v>0</v>
      </c>
      <c r="R218" s="7">
        <v>0</v>
      </c>
      <c r="S218" s="7">
        <f t="shared" si="36"/>
        <v>0</v>
      </c>
      <c r="T218" s="7">
        <v>4152.9022902734578</v>
      </c>
      <c r="U218" s="7">
        <f t="shared" si="41"/>
        <v>292075.05067810905</v>
      </c>
      <c r="V218" s="7">
        <f t="shared" si="37"/>
        <v>70.330344964334969</v>
      </c>
      <c r="W218" s="14" t="s">
        <v>10</v>
      </c>
      <c r="X218" s="8">
        <v>152981</v>
      </c>
      <c r="Y218" s="8">
        <v>1079909.0909090908</v>
      </c>
      <c r="Z218" s="8">
        <v>1168636.3636363635</v>
      </c>
      <c r="AA218" s="8">
        <v>5429</v>
      </c>
      <c r="AB218" s="8">
        <v>3490</v>
      </c>
      <c r="AC218" s="8">
        <v>0</v>
      </c>
      <c r="AD218" s="8">
        <v>1180717.56</v>
      </c>
      <c r="AE218" s="8">
        <v>112500</v>
      </c>
      <c r="AF218" s="8">
        <v>11367.343246765136</v>
      </c>
      <c r="AG218" s="7">
        <f t="shared" si="42"/>
        <v>207293.77612727272</v>
      </c>
      <c r="AH218" s="1">
        <f t="shared" si="38"/>
        <v>18.23590364320734</v>
      </c>
    </row>
    <row r="219" spans="1:34" x14ac:dyDescent="0.25">
      <c r="A219" s="13" t="s">
        <v>0</v>
      </c>
      <c r="B219" s="19">
        <v>45875</v>
      </c>
      <c r="C219" s="7">
        <v>10953.262280184757</v>
      </c>
      <c r="D219" s="7">
        <v>31990.783967052197</v>
      </c>
      <c r="E219" s="7">
        <v>24575.788701393984</v>
      </c>
      <c r="F219" s="7">
        <v>0</v>
      </c>
      <c r="G219" s="7">
        <v>12092.613475255883</v>
      </c>
      <c r="H219" s="7">
        <v>5430.7117900473777</v>
      </c>
      <c r="I219" s="7">
        <v>55000</v>
      </c>
      <c r="J219" s="2">
        <v>38.25</v>
      </c>
      <c r="K219" s="23">
        <f t="shared" si="40"/>
        <v>301518.38445711829</v>
      </c>
      <c r="L219" s="23">
        <f t="shared" si="39"/>
        <v>24.934095931709923</v>
      </c>
      <c r="M219" s="13" t="s">
        <v>9</v>
      </c>
      <c r="N219" s="7">
        <v>111413.64650176466</v>
      </c>
      <c r="O219" s="7">
        <v>57536.889265811624</v>
      </c>
      <c r="P219" s="7">
        <f t="shared" si="35"/>
        <v>65382.828711149574</v>
      </c>
      <c r="Q219" s="7">
        <v>0</v>
      </c>
      <c r="R219" s="7">
        <v>0</v>
      </c>
      <c r="S219" s="7">
        <f t="shared" si="36"/>
        <v>0</v>
      </c>
      <c r="T219" s="7">
        <v>5690.4535247595049</v>
      </c>
      <c r="U219" s="7">
        <f t="shared" si="41"/>
        <v>386096.7702360336</v>
      </c>
      <c r="V219" s="7">
        <f t="shared" si="37"/>
        <v>67.849911884194</v>
      </c>
      <c r="W219" s="14" t="s">
        <v>10</v>
      </c>
      <c r="X219" s="7">
        <v>119510</v>
      </c>
      <c r="Y219" s="7">
        <v>1205363.6363636362</v>
      </c>
      <c r="Z219" s="7">
        <v>1222909.0909090908</v>
      </c>
      <c r="AA219" s="7">
        <v>5257</v>
      </c>
      <c r="AB219" s="7">
        <v>3956</v>
      </c>
      <c r="AC219" s="7">
        <v>0</v>
      </c>
      <c r="AD219" s="7">
        <v>1122660</v>
      </c>
      <c r="AE219" s="7">
        <v>62500</v>
      </c>
      <c r="AF219" s="7">
        <v>11176.593508605956</v>
      </c>
      <c r="AG219" s="7">
        <f t="shared" si="42"/>
        <v>193224.75454545455</v>
      </c>
      <c r="AH219" s="1">
        <f t="shared" si="38"/>
        <v>17.288340530294121</v>
      </c>
    </row>
    <row r="220" spans="1:34" x14ac:dyDescent="0.25">
      <c r="A220" s="13" t="s">
        <v>0</v>
      </c>
      <c r="B220" s="19">
        <v>45876</v>
      </c>
      <c r="C220" s="7">
        <v>14916.096657691878</v>
      </c>
      <c r="D220" s="7">
        <v>36414.273727099375</v>
      </c>
      <c r="E220" s="7">
        <v>33731.474688187824</v>
      </c>
      <c r="F220" s="7">
        <v>0</v>
      </c>
      <c r="G220" s="7">
        <v>12709.700172888932</v>
      </c>
      <c r="H220" s="7">
        <v>6990.5159488460968</v>
      </c>
      <c r="I220" s="7">
        <v>88000</v>
      </c>
      <c r="J220" s="2">
        <v>38.099998474121087</v>
      </c>
      <c r="K220" s="23">
        <f t="shared" si="40"/>
        <v>408859.19467632897</v>
      </c>
      <c r="L220" s="23">
        <f t="shared" si="39"/>
        <v>32.169066863470682</v>
      </c>
      <c r="M220" s="13" t="s">
        <v>9</v>
      </c>
      <c r="N220" s="7">
        <v>113962.97431501746</v>
      </c>
      <c r="O220" s="7">
        <v>56874.086924354742</v>
      </c>
      <c r="P220" s="7">
        <f t="shared" si="35"/>
        <v>64629.644232221297</v>
      </c>
      <c r="Q220" s="7">
        <v>0</v>
      </c>
      <c r="R220" s="7">
        <v>0</v>
      </c>
      <c r="S220" s="7">
        <f t="shared" si="36"/>
        <v>0</v>
      </c>
      <c r="T220" s="7">
        <v>7238.3519405741245</v>
      </c>
      <c r="U220" s="7">
        <f t="shared" si="41"/>
        <v>383718.78262773261</v>
      </c>
      <c r="V220" s="7">
        <f t="shared" si="37"/>
        <v>53.011899086699728</v>
      </c>
      <c r="W220" s="14" t="s">
        <v>10</v>
      </c>
      <c r="X220" s="7">
        <v>138000</v>
      </c>
      <c r="Y220" s="7">
        <v>1211090.9090909092</v>
      </c>
      <c r="Z220" s="7">
        <v>1230181.8181818181</v>
      </c>
      <c r="AA220" s="7">
        <v>5292</v>
      </c>
      <c r="AB220" s="7">
        <v>3308</v>
      </c>
      <c r="AC220" s="7">
        <v>0</v>
      </c>
      <c r="AD220" s="7">
        <v>1177509.96</v>
      </c>
      <c r="AE220" s="7">
        <v>100000</v>
      </c>
      <c r="AF220" s="7">
        <v>11579.547304992675</v>
      </c>
      <c r="AG220" s="7">
        <f t="shared" si="42"/>
        <v>202980.55849090908</v>
      </c>
      <c r="AH220" s="1">
        <f t="shared" si="38"/>
        <v>17.529230905545965</v>
      </c>
    </row>
    <row r="221" spans="1:34" x14ac:dyDescent="0.25">
      <c r="A221" s="13" t="s">
        <v>0</v>
      </c>
      <c r="B221" s="19">
        <v>45877</v>
      </c>
      <c r="C221" s="7">
        <v>15963.765399724265</v>
      </c>
      <c r="D221" s="7">
        <v>33955.879534556509</v>
      </c>
      <c r="E221" s="7">
        <v>15259.476644656395</v>
      </c>
      <c r="F221" s="7">
        <v>0</v>
      </c>
      <c r="G221" s="7">
        <v>11782.902479475917</v>
      </c>
      <c r="H221" s="7">
        <v>7565.4315403837682</v>
      </c>
      <c r="I221" s="7">
        <v>79166</v>
      </c>
      <c r="J221" s="2">
        <v>42.650001525878913</v>
      </c>
      <c r="K221" s="23">
        <f t="shared" si="40"/>
        <v>268138.07506910549</v>
      </c>
      <c r="L221" s="23">
        <f t="shared" si="39"/>
        <v>22.756538597867763</v>
      </c>
      <c r="M221" s="13" t="s">
        <v>9</v>
      </c>
      <c r="N221" s="7">
        <v>112429.21895040572</v>
      </c>
      <c r="O221" s="7">
        <v>56248.89967417084</v>
      </c>
      <c r="P221" s="7">
        <f t="shared" si="35"/>
        <v>63919.204175194136</v>
      </c>
      <c r="Q221" s="7">
        <v>0</v>
      </c>
      <c r="R221" s="7">
        <v>0</v>
      </c>
      <c r="S221" s="7">
        <f t="shared" si="36"/>
        <v>0</v>
      </c>
      <c r="T221" s="7">
        <v>6991.2983729292173</v>
      </c>
      <c r="U221" s="7">
        <f t="shared" si="41"/>
        <v>379349.01104656188</v>
      </c>
      <c r="V221" s="7">
        <f t="shared" si="37"/>
        <v>54.26016611097976</v>
      </c>
      <c r="W221" s="14" t="s">
        <v>10</v>
      </c>
      <c r="X221" s="7">
        <v>152200</v>
      </c>
      <c r="Y221" s="7">
        <v>1192363.6363636362</v>
      </c>
      <c r="Z221" s="7">
        <v>1202727.2727272727</v>
      </c>
      <c r="AA221" s="7">
        <v>7601</v>
      </c>
      <c r="AB221" s="7">
        <v>2782</v>
      </c>
      <c r="AC221" s="7">
        <v>0</v>
      </c>
      <c r="AD221" s="7">
        <v>1200390.8400000001</v>
      </c>
      <c r="AE221" s="7">
        <v>100000</v>
      </c>
      <c r="AF221" s="7">
        <v>11422.478152618409</v>
      </c>
      <c r="AG221" s="7">
        <f t="shared" si="42"/>
        <v>213876.49896363635</v>
      </c>
      <c r="AH221" s="1">
        <f t="shared" si="38"/>
        <v>18.724176672170636</v>
      </c>
    </row>
    <row r="222" spans="1:34" x14ac:dyDescent="0.25">
      <c r="A222" s="13" t="s">
        <v>0</v>
      </c>
      <c r="B222" s="19">
        <v>45878</v>
      </c>
      <c r="C222" s="7">
        <v>10556.282386480178</v>
      </c>
      <c r="D222" s="7">
        <v>31412.81468249211</v>
      </c>
      <c r="E222" s="7">
        <v>0</v>
      </c>
      <c r="F222" s="7">
        <v>3668</v>
      </c>
      <c r="G222" s="7">
        <v>11424.193875267561</v>
      </c>
      <c r="H222" s="7">
        <v>9546.6497812051239</v>
      </c>
      <c r="I222" s="7">
        <v>0</v>
      </c>
      <c r="J222" s="2">
        <v>44.049999237060547</v>
      </c>
      <c r="K222" s="23">
        <f t="shared" si="40"/>
        <v>119763.73530277364</v>
      </c>
      <c r="L222" s="23">
        <f t="shared" si="39"/>
        <v>10.483342335606913</v>
      </c>
      <c r="M222" s="13" t="s">
        <v>9</v>
      </c>
      <c r="N222" s="7">
        <v>113990.73832152784</v>
      </c>
      <c r="O222" s="7">
        <v>55775.757458396583</v>
      </c>
      <c r="P222" s="7">
        <f t="shared" si="35"/>
        <v>63381.542566359756</v>
      </c>
      <c r="Q222" s="7">
        <v>0</v>
      </c>
      <c r="R222" s="7">
        <v>0</v>
      </c>
      <c r="S222" s="7">
        <f t="shared" si="36"/>
        <v>0</v>
      </c>
      <c r="T222" s="7">
        <v>6630.9218944285531</v>
      </c>
      <c r="U222" s="7">
        <f t="shared" si="41"/>
        <v>377511.98838692845</v>
      </c>
      <c r="V222" s="7">
        <f t="shared" si="37"/>
        <v>56.932051741421105</v>
      </c>
      <c r="W222" s="14" t="s">
        <v>10</v>
      </c>
      <c r="X222" s="7">
        <v>154040</v>
      </c>
      <c r="Y222" s="7">
        <v>1164909.0909090908</v>
      </c>
      <c r="Z222" s="7">
        <v>1184818.1818181816</v>
      </c>
      <c r="AA222" s="7">
        <v>9239</v>
      </c>
      <c r="AB222" s="7">
        <v>1300</v>
      </c>
      <c r="AC222" s="7">
        <v>3668</v>
      </c>
      <c r="AD222" s="7">
        <v>1184887.44</v>
      </c>
      <c r="AE222" s="7">
        <v>112500</v>
      </c>
      <c r="AF222" s="7">
        <v>11361.930141448975</v>
      </c>
      <c r="AG222" s="7">
        <f t="shared" si="42"/>
        <v>211348.5025090909</v>
      </c>
      <c r="AH222" s="1">
        <f t="shared" si="38"/>
        <v>18.601461184669621</v>
      </c>
    </row>
    <row r="223" spans="1:34" x14ac:dyDescent="0.25">
      <c r="A223" s="13" t="s">
        <v>0</v>
      </c>
      <c r="B223" s="19">
        <v>45879</v>
      </c>
      <c r="C223" s="8">
        <v>13305.293530103621</v>
      </c>
      <c r="D223" s="8">
        <v>27772.712589670333</v>
      </c>
      <c r="E223" s="7">
        <v>0</v>
      </c>
      <c r="F223" s="7">
        <v>3761</v>
      </c>
      <c r="G223" s="8">
        <v>11583.240377435974</v>
      </c>
      <c r="H223" s="8">
        <v>6021.835615508995</v>
      </c>
      <c r="I223" s="8">
        <v>0</v>
      </c>
      <c r="J223" s="2">
        <v>43.799999237060547</v>
      </c>
      <c r="K223" s="23">
        <f t="shared" si="40"/>
        <v>140257.91833278106</v>
      </c>
      <c r="L223" s="23">
        <f t="shared" si="39"/>
        <v>12.108694438043603</v>
      </c>
      <c r="M223" s="13" t="s">
        <v>9</v>
      </c>
      <c r="N223" s="7">
        <v>113868.46101844311</v>
      </c>
      <c r="O223" s="7">
        <v>57874.910609711602</v>
      </c>
      <c r="P223" s="7">
        <f t="shared" si="35"/>
        <v>65766.943874672274</v>
      </c>
      <c r="Q223" s="7">
        <v>0</v>
      </c>
      <c r="R223" s="7">
        <v>0</v>
      </c>
      <c r="S223" s="7">
        <f t="shared" si="36"/>
        <v>0</v>
      </c>
      <c r="T223" s="7">
        <v>7629.5836728743743</v>
      </c>
      <c r="U223" s="7">
        <f t="shared" si="41"/>
        <v>389337.18416520057</v>
      </c>
      <c r="V223" s="7">
        <f t="shared" si="37"/>
        <v>51.029938310974892</v>
      </c>
      <c r="W223" s="14" t="s">
        <v>10</v>
      </c>
      <c r="X223" s="8">
        <v>121130</v>
      </c>
      <c r="Y223" s="8">
        <v>530181.81818181812</v>
      </c>
      <c r="Z223" s="8">
        <v>529818.18181818177</v>
      </c>
      <c r="AA223" s="8">
        <v>8966</v>
      </c>
      <c r="AB223" s="8">
        <v>0</v>
      </c>
      <c r="AC223" s="8">
        <v>3761</v>
      </c>
      <c r="AD223" s="8">
        <v>536845.32000000007</v>
      </c>
      <c r="AE223" s="8">
        <v>62500</v>
      </c>
      <c r="AF223" s="8">
        <v>5069.3775579833982</v>
      </c>
      <c r="AG223" s="7">
        <f t="shared" si="42"/>
        <v>135237.74343636364</v>
      </c>
      <c r="AH223" s="1">
        <f t="shared" si="38"/>
        <v>26.677386304239157</v>
      </c>
    </row>
    <row r="224" spans="1:34" x14ac:dyDescent="0.25">
      <c r="A224" s="13" t="s">
        <v>0</v>
      </c>
      <c r="B224" s="19">
        <v>45880</v>
      </c>
      <c r="C224" s="7">
        <v>12235.736172378251</v>
      </c>
      <c r="D224" s="7">
        <v>27267.63369895922</v>
      </c>
      <c r="E224" s="7">
        <v>8031.3034971875759</v>
      </c>
      <c r="F224" s="7">
        <v>3716</v>
      </c>
      <c r="G224" s="7">
        <v>11785.927688126203</v>
      </c>
      <c r="H224" s="7">
        <v>5327.7418333540636</v>
      </c>
      <c r="I224" s="7">
        <v>40816</v>
      </c>
      <c r="J224" s="2">
        <v>43.400001525878913</v>
      </c>
      <c r="K224" s="23">
        <f t="shared" si="40"/>
        <v>195453.07529013697</v>
      </c>
      <c r="L224" s="23">
        <f t="shared" si="39"/>
        <v>16.583597020287783</v>
      </c>
      <c r="M224" s="13" t="s">
        <v>9</v>
      </c>
      <c r="N224" s="7">
        <v>54225.742096826434</v>
      </c>
      <c r="O224" s="7">
        <v>20545.456017914603</v>
      </c>
      <c r="P224" s="7">
        <f t="shared" si="35"/>
        <v>23347.109111266593</v>
      </c>
      <c r="Q224" s="7">
        <v>0</v>
      </c>
      <c r="R224" s="7">
        <v>0</v>
      </c>
      <c r="S224" s="7">
        <f t="shared" si="36"/>
        <v>0</v>
      </c>
      <c r="T224" s="7">
        <v>2150.16231531417</v>
      </c>
      <c r="U224" s="7">
        <f t="shared" si="41"/>
        <v>145667.23965195025</v>
      </c>
      <c r="V224" s="7">
        <f t="shared" si="37"/>
        <v>67.747089889195721</v>
      </c>
      <c r="W224" s="14" t="s">
        <v>10</v>
      </c>
      <c r="X224" s="7">
        <v>156690</v>
      </c>
      <c r="Y224" s="7">
        <v>1220636.3636363638</v>
      </c>
      <c r="Z224" s="7">
        <v>1201909.0909090908</v>
      </c>
      <c r="AA224" s="7">
        <v>10028</v>
      </c>
      <c r="AB224" s="7">
        <v>1412</v>
      </c>
      <c r="AC224" s="7">
        <v>3716</v>
      </c>
      <c r="AD224" s="7">
        <v>1220171.04</v>
      </c>
      <c r="AE224" s="7">
        <v>87500</v>
      </c>
      <c r="AF224" s="7">
        <v>11586.309647827149</v>
      </c>
      <c r="AG224" s="7">
        <f t="shared" si="42"/>
        <v>217245.89287272727</v>
      </c>
      <c r="AH224" s="1">
        <f t="shared" si="38"/>
        <v>18.750223278683798</v>
      </c>
    </row>
    <row r="225" spans="1:34" x14ac:dyDescent="0.25">
      <c r="A225" s="13" t="s">
        <v>0</v>
      </c>
      <c r="B225" s="19">
        <v>45881</v>
      </c>
      <c r="C225" s="7">
        <v>10854.763509566328</v>
      </c>
      <c r="D225" s="7">
        <v>22386.922377495725</v>
      </c>
      <c r="E225" s="7">
        <v>4176.27781853754</v>
      </c>
      <c r="F225" s="7">
        <v>3685</v>
      </c>
      <c r="G225" s="7">
        <v>8422.6760447112702</v>
      </c>
      <c r="H225" s="7">
        <v>4969.2538359773398</v>
      </c>
      <c r="I225" s="7">
        <v>21224</v>
      </c>
      <c r="J225" s="2">
        <v>41.450000762939453</v>
      </c>
      <c r="K225" s="23">
        <f t="shared" si="40"/>
        <v>150773.12347218819</v>
      </c>
      <c r="L225" s="23">
        <f t="shared" si="39"/>
        <v>17.900857479477796</v>
      </c>
      <c r="M225" s="13" t="s">
        <v>9</v>
      </c>
      <c r="N225" s="7">
        <v>113472.20291142166</v>
      </c>
      <c r="O225" s="7">
        <v>61941.711490142101</v>
      </c>
      <c r="P225" s="7">
        <f t="shared" si="35"/>
        <v>70388.308511525116</v>
      </c>
      <c r="Q225" s="7">
        <v>0</v>
      </c>
      <c r="R225" s="7">
        <v>0</v>
      </c>
      <c r="S225" s="7">
        <f t="shared" si="36"/>
        <v>0</v>
      </c>
      <c r="T225" s="7">
        <v>7194.0382489415351</v>
      </c>
      <c r="U225" s="7">
        <f t="shared" si="41"/>
        <v>412160.70750212041</v>
      </c>
      <c r="V225" s="7">
        <f t="shared" si="37"/>
        <v>57.291981671457187</v>
      </c>
      <c r="W225" s="14" t="s">
        <v>10</v>
      </c>
      <c r="X225" s="7">
        <v>149570</v>
      </c>
      <c r="Y225" s="7">
        <v>997890</v>
      </c>
      <c r="Z225" s="7">
        <v>1064000</v>
      </c>
      <c r="AA225" s="7">
        <v>10258</v>
      </c>
      <c r="AB225" s="7">
        <v>2983</v>
      </c>
      <c r="AC225" s="7">
        <v>3685</v>
      </c>
      <c r="AD225" s="7">
        <v>1069520.76</v>
      </c>
      <c r="AE225" s="7">
        <v>100000</v>
      </c>
      <c r="AF225" s="7">
        <v>10287.401821403504</v>
      </c>
      <c r="AG225" s="7">
        <f t="shared" si="42"/>
        <v>209487.47640000001</v>
      </c>
      <c r="AH225" s="1">
        <f t="shared" si="38"/>
        <v>20.363497026445476</v>
      </c>
    </row>
    <row r="226" spans="1:34" x14ac:dyDescent="0.25">
      <c r="A226" s="13" t="s">
        <v>0</v>
      </c>
      <c r="B226" s="19">
        <v>45882</v>
      </c>
      <c r="C226" s="7">
        <v>11314.424439118999</v>
      </c>
      <c r="D226" s="7">
        <v>25814.979688211373</v>
      </c>
      <c r="E226" s="7">
        <v>12046.955245781366</v>
      </c>
      <c r="F226" s="7">
        <v>3623</v>
      </c>
      <c r="G226" s="7">
        <v>11706.404437041998</v>
      </c>
      <c r="H226" s="7">
        <v>4467.7520098599034</v>
      </c>
      <c r="I226" s="7">
        <v>62500</v>
      </c>
      <c r="J226" s="2">
        <v>42.200000762939453</v>
      </c>
      <c r="K226" s="23">
        <f t="shared" si="40"/>
        <v>218957.44093527616</v>
      </c>
      <c r="L226" s="23">
        <f t="shared" si="39"/>
        <v>18.704072810131173</v>
      </c>
      <c r="M226" s="13" t="s">
        <v>9</v>
      </c>
      <c r="N226" s="7">
        <v>114445.75125195086</v>
      </c>
      <c r="O226" s="7">
        <v>63508.246766862612</v>
      </c>
      <c r="P226" s="7">
        <f t="shared" si="35"/>
        <v>72168.462235071143</v>
      </c>
      <c r="Q226" s="7">
        <v>0</v>
      </c>
      <c r="R226" s="7">
        <v>0</v>
      </c>
      <c r="S226" s="7">
        <f t="shared" si="36"/>
        <v>0</v>
      </c>
      <c r="T226" s="7">
        <v>7150.4656455060467</v>
      </c>
      <c r="U226" s="7">
        <f t="shared" si="41"/>
        <v>421560.48991788313</v>
      </c>
      <c r="V226" s="7">
        <f t="shared" si="37"/>
        <v>58.955669576963444</v>
      </c>
      <c r="W226" s="14" t="s">
        <v>10</v>
      </c>
      <c r="X226" s="7">
        <v>136870</v>
      </c>
      <c r="Y226" s="7">
        <v>880710</v>
      </c>
      <c r="Z226" s="7">
        <v>946272.72727272729</v>
      </c>
      <c r="AA226" s="7">
        <v>11287</v>
      </c>
      <c r="AB226" s="7">
        <v>4135</v>
      </c>
      <c r="AC226" s="7">
        <v>3623</v>
      </c>
      <c r="AD226" s="7">
        <v>931807.8</v>
      </c>
      <c r="AE226" s="7">
        <v>37500</v>
      </c>
      <c r="AF226" s="7">
        <v>8984.626092071534</v>
      </c>
      <c r="AG226" s="7">
        <f t="shared" si="42"/>
        <v>199491.37927272727</v>
      </c>
      <c r="AH226" s="1">
        <f t="shared" si="38"/>
        <v>22.203637327631036</v>
      </c>
    </row>
    <row r="227" spans="1:34" x14ac:dyDescent="0.25">
      <c r="A227" s="13" t="s">
        <v>0</v>
      </c>
      <c r="B227" s="19">
        <v>45883</v>
      </c>
      <c r="C227" s="7">
        <v>12733.204710855167</v>
      </c>
      <c r="D227" s="7">
        <v>26921.588394827704</v>
      </c>
      <c r="E227" s="7">
        <v>0</v>
      </c>
      <c r="F227" s="7">
        <v>3626</v>
      </c>
      <c r="G227" s="7">
        <v>11458.136726340088</v>
      </c>
      <c r="H227" s="7">
        <v>3375.1263582808492</v>
      </c>
      <c r="I227" s="7">
        <v>0</v>
      </c>
      <c r="J227" s="2">
        <v>39.950000762939453</v>
      </c>
      <c r="K227" s="23">
        <f t="shared" si="40"/>
        <v>134546.02862475914</v>
      </c>
      <c r="L227" s="23">
        <f t="shared" si="39"/>
        <v>11.74240034293388</v>
      </c>
      <c r="M227" s="13" t="s">
        <v>9</v>
      </c>
      <c r="N227" s="7">
        <v>114145.16577444971</v>
      </c>
      <c r="O227" s="7">
        <v>58909.666178117273</v>
      </c>
      <c r="P227" s="7">
        <f t="shared" si="35"/>
        <v>66942.80247513327</v>
      </c>
      <c r="Q227" s="7">
        <v>0</v>
      </c>
      <c r="R227" s="7">
        <v>0</v>
      </c>
      <c r="S227" s="7">
        <f t="shared" si="36"/>
        <v>0</v>
      </c>
      <c r="T227" s="7">
        <v>6423.8611713573337</v>
      </c>
      <c r="U227" s="7">
        <f t="shared" si="41"/>
        <v>395348.25985674222</v>
      </c>
      <c r="V227" s="7">
        <f t="shared" si="37"/>
        <v>61.543711688465223</v>
      </c>
      <c r="W227" s="14" t="s">
        <v>10</v>
      </c>
      <c r="X227" s="7">
        <v>154950</v>
      </c>
      <c r="Y227" s="7">
        <v>1136713.6363636365</v>
      </c>
      <c r="Z227" s="7">
        <v>1201272.7272727273</v>
      </c>
      <c r="AA227" s="7">
        <v>11960</v>
      </c>
      <c r="AB227" s="7">
        <v>3395</v>
      </c>
      <c r="AC227" s="7">
        <v>3626</v>
      </c>
      <c r="AD227" s="7">
        <v>1211403.6000000001</v>
      </c>
      <c r="AE227" s="7">
        <v>62500</v>
      </c>
      <c r="AF227" s="7">
        <v>11576.555</v>
      </c>
      <c r="AG227" s="7">
        <f t="shared" si="42"/>
        <v>228348.61990909092</v>
      </c>
      <c r="AH227" s="1">
        <f t="shared" si="38"/>
        <v>19.725092647086367</v>
      </c>
    </row>
    <row r="228" spans="1:34" x14ac:dyDescent="0.25">
      <c r="A228" s="13" t="s">
        <v>0</v>
      </c>
      <c r="B228" s="19">
        <v>45884</v>
      </c>
      <c r="C228" s="8">
        <v>12530.237547156585</v>
      </c>
      <c r="D228" s="8">
        <v>27978.130972335639</v>
      </c>
      <c r="E228" s="8">
        <v>25298.606016140868</v>
      </c>
      <c r="F228" s="7">
        <v>2004</v>
      </c>
      <c r="G228" s="8">
        <v>9602.9174662902697</v>
      </c>
      <c r="H228" s="8">
        <v>4661.2973914223367</v>
      </c>
      <c r="I228" s="8">
        <v>98000</v>
      </c>
      <c r="J228" s="2">
        <v>43.450000762939453</v>
      </c>
      <c r="K228" s="23">
        <f t="shared" si="40"/>
        <v>327771.46946898801</v>
      </c>
      <c r="L228" s="23">
        <f t="shared" si="39"/>
        <v>34.132488446306553</v>
      </c>
      <c r="M228" s="13" t="s">
        <v>9</v>
      </c>
      <c r="N228" s="7">
        <v>115050</v>
      </c>
      <c r="O228" s="7">
        <v>59177</v>
      </c>
      <c r="P228" s="7">
        <f t="shared" si="35"/>
        <v>67246.590909090912</v>
      </c>
      <c r="Q228" s="7">
        <v>0</v>
      </c>
      <c r="R228" s="7">
        <v>0</v>
      </c>
      <c r="S228" s="7">
        <f t="shared" si="36"/>
        <v>0</v>
      </c>
      <c r="T228" s="7">
        <v>6234</v>
      </c>
      <c r="U228" s="7">
        <f t="shared" si="41"/>
        <v>397351.25568181823</v>
      </c>
      <c r="V228" s="7">
        <f t="shared" si="37"/>
        <v>63.739373705777709</v>
      </c>
      <c r="W228" s="14" t="s">
        <v>10</v>
      </c>
      <c r="X228" s="8">
        <v>149720</v>
      </c>
      <c r="Y228" s="8">
        <v>1131133.6363636365</v>
      </c>
      <c r="Z228" s="8">
        <v>1188636.3636363635</v>
      </c>
      <c r="AA228" s="8">
        <v>7085</v>
      </c>
      <c r="AB228" s="8">
        <v>3734</v>
      </c>
      <c r="AC228" s="8">
        <v>2004</v>
      </c>
      <c r="AD228" s="8">
        <v>1197397.08</v>
      </c>
      <c r="AE228" s="8">
        <v>100000</v>
      </c>
      <c r="AF228" s="8">
        <v>11614.49528388977</v>
      </c>
      <c r="AG228" s="7">
        <f t="shared" si="42"/>
        <v>213508.4284727273</v>
      </c>
      <c r="AH228" s="1">
        <f t="shared" si="38"/>
        <v>18.382927820279932</v>
      </c>
    </row>
    <row r="229" spans="1:34" x14ac:dyDescent="0.25">
      <c r="A229" s="13" t="s">
        <v>0</v>
      </c>
      <c r="B229" s="19">
        <v>45885</v>
      </c>
      <c r="C229" s="7">
        <v>13518.210064571742</v>
      </c>
      <c r="D229" s="7">
        <v>27241.864367800492</v>
      </c>
      <c r="E229" s="7">
        <v>4015.6517485937879</v>
      </c>
      <c r="F229" s="7">
        <v>5</v>
      </c>
      <c r="G229" s="7">
        <v>9200.4522321445984</v>
      </c>
      <c r="H229" s="7">
        <v>5190.4485577629785</v>
      </c>
      <c r="I229" s="7">
        <v>28685</v>
      </c>
      <c r="J229" s="2">
        <v>43.450000762939453</v>
      </c>
      <c r="K229" s="23">
        <f t="shared" si="40"/>
        <v>155020.01947400108</v>
      </c>
      <c r="L229" s="23">
        <f t="shared" si="39"/>
        <v>16.84917388434355</v>
      </c>
      <c r="M229" s="13" t="s">
        <v>9</v>
      </c>
      <c r="N229" s="7">
        <v>116440</v>
      </c>
      <c r="O229" s="7">
        <v>63264</v>
      </c>
      <c r="P229" s="7">
        <f t="shared" si="35"/>
        <v>71890.909090909088</v>
      </c>
      <c r="Q229" s="7">
        <v>0</v>
      </c>
      <c r="R229" s="7">
        <v>0</v>
      </c>
      <c r="S229" s="7">
        <f t="shared" si="36"/>
        <v>0</v>
      </c>
      <c r="T229" s="7">
        <v>7713</v>
      </c>
      <c r="U229" s="7">
        <f t="shared" si="41"/>
        <v>421253.78181818186</v>
      </c>
      <c r="V229" s="7">
        <f t="shared" si="37"/>
        <v>54.616074396237764</v>
      </c>
      <c r="W229" s="14" t="s">
        <v>10</v>
      </c>
      <c r="X229" s="7">
        <v>151640</v>
      </c>
      <c r="Y229" s="7">
        <v>1088100</v>
      </c>
      <c r="Z229" s="7">
        <v>1140545.4545454546</v>
      </c>
      <c r="AA229" s="7">
        <v>2178</v>
      </c>
      <c r="AB229" s="7">
        <v>4050</v>
      </c>
      <c r="AC229" s="7">
        <v>5</v>
      </c>
      <c r="AD229" s="7">
        <v>1146503.1599999999</v>
      </c>
      <c r="AE229" s="7">
        <v>87500</v>
      </c>
      <c r="AF229" s="7">
        <v>11064.748902282714</v>
      </c>
      <c r="AG229" s="7">
        <f t="shared" si="42"/>
        <v>197312.95194545455</v>
      </c>
      <c r="AH229" s="1">
        <f t="shared" si="38"/>
        <v>17.832573851246448</v>
      </c>
    </row>
    <row r="230" spans="1:34" x14ac:dyDescent="0.25">
      <c r="A230" s="13" t="s">
        <v>0</v>
      </c>
      <c r="B230" s="19">
        <v>45886</v>
      </c>
      <c r="C230" s="7">
        <v>6814.3240400568084</v>
      </c>
      <c r="D230" s="7">
        <v>26088.870865098452</v>
      </c>
      <c r="E230" s="7">
        <v>0</v>
      </c>
      <c r="F230" s="7">
        <v>0</v>
      </c>
      <c r="G230" s="7">
        <v>5053.3014051660111</v>
      </c>
      <c r="H230" s="7">
        <v>4785.2427096642887</v>
      </c>
      <c r="I230" s="7">
        <v>0</v>
      </c>
      <c r="J230" s="2">
        <v>41.150001525878913</v>
      </c>
      <c r="K230" s="23">
        <f t="shared" si="40"/>
        <v>68609.39691164768</v>
      </c>
      <c r="L230" s="23">
        <f t="shared" si="39"/>
        <v>13.57714321997655</v>
      </c>
      <c r="M230" s="13" t="s">
        <v>9</v>
      </c>
      <c r="N230" s="7">
        <v>113587.73012165725</v>
      </c>
      <c r="O230" s="7">
        <v>64503.503046886632</v>
      </c>
      <c r="P230" s="7">
        <f t="shared" si="35"/>
        <v>73299.435280552992</v>
      </c>
      <c r="Q230" s="7">
        <v>0</v>
      </c>
      <c r="R230" s="7">
        <v>0</v>
      </c>
      <c r="S230" s="7">
        <f t="shared" si="36"/>
        <v>0</v>
      </c>
      <c r="T230" s="7">
        <v>7372.0161488833837</v>
      </c>
      <c r="U230" s="7">
        <f t="shared" si="41"/>
        <v>426735.05913925165</v>
      </c>
      <c r="V230" s="7">
        <f t="shared" si="37"/>
        <v>57.885800915382951</v>
      </c>
      <c r="W230" s="14" t="s">
        <v>10</v>
      </c>
      <c r="X230" s="7">
        <v>148970</v>
      </c>
      <c r="Y230" s="7">
        <v>963310.90909090918</v>
      </c>
      <c r="Z230" s="7">
        <v>1009363.6363636362</v>
      </c>
      <c r="AA230" s="7">
        <v>2586</v>
      </c>
      <c r="AB230" s="7">
        <v>3807</v>
      </c>
      <c r="AC230" s="7">
        <v>0</v>
      </c>
      <c r="AD230" s="7">
        <v>999274.32000000007</v>
      </c>
      <c r="AE230" s="7">
        <v>75000</v>
      </c>
      <c r="AF230" s="7">
        <v>9704.3436199188236</v>
      </c>
      <c r="AG230" s="7">
        <f t="shared" si="42"/>
        <v>185354.91207272728</v>
      </c>
      <c r="AH230" s="1">
        <f t="shared" si="38"/>
        <v>19.10020083092212</v>
      </c>
    </row>
    <row r="231" spans="1:34" x14ac:dyDescent="0.25">
      <c r="A231" s="13" t="s">
        <v>0</v>
      </c>
      <c r="B231" s="19">
        <v>45887</v>
      </c>
      <c r="C231" s="7">
        <v>18945.591819354904</v>
      </c>
      <c r="D231" s="7">
        <v>28432.407467333825</v>
      </c>
      <c r="E231" s="7">
        <v>18070.432868672047</v>
      </c>
      <c r="F231" s="7">
        <v>0</v>
      </c>
      <c r="G231" s="7">
        <v>10922.151713154442</v>
      </c>
      <c r="H231" s="7">
        <v>5211.4239193116164</v>
      </c>
      <c r="I231" s="7">
        <v>65000</v>
      </c>
      <c r="J231" s="2">
        <v>34.5</v>
      </c>
      <c r="K231" s="23">
        <f t="shared" si="40"/>
        <v>311500.6431283952</v>
      </c>
      <c r="L231" s="23">
        <f t="shared" si="39"/>
        <v>28.520080228626512</v>
      </c>
      <c r="M231" s="13" t="s">
        <v>9</v>
      </c>
      <c r="N231" s="7">
        <v>113348.3285433352</v>
      </c>
      <c r="O231" s="7">
        <v>64497.375537666361</v>
      </c>
      <c r="P231" s="7">
        <f t="shared" si="35"/>
        <v>73292.472201893586</v>
      </c>
      <c r="Q231" s="7">
        <v>0</v>
      </c>
      <c r="R231" s="7">
        <v>0</v>
      </c>
      <c r="S231" s="7">
        <f t="shared" si="36"/>
        <v>0</v>
      </c>
      <c r="T231" s="7">
        <v>7888.4791017528623</v>
      </c>
      <c r="U231" s="7">
        <f t="shared" si="41"/>
        <v>426571.07133984054</v>
      </c>
      <c r="V231" s="7">
        <f t="shared" si="37"/>
        <v>54.075198252734694</v>
      </c>
      <c r="W231" s="14" t="s">
        <v>10</v>
      </c>
      <c r="X231" s="7">
        <v>151480</v>
      </c>
      <c r="Y231" s="7">
        <v>1050054.5454545454</v>
      </c>
      <c r="Z231" s="7">
        <v>1099454.5454545454</v>
      </c>
      <c r="AA231" s="7">
        <v>2758</v>
      </c>
      <c r="AB231" s="7">
        <v>4097</v>
      </c>
      <c r="AC231" s="7">
        <v>0</v>
      </c>
      <c r="AD231" s="7">
        <v>1093257</v>
      </c>
      <c r="AE231" s="7">
        <v>100000</v>
      </c>
      <c r="AF231" s="7">
        <v>10691.136055412293</v>
      </c>
      <c r="AG231" s="7">
        <f t="shared" si="42"/>
        <v>196566.15500000003</v>
      </c>
      <c r="AH231" s="1">
        <f t="shared" si="38"/>
        <v>18.385899681866846</v>
      </c>
    </row>
    <row r="232" spans="1:34" x14ac:dyDescent="0.25">
      <c r="A232" s="13" t="s">
        <v>0</v>
      </c>
      <c r="B232" s="19">
        <v>45888</v>
      </c>
      <c r="C232" s="7">
        <v>13133.169415790608</v>
      </c>
      <c r="D232" s="7">
        <v>32252.89487826671</v>
      </c>
      <c r="E232" s="7">
        <v>3212.5213988750306</v>
      </c>
      <c r="F232" s="7">
        <v>0</v>
      </c>
      <c r="G232" s="7">
        <v>11608.455066804136</v>
      </c>
      <c r="H232" s="7">
        <v>9709.685545969538</v>
      </c>
      <c r="I232" s="7">
        <v>16666</v>
      </c>
      <c r="J232" s="2">
        <v>33.349998474121087</v>
      </c>
      <c r="K232" s="23">
        <f t="shared" si="40"/>
        <v>148195.2229210049</v>
      </c>
      <c r="L232" s="23">
        <f t="shared" si="39"/>
        <v>12.766145199182287</v>
      </c>
      <c r="M232" s="13" t="s">
        <v>9</v>
      </c>
      <c r="N232" s="7">
        <v>114900</v>
      </c>
      <c r="O232" s="7">
        <v>60880</v>
      </c>
      <c r="P232" s="7">
        <f t="shared" si="35"/>
        <v>69181.818181818177</v>
      </c>
      <c r="Q232" s="7">
        <v>0</v>
      </c>
      <c r="R232" s="7">
        <v>0</v>
      </c>
      <c r="S232" s="7">
        <f t="shared" si="36"/>
        <v>0</v>
      </c>
      <c r="T232" s="7">
        <v>6440</v>
      </c>
      <c r="U232" s="7">
        <f t="shared" si="41"/>
        <v>406917.36363636365</v>
      </c>
      <c r="V232" s="7">
        <f t="shared" si="37"/>
        <v>63.185926030491252</v>
      </c>
      <c r="W232" s="14" t="s">
        <v>10</v>
      </c>
      <c r="X232" s="7">
        <v>121580</v>
      </c>
      <c r="Y232" s="7">
        <v>1245090.9090909092</v>
      </c>
      <c r="Z232" s="7">
        <v>1275818.1818181819</v>
      </c>
      <c r="AA232" s="7">
        <v>2174</v>
      </c>
      <c r="AB232" s="7">
        <v>4111</v>
      </c>
      <c r="AC232" s="7">
        <v>0</v>
      </c>
      <c r="AD232" s="7">
        <v>1105873.56</v>
      </c>
      <c r="AE232" s="7">
        <v>37500</v>
      </c>
      <c r="AF232" s="7">
        <v>11028.351123619079</v>
      </c>
      <c r="AG232" s="7">
        <f t="shared" si="42"/>
        <v>187317.07612727271</v>
      </c>
      <c r="AH232" s="1">
        <f t="shared" si="38"/>
        <v>16.985048265837449</v>
      </c>
    </row>
    <row r="233" spans="1:34" x14ac:dyDescent="0.25">
      <c r="A233" s="13" t="s">
        <v>0</v>
      </c>
      <c r="B233" s="19">
        <v>45889</v>
      </c>
      <c r="C233" s="8">
        <v>12731.21483670126</v>
      </c>
      <c r="D233" s="8">
        <v>33002.414281683494</v>
      </c>
      <c r="E233" s="8">
        <v>0</v>
      </c>
      <c r="F233" s="7">
        <v>0</v>
      </c>
      <c r="G233" s="8">
        <v>10435.972011184569</v>
      </c>
      <c r="H233" s="8">
        <v>7655.0535397279482</v>
      </c>
      <c r="I233" s="8">
        <v>0</v>
      </c>
      <c r="J233" s="2">
        <v>36.900001525878913</v>
      </c>
      <c r="K233" s="23">
        <f t="shared" si="40"/>
        <v>119683.75362055586</v>
      </c>
      <c r="L233" s="23">
        <f t="shared" si="39"/>
        <v>11.468385838165041</v>
      </c>
      <c r="M233" s="13" t="s">
        <v>9</v>
      </c>
      <c r="N233" s="7">
        <v>118240</v>
      </c>
      <c r="O233" s="7">
        <v>60660</v>
      </c>
      <c r="P233" s="7">
        <f t="shared" si="35"/>
        <v>68931.818181818177</v>
      </c>
      <c r="Q233" s="7">
        <v>0</v>
      </c>
      <c r="R233" s="7">
        <v>0</v>
      </c>
      <c r="S233" s="7">
        <f t="shared" si="36"/>
        <v>0</v>
      </c>
      <c r="T233" s="7">
        <v>6595</v>
      </c>
      <c r="U233" s="7">
        <f t="shared" si="41"/>
        <v>407474.71363636362</v>
      </c>
      <c r="V233" s="7">
        <f t="shared" si="37"/>
        <v>61.785400096491834</v>
      </c>
      <c r="W233" s="14" t="s">
        <v>10</v>
      </c>
      <c r="X233" s="8">
        <v>131230</v>
      </c>
      <c r="Y233" s="8">
        <v>1288727.2727272727</v>
      </c>
      <c r="Z233" s="8">
        <v>1339000</v>
      </c>
      <c r="AA233" s="8">
        <v>2198</v>
      </c>
      <c r="AB233" s="8">
        <v>3890</v>
      </c>
      <c r="AC233" s="8">
        <v>0</v>
      </c>
      <c r="AD233" s="8">
        <v>1191730.32</v>
      </c>
      <c r="AE233" s="8">
        <v>100000</v>
      </c>
      <c r="AF233" s="8">
        <v>11849.549672546387</v>
      </c>
      <c r="AG233" s="7">
        <f t="shared" si="42"/>
        <v>198860.88207272728</v>
      </c>
      <c r="AH233" s="1">
        <f t="shared" si="38"/>
        <v>16.782146796131656</v>
      </c>
    </row>
    <row r="234" spans="1:34" x14ac:dyDescent="0.25">
      <c r="A234" s="13" t="s">
        <v>0</v>
      </c>
      <c r="B234" s="19">
        <v>45890</v>
      </c>
      <c r="C234" s="7">
        <v>15949.836280646912</v>
      </c>
      <c r="D234" s="7">
        <v>33136.414803708889</v>
      </c>
      <c r="E234" s="7">
        <v>0</v>
      </c>
      <c r="F234" s="7">
        <v>0</v>
      </c>
      <c r="G234" s="7">
        <v>11979.80056440215</v>
      </c>
      <c r="H234" s="7">
        <v>9532.3483983310525</v>
      </c>
      <c r="I234" s="7">
        <v>0</v>
      </c>
      <c r="J234" s="2">
        <v>36.599998474121087</v>
      </c>
      <c r="K234" s="23">
        <f t="shared" si="40"/>
        <v>145508.30407545873</v>
      </c>
      <c r="L234" s="23">
        <f t="shared" si="39"/>
        <v>12.146137433024979</v>
      </c>
      <c r="M234" s="13" t="s">
        <v>9</v>
      </c>
      <c r="N234" s="7">
        <v>115786.84287691116</v>
      </c>
      <c r="O234" s="7">
        <v>64876.697358462028</v>
      </c>
      <c r="P234" s="7">
        <f t="shared" si="35"/>
        <v>73723.519725525039</v>
      </c>
      <c r="Q234" s="7">
        <v>0</v>
      </c>
      <c r="R234" s="7">
        <v>0</v>
      </c>
      <c r="S234" s="7">
        <f t="shared" si="36"/>
        <v>0</v>
      </c>
      <c r="T234" s="7">
        <v>6676.7969964728691</v>
      </c>
      <c r="U234" s="7">
        <f t="shared" si="41"/>
        <v>430036.6409852744</v>
      </c>
      <c r="V234" s="7">
        <f t="shared" si="37"/>
        <v>64.407625574425666</v>
      </c>
      <c r="W234" s="14" t="s">
        <v>10</v>
      </c>
      <c r="X234" s="7">
        <v>150510</v>
      </c>
      <c r="Y234" s="7">
        <v>1105770</v>
      </c>
      <c r="Z234" s="7">
        <v>1169818.1818181816</v>
      </c>
      <c r="AA234" s="7">
        <v>2166</v>
      </c>
      <c r="AB234" s="7">
        <v>3924</v>
      </c>
      <c r="AC234" s="7">
        <v>0</v>
      </c>
      <c r="AD234" s="7">
        <v>1177189.2</v>
      </c>
      <c r="AE234" s="7">
        <v>100000</v>
      </c>
      <c r="AF234" s="7">
        <v>11335.818058357239</v>
      </c>
      <c r="AG234" s="7">
        <f t="shared" si="42"/>
        <v>198499.86481818181</v>
      </c>
      <c r="AH234" s="1">
        <f t="shared" si="38"/>
        <v>17.510854866962109</v>
      </c>
    </row>
    <row r="235" spans="1:34" x14ac:dyDescent="0.25">
      <c r="A235" s="13" t="s">
        <v>0</v>
      </c>
      <c r="B235" s="19">
        <v>45891</v>
      </c>
      <c r="C235" s="7">
        <v>10467.732986631287</v>
      </c>
      <c r="D235" s="7">
        <v>32233.7519465488</v>
      </c>
      <c r="E235" s="7">
        <v>0</v>
      </c>
      <c r="F235" s="7">
        <v>0</v>
      </c>
      <c r="G235" s="7">
        <v>8062.8218397554774</v>
      </c>
      <c r="H235" s="7">
        <v>7503.4588812627908</v>
      </c>
      <c r="I235" s="7">
        <v>0</v>
      </c>
      <c r="J235" s="2">
        <v>34.400001525878913</v>
      </c>
      <c r="K235" s="23">
        <f t="shared" si="40"/>
        <v>101158.55767717327</v>
      </c>
      <c r="L235" s="23">
        <f t="shared" si="39"/>
        <v>12.546297026977484</v>
      </c>
      <c r="M235" s="13" t="s">
        <v>9</v>
      </c>
      <c r="N235" s="7">
        <v>116847.53725464642</v>
      </c>
      <c r="O235" s="7">
        <v>64493.136198504544</v>
      </c>
      <c r="P235" s="7">
        <f t="shared" si="35"/>
        <v>73287.654771027897</v>
      </c>
      <c r="Q235" s="7">
        <v>0</v>
      </c>
      <c r="R235" s="7">
        <v>0</v>
      </c>
      <c r="S235" s="7">
        <f t="shared" si="36"/>
        <v>0</v>
      </c>
      <c r="T235" s="7">
        <v>7160.5814135004766</v>
      </c>
      <c r="U235" s="7">
        <f t="shared" si="41"/>
        <v>428436.62915108318</v>
      </c>
      <c r="V235" s="7">
        <f t="shared" si="37"/>
        <v>59.832659446244655</v>
      </c>
      <c r="W235" s="14" t="s">
        <v>10</v>
      </c>
      <c r="X235" s="7">
        <v>155770</v>
      </c>
      <c r="Y235" s="7">
        <v>1182199.0909090908</v>
      </c>
      <c r="Z235" s="7">
        <v>1240272.7272727273</v>
      </c>
      <c r="AA235" s="7">
        <v>2147</v>
      </c>
      <c r="AB235" s="7">
        <v>3282</v>
      </c>
      <c r="AC235" s="7">
        <v>0</v>
      </c>
      <c r="AD235" s="7">
        <v>1248184.08</v>
      </c>
      <c r="AE235" s="7">
        <v>112500</v>
      </c>
      <c r="AF235" s="7">
        <v>12172.128100585938</v>
      </c>
      <c r="AG235" s="7">
        <f t="shared" si="42"/>
        <v>204133.46256363636</v>
      </c>
      <c r="AH235" s="1">
        <f t="shared" si="38"/>
        <v>16.770564758828808</v>
      </c>
    </row>
    <row r="236" spans="1:34" x14ac:dyDescent="0.25">
      <c r="A236" s="13" t="s">
        <v>0</v>
      </c>
      <c r="B236" s="19">
        <v>45892</v>
      </c>
      <c r="C236" s="7">
        <v>9927.4821538453543</v>
      </c>
      <c r="D236" s="7">
        <v>32874.303892494376</v>
      </c>
      <c r="E236" s="7">
        <v>3212.5213988750306</v>
      </c>
      <c r="F236" s="7">
        <v>1289</v>
      </c>
      <c r="G236" s="7">
        <v>12508.554147218365</v>
      </c>
      <c r="H236" s="7">
        <v>7377.6067119709624</v>
      </c>
      <c r="I236" s="7">
        <v>28000</v>
      </c>
      <c r="J236" s="2">
        <v>29.79999923706055</v>
      </c>
      <c r="K236" s="23">
        <f t="shared" si="40"/>
        <v>129327.08000586389</v>
      </c>
      <c r="L236" s="23">
        <f t="shared" si="39"/>
        <v>10.339091031925816</v>
      </c>
      <c r="M236" s="13" t="s">
        <v>9</v>
      </c>
      <c r="N236" s="7">
        <v>117388.03710596263</v>
      </c>
      <c r="O236" s="7">
        <v>64123.356829319164</v>
      </c>
      <c r="P236" s="7">
        <f t="shared" si="35"/>
        <v>72867.450942408133</v>
      </c>
      <c r="Q236" s="7">
        <v>0</v>
      </c>
      <c r="R236" s="7">
        <v>0</v>
      </c>
      <c r="S236" s="7">
        <f t="shared" si="36"/>
        <v>0</v>
      </c>
      <c r="T236" s="7">
        <v>6798.5096835575532</v>
      </c>
      <c r="U236" s="7">
        <f t="shared" si="41"/>
        <v>426633.78298512439</v>
      </c>
      <c r="V236" s="7">
        <f t="shared" si="37"/>
        <v>62.754015636243622</v>
      </c>
      <c r="W236" s="14" t="s">
        <v>10</v>
      </c>
      <c r="X236" s="7">
        <v>161150</v>
      </c>
      <c r="Y236" s="7">
        <v>1259050.9090909092</v>
      </c>
      <c r="Z236" s="7">
        <v>1325090.9090909092</v>
      </c>
      <c r="AA236" s="7">
        <v>1115</v>
      </c>
      <c r="AB236" s="7">
        <v>4360</v>
      </c>
      <c r="AC236" s="7">
        <v>1289</v>
      </c>
      <c r="AD236" s="7">
        <v>1336286.1600000001</v>
      </c>
      <c r="AE236" s="7">
        <v>137500</v>
      </c>
      <c r="AF236" s="7">
        <v>12745.058282089234</v>
      </c>
      <c r="AG236" s="7">
        <f t="shared" si="42"/>
        <v>216683.65240000002</v>
      </c>
      <c r="AH236" s="1">
        <f t="shared" si="38"/>
        <v>17.001385760982188</v>
      </c>
    </row>
    <row r="237" spans="1:34" x14ac:dyDescent="0.25">
      <c r="A237" s="13" t="s">
        <v>0</v>
      </c>
      <c r="B237" s="19">
        <v>45893</v>
      </c>
      <c r="C237" s="7">
        <v>15441.423434323502</v>
      </c>
      <c r="D237" s="7">
        <v>33142.304936545173</v>
      </c>
      <c r="E237" s="7">
        <v>0</v>
      </c>
      <c r="F237" s="7">
        <v>0</v>
      </c>
      <c r="G237" s="7">
        <v>6883.0954140732292</v>
      </c>
      <c r="H237" s="7">
        <v>8249.0376417643802</v>
      </c>
      <c r="I237" s="7">
        <v>0</v>
      </c>
      <c r="J237" s="2">
        <v>31.04999923706055</v>
      </c>
      <c r="K237" s="23">
        <f t="shared" si="40"/>
        <v>141443.67356375672</v>
      </c>
      <c r="L237" s="23">
        <f t="shared" si="39"/>
        <v>20.549427990575275</v>
      </c>
      <c r="M237" s="13" t="s">
        <v>9</v>
      </c>
      <c r="N237" s="7">
        <v>117734.82717595994</v>
      </c>
      <c r="O237" s="7">
        <v>66218.788836415115</v>
      </c>
      <c r="P237" s="7">
        <f t="shared" si="35"/>
        <v>75248.623677744443</v>
      </c>
      <c r="Q237" s="7">
        <v>0</v>
      </c>
      <c r="R237" s="7">
        <v>0</v>
      </c>
      <c r="S237" s="7">
        <f t="shared" si="36"/>
        <v>0</v>
      </c>
      <c r="T237" s="7">
        <v>6865.1971831661649</v>
      </c>
      <c r="U237" s="7">
        <f t="shared" si="41"/>
        <v>438691.19570857444</v>
      </c>
      <c r="V237" s="7">
        <f t="shared" si="37"/>
        <v>63.90074225169657</v>
      </c>
      <c r="W237" s="14" t="s">
        <v>10</v>
      </c>
      <c r="X237" s="7">
        <v>154940</v>
      </c>
      <c r="Y237" s="7">
        <v>1120650</v>
      </c>
      <c r="Z237" s="7">
        <v>1227545.4545454546</v>
      </c>
      <c r="AA237" s="7">
        <v>0</v>
      </c>
      <c r="AB237" s="7">
        <v>4705</v>
      </c>
      <c r="AC237" s="7">
        <v>2790</v>
      </c>
      <c r="AD237" s="7">
        <v>1178899.92</v>
      </c>
      <c r="AE237" s="7">
        <v>125000</v>
      </c>
      <c r="AF237" s="7">
        <v>11673.050508270264</v>
      </c>
      <c r="AG237" s="7">
        <f t="shared" si="42"/>
        <v>201721.07834545453</v>
      </c>
      <c r="AH237" s="1">
        <f t="shared" si="38"/>
        <v>17.280922257856826</v>
      </c>
    </row>
    <row r="238" spans="1:34" x14ac:dyDescent="0.25">
      <c r="A238" s="13" t="s">
        <v>0</v>
      </c>
      <c r="B238" s="19">
        <v>45894</v>
      </c>
      <c r="C238" s="8">
        <v>10746.315368178361</v>
      </c>
      <c r="D238" s="8">
        <v>32913.32602253474</v>
      </c>
      <c r="E238" s="8">
        <v>24093.910491562732</v>
      </c>
      <c r="F238" s="7">
        <v>0</v>
      </c>
      <c r="G238" s="8">
        <v>7279.2868614395848</v>
      </c>
      <c r="H238" s="8">
        <v>6939.9843960243779</v>
      </c>
      <c r="I238" s="8">
        <v>120000</v>
      </c>
      <c r="J238" s="2">
        <v>31.5</v>
      </c>
      <c r="K238" s="23">
        <f t="shared" si="40"/>
        <v>296505.74924546567</v>
      </c>
      <c r="L238" s="23">
        <f t="shared" si="39"/>
        <v>40.732801837517826</v>
      </c>
      <c r="M238" s="13" t="s">
        <v>9</v>
      </c>
      <c r="N238" s="7">
        <v>116846.14273989201</v>
      </c>
      <c r="O238" s="7">
        <v>67704.607670397309</v>
      </c>
      <c r="P238" s="7">
        <f t="shared" si="35"/>
        <v>76937.054170906034</v>
      </c>
      <c r="Q238" s="7">
        <v>0</v>
      </c>
      <c r="R238" s="7">
        <v>0</v>
      </c>
      <c r="S238" s="7">
        <f t="shared" si="36"/>
        <v>0</v>
      </c>
      <c r="T238" s="7">
        <v>7402.5030339190271</v>
      </c>
      <c r="U238" s="7">
        <f t="shared" si="41"/>
        <v>446628.13212150824</v>
      </c>
      <c r="V238" s="7">
        <f t="shared" si="37"/>
        <v>60.334744893046633</v>
      </c>
      <c r="W238" s="14" t="s">
        <v>10</v>
      </c>
      <c r="X238" s="8">
        <v>156460</v>
      </c>
      <c r="Y238" s="8">
        <v>1190991.8181818181</v>
      </c>
      <c r="Z238" s="8">
        <v>1298545.4545454546</v>
      </c>
      <c r="AA238" s="8">
        <v>0</v>
      </c>
      <c r="AB238" s="8">
        <v>4010</v>
      </c>
      <c r="AC238" s="8">
        <v>2205</v>
      </c>
      <c r="AD238" s="8">
        <v>1255882.32</v>
      </c>
      <c r="AE238" s="8">
        <v>137500</v>
      </c>
      <c r="AF238" s="8">
        <v>12301.067149658204</v>
      </c>
      <c r="AG238" s="7">
        <f t="shared" si="42"/>
        <v>205060.85616363637</v>
      </c>
      <c r="AH238" s="1">
        <f t="shared" si="38"/>
        <v>16.670168016222412</v>
      </c>
    </row>
    <row r="239" spans="1:34" x14ac:dyDescent="0.25">
      <c r="A239" s="13" t="s">
        <v>0</v>
      </c>
      <c r="B239" s="19">
        <v>45895</v>
      </c>
      <c r="C239" s="9">
        <v>15339.939852474212</v>
      </c>
      <c r="D239" s="9">
        <v>32432.543929773288</v>
      </c>
      <c r="E239" s="9">
        <v>8352.5556370750801</v>
      </c>
      <c r="F239" s="9">
        <v>0</v>
      </c>
      <c r="G239" s="9">
        <v>8958.0032959122636</v>
      </c>
      <c r="H239" s="9">
        <v>6653.0033130180118</v>
      </c>
      <c r="I239" s="9">
        <v>42449</v>
      </c>
      <c r="J239" s="2">
        <v>32</v>
      </c>
      <c r="K239" s="23">
        <f t="shared" si="40"/>
        <v>207068.87757832435</v>
      </c>
      <c r="L239" s="23">
        <f t="shared" si="39"/>
        <v>23.115517011789276</v>
      </c>
      <c r="M239" s="13" t="s">
        <v>9</v>
      </c>
      <c r="N239" s="9">
        <v>117088.4158244729</v>
      </c>
      <c r="O239" s="9">
        <v>57895.290960022066</v>
      </c>
      <c r="P239" s="7">
        <f t="shared" si="35"/>
        <v>65790.103363661445</v>
      </c>
      <c r="Q239" s="9">
        <v>0</v>
      </c>
      <c r="R239" s="9">
        <v>0</v>
      </c>
      <c r="S239" s="7">
        <f t="shared" si="36"/>
        <v>0</v>
      </c>
      <c r="T239" s="9">
        <v>6346.508755263174</v>
      </c>
      <c r="U239" s="7">
        <f t="shared" si="41"/>
        <v>391191.4098130677</v>
      </c>
      <c r="V239" s="7">
        <f t="shared" si="37"/>
        <v>61.638835602117744</v>
      </c>
      <c r="W239" s="14" t="s">
        <v>10</v>
      </c>
      <c r="X239" s="9">
        <v>154200</v>
      </c>
      <c r="Y239" s="9">
        <v>1107545.4545454546</v>
      </c>
      <c r="Z239" s="9">
        <v>1220909.0909090908</v>
      </c>
      <c r="AA239" s="9">
        <v>0</v>
      </c>
      <c r="AB239" s="9">
        <v>4173</v>
      </c>
      <c r="AC239" s="9">
        <v>2182</v>
      </c>
      <c r="AD239" s="9">
        <v>1167138.72</v>
      </c>
      <c r="AE239" s="9">
        <v>187500.00000000003</v>
      </c>
      <c r="AF239" s="9">
        <v>11582.465247650147</v>
      </c>
      <c r="AG239" s="7">
        <f t="shared" si="42"/>
        <v>200711.71716363635</v>
      </c>
      <c r="AH239" s="1">
        <f t="shared" si="38"/>
        <v>17.328928934568292</v>
      </c>
    </row>
    <row r="240" spans="1:34" x14ac:dyDescent="0.25">
      <c r="A240" s="13" t="s">
        <v>0</v>
      </c>
      <c r="B240" s="19">
        <v>45896</v>
      </c>
      <c r="C240" s="10">
        <v>13427.670790568944</v>
      </c>
      <c r="D240" s="10">
        <v>31965.014635893469</v>
      </c>
      <c r="E240" s="10">
        <v>3292.834433846906</v>
      </c>
      <c r="F240" s="10">
        <v>0</v>
      </c>
      <c r="G240" s="10">
        <v>12697.700722207643</v>
      </c>
      <c r="H240" s="10">
        <v>8345.3336197831286</v>
      </c>
      <c r="I240" s="10">
        <v>16735</v>
      </c>
      <c r="J240" s="2">
        <v>29.29999923706055</v>
      </c>
      <c r="K240" s="23">
        <f t="shared" si="40"/>
        <v>151038.57736949984</v>
      </c>
      <c r="L240" s="23">
        <f t="shared" si="39"/>
        <v>11.89495489567973</v>
      </c>
      <c r="M240" s="13" t="s">
        <v>9</v>
      </c>
      <c r="N240" s="10">
        <v>84560.368993386626</v>
      </c>
      <c r="O240" s="10">
        <v>42964.661379194695</v>
      </c>
      <c r="P240" s="7">
        <f t="shared" si="35"/>
        <v>48823.478839993972</v>
      </c>
      <c r="Q240" s="10">
        <v>0</v>
      </c>
      <c r="R240" s="10">
        <v>0</v>
      </c>
      <c r="S240" s="7">
        <f t="shared" si="36"/>
        <v>0</v>
      </c>
      <c r="T240" s="10">
        <v>4786.4365211657714</v>
      </c>
      <c r="U240" s="7">
        <f t="shared" si="41"/>
        <v>289047.64127379877</v>
      </c>
      <c r="V240" s="7">
        <f t="shared" si="37"/>
        <v>60.388901011351784</v>
      </c>
      <c r="W240" s="14" t="s">
        <v>10</v>
      </c>
      <c r="X240" s="10">
        <v>150400</v>
      </c>
      <c r="Y240" s="10">
        <v>1122425.4545454546</v>
      </c>
      <c r="Z240" s="10">
        <v>1226818.1818181819</v>
      </c>
      <c r="AA240" s="10">
        <v>0</v>
      </c>
      <c r="AB240" s="10">
        <v>4098</v>
      </c>
      <c r="AC240" s="10">
        <v>2071</v>
      </c>
      <c r="AD240" s="10">
        <v>1194082.56</v>
      </c>
      <c r="AE240" s="10">
        <v>137500</v>
      </c>
      <c r="AF240" s="10">
        <v>11702.698103332519</v>
      </c>
      <c r="AG240" s="7">
        <f t="shared" si="42"/>
        <v>197052.04567272728</v>
      </c>
      <c r="AH240" s="1">
        <f t="shared" si="38"/>
        <v>16.838172183268895</v>
      </c>
    </row>
    <row r="241" spans="1:34" x14ac:dyDescent="0.25">
      <c r="A241" s="13" t="s">
        <v>0</v>
      </c>
      <c r="B241" s="19">
        <v>45897</v>
      </c>
      <c r="C241" s="7">
        <v>15507.089281402456</v>
      </c>
      <c r="D241" s="7">
        <v>35370.247681868532</v>
      </c>
      <c r="E241" s="7">
        <v>8031.3034971875759</v>
      </c>
      <c r="F241" s="7">
        <v>0</v>
      </c>
      <c r="G241" s="7">
        <v>14741.067840955875</v>
      </c>
      <c r="H241" s="7">
        <v>9222.4851027261739</v>
      </c>
      <c r="I241" s="7">
        <v>40816</v>
      </c>
      <c r="J241" s="2">
        <v>30.29999923706055</v>
      </c>
      <c r="K241" s="23">
        <f t="shared" si="40"/>
        <v>207422.58306621065</v>
      </c>
      <c r="L241" s="23">
        <f t="shared" si="39"/>
        <v>14.071069023230304</v>
      </c>
      <c r="M241" s="13" t="s">
        <v>9</v>
      </c>
      <c r="N241" s="7">
        <v>117672.80854350328</v>
      </c>
      <c r="O241" s="7">
        <v>66846.722904968366</v>
      </c>
      <c r="P241" s="7">
        <f t="shared" si="35"/>
        <v>75962.185119282236</v>
      </c>
      <c r="Q241" s="7">
        <v>0</v>
      </c>
      <c r="R241" s="7">
        <v>0</v>
      </c>
      <c r="S241" s="7">
        <f t="shared" si="36"/>
        <v>0</v>
      </c>
      <c r="T241" s="7">
        <v>5709.5924724819852</v>
      </c>
      <c r="U241" s="7">
        <f t="shared" si="41"/>
        <v>442214.80943311378</v>
      </c>
      <c r="V241" s="7">
        <f t="shared" si="37"/>
        <v>77.451203665483504</v>
      </c>
      <c r="W241" s="14" t="s">
        <v>10</v>
      </c>
      <c r="X241" s="7">
        <v>128020</v>
      </c>
      <c r="Y241" s="7">
        <v>980050.90909090906</v>
      </c>
      <c r="Z241" s="7">
        <v>1074272.7272727273</v>
      </c>
      <c r="AA241" s="7">
        <v>0</v>
      </c>
      <c r="AB241" s="7">
        <v>4146</v>
      </c>
      <c r="AC241" s="7">
        <v>1707</v>
      </c>
      <c r="AD241" s="7">
        <v>1030922.6400000001</v>
      </c>
      <c r="AE241" s="7">
        <v>100000</v>
      </c>
      <c r="AF241" s="7">
        <v>10246.698715629578</v>
      </c>
      <c r="AG241" s="7">
        <f t="shared" si="42"/>
        <v>172132.81778181819</v>
      </c>
      <c r="AH241" s="1">
        <f t="shared" si="38"/>
        <v>16.798856154447009</v>
      </c>
    </row>
    <row r="242" spans="1:34" x14ac:dyDescent="0.25">
      <c r="A242" s="13" t="s">
        <v>0</v>
      </c>
      <c r="B242" s="19">
        <v>45898</v>
      </c>
      <c r="C242" s="7">
        <v>15042.453666465015</v>
      </c>
      <c r="D242" s="7">
        <v>41611.579688512982</v>
      </c>
      <c r="E242" s="7">
        <v>4015.6517485937879</v>
      </c>
      <c r="F242" s="7">
        <v>0</v>
      </c>
      <c r="G242" s="7">
        <v>14346.211036436776</v>
      </c>
      <c r="H242" s="7">
        <v>9814.5623537127267</v>
      </c>
      <c r="I242" s="7">
        <v>20408</v>
      </c>
      <c r="J242" s="2">
        <v>33.900001525878913</v>
      </c>
      <c r="K242" s="23">
        <f t="shared" si="40"/>
        <v>174950.13880593388</v>
      </c>
      <c r="L242" s="23">
        <f t="shared" si="39"/>
        <v>12.194867227422783</v>
      </c>
      <c r="M242" s="13" t="s">
        <v>9</v>
      </c>
      <c r="N242" s="7">
        <v>115280.52929580212</v>
      </c>
      <c r="O242" s="7">
        <v>64776.338622747062</v>
      </c>
      <c r="P242" s="7">
        <f t="shared" si="35"/>
        <v>73609.475707667109</v>
      </c>
      <c r="Q242" s="7">
        <v>0</v>
      </c>
      <c r="R242" s="7">
        <v>0</v>
      </c>
      <c r="S242" s="7">
        <f t="shared" si="36"/>
        <v>0</v>
      </c>
      <c r="T242" s="7">
        <v>5718.2103471099617</v>
      </c>
      <c r="U242" s="7">
        <f t="shared" si="41"/>
        <v>429194.72222245368</v>
      </c>
      <c r="V242" s="7">
        <f t="shared" si="37"/>
        <v>75.057526073585734</v>
      </c>
      <c r="W242" s="14" t="s">
        <v>10</v>
      </c>
      <c r="X242" s="7">
        <v>151140</v>
      </c>
      <c r="Y242" s="7">
        <v>1036358.1818181819</v>
      </c>
      <c r="Z242" s="7">
        <v>1142818.1818181816</v>
      </c>
      <c r="AA242" s="7">
        <v>3637</v>
      </c>
      <c r="AB242" s="7">
        <v>3672</v>
      </c>
      <c r="AC242" s="7">
        <v>1402</v>
      </c>
      <c r="AD242" s="7">
        <v>1130144.3999999999</v>
      </c>
      <c r="AE242" s="7">
        <v>125000</v>
      </c>
      <c r="AF242" s="7">
        <v>10836.784121589661</v>
      </c>
      <c r="AG242" s="7">
        <f t="shared" si="42"/>
        <v>199570.15600000002</v>
      </c>
      <c r="AH242" s="1">
        <f t="shared" si="38"/>
        <v>18.415994427941492</v>
      </c>
    </row>
    <row r="243" spans="1:34" x14ac:dyDescent="0.25">
      <c r="A243" s="13" t="s">
        <v>0</v>
      </c>
      <c r="B243" s="19">
        <v>45899</v>
      </c>
      <c r="C243" s="7">
        <v>16783.593551134225</v>
      </c>
      <c r="D243" s="7">
        <v>40599.213107277152</v>
      </c>
      <c r="E243" s="7">
        <v>28189.875275128394</v>
      </c>
      <c r="F243" s="7">
        <v>0</v>
      </c>
      <c r="G243" s="7">
        <v>15358.495788382193</v>
      </c>
      <c r="H243" s="7">
        <v>9298.7591447212199</v>
      </c>
      <c r="I243" s="7">
        <v>125000</v>
      </c>
      <c r="J243" s="2">
        <v>32.700000762939453</v>
      </c>
      <c r="K243" s="23">
        <f t="shared" si="40"/>
        <v>381728.10928158171</v>
      </c>
      <c r="L243" s="23">
        <f t="shared" si="39"/>
        <v>24.854524462632387</v>
      </c>
      <c r="M243" s="13" t="s">
        <v>9</v>
      </c>
      <c r="N243" s="7">
        <v>118198.65420788527</v>
      </c>
      <c r="O243" s="7">
        <v>71417.818372710826</v>
      </c>
      <c r="P243" s="7">
        <f t="shared" si="35"/>
        <v>81156.611787171394</v>
      </c>
      <c r="Q243" s="7">
        <v>0</v>
      </c>
      <c r="R243" s="7">
        <v>0</v>
      </c>
      <c r="S243" s="7">
        <f t="shared" si="36"/>
        <v>0</v>
      </c>
      <c r="T243" s="7">
        <v>7303.5734024491321</v>
      </c>
      <c r="U243" s="7">
        <f t="shared" si="41"/>
        <v>468392.98303130746</v>
      </c>
      <c r="V243" s="7">
        <f t="shared" si="37"/>
        <v>64.132029243964283</v>
      </c>
      <c r="W243" s="14" t="s">
        <v>10</v>
      </c>
      <c r="X243" s="8">
        <v>158600</v>
      </c>
      <c r="Y243" s="8">
        <v>1122848.1818181819</v>
      </c>
      <c r="Z243" s="8">
        <v>1232727.2727272727</v>
      </c>
      <c r="AA243" s="8">
        <v>9291</v>
      </c>
      <c r="AB243" s="8">
        <v>4086</v>
      </c>
      <c r="AC243" s="8">
        <v>483</v>
      </c>
      <c r="AD243" s="8">
        <v>1211296.6800000002</v>
      </c>
      <c r="AE243" s="8">
        <v>125000</v>
      </c>
      <c r="AF243" s="8">
        <v>11720.429708709717</v>
      </c>
      <c r="AG243" s="7">
        <f t="shared" si="42"/>
        <v>229189.89610909091</v>
      </c>
      <c r="AH243" s="1">
        <f t="shared" si="38"/>
        <v>19.554734920578444</v>
      </c>
    </row>
    <row r="244" spans="1:34" x14ac:dyDescent="0.25">
      <c r="A244" s="13" t="s">
        <v>0</v>
      </c>
      <c r="B244" s="19">
        <v>45900</v>
      </c>
      <c r="C244" s="7">
        <v>12203.898185915727</v>
      </c>
      <c r="D244" s="7">
        <v>35708.194053350162</v>
      </c>
      <c r="E244" s="7">
        <v>0</v>
      </c>
      <c r="F244" s="7">
        <v>0</v>
      </c>
      <c r="G244" s="7">
        <v>17936.660885854406</v>
      </c>
      <c r="H244" s="7">
        <v>8619.3481156503349</v>
      </c>
      <c r="I244" s="7">
        <v>0</v>
      </c>
      <c r="J244" s="2">
        <v>28.79999923706055</v>
      </c>
      <c r="K244" s="23">
        <f t="shared" si="40"/>
        <v>116925.81417432081</v>
      </c>
      <c r="L244" s="23">
        <f t="shared" si="39"/>
        <v>6.5188172379694906</v>
      </c>
      <c r="M244" s="13" t="s">
        <v>9</v>
      </c>
      <c r="N244" s="7">
        <v>116014.76120278239</v>
      </c>
      <c r="O244" s="7">
        <v>67708.947367906148</v>
      </c>
      <c r="P244" s="7">
        <f t="shared" si="35"/>
        <v>76941.985645347901</v>
      </c>
      <c r="Q244" s="7">
        <v>0</v>
      </c>
      <c r="R244" s="7">
        <v>0</v>
      </c>
      <c r="S244" s="7">
        <f t="shared" si="36"/>
        <v>0</v>
      </c>
      <c r="T244" s="7">
        <v>4307.0232221781771</v>
      </c>
      <c r="U244" s="7">
        <f t="shared" si="41"/>
        <v>446203.7694915618</v>
      </c>
      <c r="V244" s="7">
        <f t="shared" si="37"/>
        <v>103.59910928595008</v>
      </c>
      <c r="W244" s="14" t="s">
        <v>10</v>
      </c>
      <c r="X244" s="7">
        <v>158500</v>
      </c>
      <c r="Y244" s="7">
        <v>1186088.1818181819</v>
      </c>
      <c r="Z244" s="7">
        <v>1244454.5454545454</v>
      </c>
      <c r="AA244" s="7">
        <v>9232</v>
      </c>
      <c r="AB244" s="7">
        <v>4707</v>
      </c>
      <c r="AC244" s="7">
        <v>0</v>
      </c>
      <c r="AD244" s="7">
        <v>1257486.1200000001</v>
      </c>
      <c r="AE244" s="7">
        <v>125000</v>
      </c>
      <c r="AF244" s="7">
        <v>12007.047649230957</v>
      </c>
      <c r="AG244" s="7">
        <f t="shared" si="42"/>
        <v>234934.35043636366</v>
      </c>
      <c r="AH244" s="1">
        <f t="shared" si="38"/>
        <v>19.566371126328548</v>
      </c>
    </row>
    <row r="245" spans="1:34" x14ac:dyDescent="0.25">
      <c r="A245" s="13" t="s">
        <v>0</v>
      </c>
      <c r="B245" s="19">
        <v>45901</v>
      </c>
      <c r="C245" s="7">
        <v>12529</v>
      </c>
      <c r="D245" s="7">
        <v>42165</v>
      </c>
      <c r="E245" s="7">
        <v>24225</v>
      </c>
      <c r="F245" s="7">
        <v>0</v>
      </c>
      <c r="G245" s="7">
        <v>7003</v>
      </c>
      <c r="H245" s="7">
        <v>5987</v>
      </c>
      <c r="I245" s="7">
        <v>96900</v>
      </c>
      <c r="J245" s="2">
        <v>31.29999923706055</v>
      </c>
      <c r="K245" s="23">
        <f>C245*7.9+D245*0.54+E245*7.8+F245*5</f>
        <v>310703.2</v>
      </c>
      <c r="L245" s="23">
        <f t="shared" si="39"/>
        <v>44.367156932743114</v>
      </c>
      <c r="M245" s="13" t="s">
        <v>9</v>
      </c>
      <c r="N245" s="7">
        <v>115155.42981542647</v>
      </c>
      <c r="O245" s="7">
        <v>63256.111371802945</v>
      </c>
      <c r="P245" s="7">
        <f t="shared" si="35"/>
        <v>71881.944740685169</v>
      </c>
      <c r="Q245" s="7">
        <v>0</v>
      </c>
      <c r="R245" s="7">
        <v>0</v>
      </c>
      <c r="S245" s="7">
        <f t="shared" si="36"/>
        <v>0</v>
      </c>
      <c r="T245" s="7">
        <v>6134.8586739369639</v>
      </c>
      <c r="U245" s="7">
        <f>N245*0.54+P245*4.916+Q245*4.18+S245*8.75</f>
        <v>415555.57244553859</v>
      </c>
      <c r="V245" s="7">
        <f t="shared" si="37"/>
        <v>67.736780019230878</v>
      </c>
      <c r="W245" s="14" t="s">
        <v>10</v>
      </c>
      <c r="X245" s="7">
        <v>143450</v>
      </c>
      <c r="Y245" s="7">
        <v>979881.81818181823</v>
      </c>
      <c r="Z245" s="7">
        <v>1072000</v>
      </c>
      <c r="AA245" s="7">
        <v>9321</v>
      </c>
      <c r="AB245" s="7">
        <v>4082</v>
      </c>
      <c r="AC245" s="7">
        <v>0</v>
      </c>
      <c r="AD245" s="7">
        <v>1017023.04</v>
      </c>
      <c r="AE245" s="7">
        <v>125000</v>
      </c>
      <c r="AF245" s="7">
        <v>10172.145168533325</v>
      </c>
      <c r="AG245" s="7">
        <f t="shared" si="42"/>
        <v>208946.97741818184</v>
      </c>
      <c r="AH245" s="1">
        <f t="shared" si="38"/>
        <v>20.541092754411501</v>
      </c>
    </row>
    <row r="246" spans="1:34" x14ac:dyDescent="0.25">
      <c r="A246" s="13" t="s">
        <v>0</v>
      </c>
      <c r="B246" s="19">
        <v>45902</v>
      </c>
      <c r="C246" s="7">
        <v>13867</v>
      </c>
      <c r="D246" s="7">
        <v>42438</v>
      </c>
      <c r="E246" s="7">
        <v>20500</v>
      </c>
      <c r="F246" s="7">
        <v>0</v>
      </c>
      <c r="G246" s="7">
        <v>11587</v>
      </c>
      <c r="H246" s="7">
        <v>7825</v>
      </c>
      <c r="I246" s="7">
        <v>82000</v>
      </c>
      <c r="J246" s="2">
        <v>32.700000762939453</v>
      </c>
      <c r="K246" s="23">
        <f t="shared" ref="K246:K274" si="43">C246*7.9+D246*0.54+E246*7.8+F246*5</f>
        <v>292365.82</v>
      </c>
      <c r="L246" s="23">
        <f t="shared" si="39"/>
        <v>25.232227496332097</v>
      </c>
      <c r="M246" s="13" t="s">
        <v>9</v>
      </c>
      <c r="N246" s="7">
        <v>113328.25876523554</v>
      </c>
      <c r="O246" s="7">
        <v>67338.239598485408</v>
      </c>
      <c r="P246" s="7">
        <f t="shared" si="35"/>
        <v>76520.726816460694</v>
      </c>
      <c r="Q246" s="7">
        <v>0</v>
      </c>
      <c r="R246" s="7">
        <v>0</v>
      </c>
      <c r="S246" s="7">
        <f t="shared" si="36"/>
        <v>0</v>
      </c>
      <c r="T246" s="7">
        <v>5401.2099510203043</v>
      </c>
      <c r="U246" s="7">
        <f t="shared" ref="U246:U274" si="44">N246*0.54+P246*4.916+Q246*4.18+S246*8.75</f>
        <v>437373.15276294801</v>
      </c>
      <c r="V246" s="7">
        <f t="shared" si="37"/>
        <v>80.976884203571259</v>
      </c>
      <c r="W246" s="14" t="s">
        <v>10</v>
      </c>
      <c r="X246" s="7">
        <v>140480</v>
      </c>
      <c r="Y246" s="7">
        <v>961366.36363636376</v>
      </c>
      <c r="Z246" s="7">
        <v>1047727.2727272727</v>
      </c>
      <c r="AA246" s="7">
        <v>9138</v>
      </c>
      <c r="AB246" s="7">
        <v>4313</v>
      </c>
      <c r="AC246" s="7">
        <v>0</v>
      </c>
      <c r="AD246" s="7">
        <v>999274.32000000007</v>
      </c>
      <c r="AE246" s="7">
        <v>100000</v>
      </c>
      <c r="AF246" s="7">
        <v>10059.500685729981</v>
      </c>
      <c r="AG246" s="7">
        <f t="shared" si="42"/>
        <v>205253.52889090913</v>
      </c>
      <c r="AH246" s="1">
        <f t="shared" si="38"/>
        <v>20.403947999334981</v>
      </c>
    </row>
    <row r="247" spans="1:34" x14ac:dyDescent="0.25">
      <c r="A247" s="13" t="s">
        <v>0</v>
      </c>
      <c r="B247" s="19">
        <v>45903</v>
      </c>
      <c r="C247" s="7">
        <v>12762</v>
      </c>
      <c r="D247" s="7">
        <v>46458</v>
      </c>
      <c r="E247" s="7">
        <v>36000</v>
      </c>
      <c r="F247" s="7">
        <v>2</v>
      </c>
      <c r="G247" s="7">
        <v>11646</v>
      </c>
      <c r="H247" s="7">
        <v>9359</v>
      </c>
      <c r="I247" s="7">
        <v>144000</v>
      </c>
      <c r="J247" s="2">
        <v>33.549999237060547</v>
      </c>
      <c r="K247" s="23">
        <f t="shared" si="43"/>
        <v>406717.12</v>
      </c>
      <c r="L247" s="23">
        <f t="shared" si="39"/>
        <v>34.923331616005498</v>
      </c>
      <c r="M247" s="13" t="s">
        <v>9</v>
      </c>
      <c r="N247" s="7">
        <v>113328.25876523554</v>
      </c>
      <c r="O247" s="7">
        <v>67338.239598485408</v>
      </c>
      <c r="P247" s="7">
        <f t="shared" si="35"/>
        <v>76520.726816460694</v>
      </c>
      <c r="Q247" s="7">
        <v>0</v>
      </c>
      <c r="R247" s="7">
        <v>0</v>
      </c>
      <c r="S247" s="7">
        <f t="shared" si="36"/>
        <v>0</v>
      </c>
      <c r="T247" s="7">
        <v>5401.2099510203043</v>
      </c>
      <c r="U247" s="7">
        <f t="shared" si="44"/>
        <v>437373.15276294801</v>
      </c>
      <c r="V247" s="7">
        <f t="shared" si="37"/>
        <v>80.976884203571259</v>
      </c>
      <c r="W247" s="14" t="s">
        <v>10</v>
      </c>
      <c r="X247" s="7">
        <v>147070</v>
      </c>
      <c r="Y247" s="7">
        <v>1111434.5454545454</v>
      </c>
      <c r="Z247" s="7">
        <v>1193545.4545454546</v>
      </c>
      <c r="AA247" s="7">
        <v>9017</v>
      </c>
      <c r="AB247" s="7">
        <v>4207</v>
      </c>
      <c r="AC247" s="7">
        <v>2</v>
      </c>
      <c r="AD247" s="7">
        <v>1138056.48</v>
      </c>
      <c r="AE247" s="7">
        <v>75000</v>
      </c>
      <c r="AF247" s="7">
        <v>11594.74888053894</v>
      </c>
      <c r="AG247" s="7">
        <f t="shared" si="42"/>
        <v>217818.98629090909</v>
      </c>
      <c r="AH247" s="1">
        <f t="shared" si="38"/>
        <v>18.786002916932908</v>
      </c>
    </row>
    <row r="248" spans="1:34" x14ac:dyDescent="0.25">
      <c r="A248" s="13" t="s">
        <v>0</v>
      </c>
      <c r="B248" s="19">
        <v>45904</v>
      </c>
      <c r="C248" s="7">
        <v>14665</v>
      </c>
      <c r="D248" s="7">
        <v>40367</v>
      </c>
      <c r="E248" s="7">
        <v>30700</v>
      </c>
      <c r="F248" s="7">
        <v>0</v>
      </c>
      <c r="G248" s="7">
        <v>16628</v>
      </c>
      <c r="H248" s="7">
        <v>9164</v>
      </c>
      <c r="I248" s="7">
        <v>122800</v>
      </c>
      <c r="J248" s="2">
        <v>35.400001525878913</v>
      </c>
      <c r="K248" s="23">
        <f t="shared" si="43"/>
        <v>377111.68</v>
      </c>
      <c r="L248" s="23">
        <f t="shared" si="39"/>
        <v>22.679316815010825</v>
      </c>
      <c r="M248" s="13" t="s">
        <v>9</v>
      </c>
      <c r="N248" s="7">
        <v>65921.880515635014</v>
      </c>
      <c r="O248" s="7">
        <v>21533.806778526014</v>
      </c>
      <c r="P248" s="7">
        <f t="shared" si="35"/>
        <v>24470.234975597741</v>
      </c>
      <c r="Q248" s="7">
        <v>0</v>
      </c>
      <c r="R248" s="7">
        <v>0</v>
      </c>
      <c r="S248" s="7">
        <f t="shared" si="36"/>
        <v>0</v>
      </c>
      <c r="T248" s="7">
        <v>1042.1701013470811</v>
      </c>
      <c r="U248" s="7">
        <f t="shared" si="44"/>
        <v>155893.49061848142</v>
      </c>
      <c r="V248" s="7">
        <f t="shared" si="37"/>
        <v>149.58545674739437</v>
      </c>
      <c r="W248" s="14" t="s">
        <v>10</v>
      </c>
      <c r="X248" s="7">
        <v>159440</v>
      </c>
      <c r="Y248" s="7">
        <v>1243071.8181818181</v>
      </c>
      <c r="Z248" s="7">
        <v>1326181.8181818181</v>
      </c>
      <c r="AA248" s="7">
        <v>9144</v>
      </c>
      <c r="AB248" s="7">
        <v>4674</v>
      </c>
      <c r="AC248" s="7">
        <v>0</v>
      </c>
      <c r="AD248" s="7">
        <v>1266895.08</v>
      </c>
      <c r="AE248" s="7">
        <v>75000</v>
      </c>
      <c r="AF248" s="7">
        <v>12804.817147064208</v>
      </c>
      <c r="AG248" s="7">
        <f t="shared" si="42"/>
        <v>237143.39120000001</v>
      </c>
      <c r="AH248" s="1">
        <f t="shared" si="38"/>
        <v>18.5198576814016</v>
      </c>
    </row>
    <row r="249" spans="1:34" x14ac:dyDescent="0.25">
      <c r="A249" s="13" t="s">
        <v>0</v>
      </c>
      <c r="B249" s="19">
        <v>45905</v>
      </c>
      <c r="C249" s="8">
        <v>10944</v>
      </c>
      <c r="D249" s="8">
        <v>43351</v>
      </c>
      <c r="E249" s="8">
        <v>0</v>
      </c>
      <c r="F249" s="7">
        <v>0</v>
      </c>
      <c r="G249" s="8">
        <v>14002</v>
      </c>
      <c r="H249" s="8">
        <v>9269</v>
      </c>
      <c r="I249" s="8">
        <v>0</v>
      </c>
      <c r="J249" s="2">
        <v>35.349998474121087</v>
      </c>
      <c r="K249" s="23">
        <f t="shared" si="43"/>
        <v>109867.14000000001</v>
      </c>
      <c r="L249" s="23">
        <f t="shared" si="39"/>
        <v>7.8465319240108569</v>
      </c>
      <c r="M249" s="13" t="s">
        <v>9</v>
      </c>
      <c r="N249" s="7">
        <v>117519.41128881276</v>
      </c>
      <c r="O249" s="7">
        <v>69721.891567251078</v>
      </c>
      <c r="P249" s="7">
        <f t="shared" si="35"/>
        <v>79229.422235512582</v>
      </c>
      <c r="Q249" s="7">
        <v>0</v>
      </c>
      <c r="R249" s="7">
        <v>0</v>
      </c>
      <c r="S249" s="7">
        <f t="shared" si="36"/>
        <v>0</v>
      </c>
      <c r="T249" s="7">
        <v>6316.9531192277282</v>
      </c>
      <c r="U249" s="7">
        <f t="shared" si="44"/>
        <v>452952.32180573879</v>
      </c>
      <c r="V249" s="7">
        <f t="shared" si="37"/>
        <v>71.704239885369603</v>
      </c>
      <c r="W249" s="14" t="s">
        <v>10</v>
      </c>
      <c r="X249" s="8">
        <v>162110</v>
      </c>
      <c r="Y249" s="8">
        <v>1269365.4545454546</v>
      </c>
      <c r="Z249" s="8">
        <v>1351727.2727272727</v>
      </c>
      <c r="AA249" s="8">
        <v>9034</v>
      </c>
      <c r="AB249" s="8">
        <v>4806</v>
      </c>
      <c r="AC249" s="8">
        <v>0</v>
      </c>
      <c r="AD249" s="8">
        <v>1292021.28</v>
      </c>
      <c r="AE249" s="8">
        <v>87500</v>
      </c>
      <c r="AF249" s="8">
        <v>12917.049653320313</v>
      </c>
      <c r="AG249" s="7">
        <f t="shared" si="42"/>
        <v>241421.40738181819</v>
      </c>
      <c r="AH249" s="1">
        <f t="shared" si="38"/>
        <v>18.690135430404659</v>
      </c>
    </row>
    <row r="250" spans="1:34" x14ac:dyDescent="0.25">
      <c r="A250" s="13" t="s">
        <v>0</v>
      </c>
      <c r="B250" s="19">
        <v>45906</v>
      </c>
      <c r="C250" s="7">
        <v>14463</v>
      </c>
      <c r="D250" s="7">
        <v>47195</v>
      </c>
      <c r="E250" s="7">
        <v>0</v>
      </c>
      <c r="F250" s="7">
        <v>0</v>
      </c>
      <c r="G250" s="7">
        <v>7775</v>
      </c>
      <c r="H250" s="7">
        <v>8428</v>
      </c>
      <c r="I250" s="7">
        <v>0</v>
      </c>
      <c r="J250" s="2">
        <v>36.099998474121087</v>
      </c>
      <c r="K250" s="23">
        <f t="shared" si="43"/>
        <v>139743</v>
      </c>
      <c r="L250" s="23">
        <f t="shared" si="39"/>
        <v>17.97337620578778</v>
      </c>
      <c r="M250" s="13" t="s">
        <v>9</v>
      </c>
      <c r="N250" s="7">
        <v>109888.96304683387</v>
      </c>
      <c r="O250" s="7">
        <v>48519.12465701389</v>
      </c>
      <c r="P250" s="7">
        <f t="shared" si="35"/>
        <v>55135.368928424876</v>
      </c>
      <c r="Q250" s="7">
        <v>0</v>
      </c>
      <c r="R250" s="7">
        <v>0</v>
      </c>
      <c r="S250" s="7">
        <f t="shared" si="36"/>
        <v>0</v>
      </c>
      <c r="T250" s="7">
        <v>4320.9265750936029</v>
      </c>
      <c r="U250" s="7">
        <f t="shared" si="44"/>
        <v>330385.513697427</v>
      </c>
      <c r="V250" s="7">
        <f t="shared" si="37"/>
        <v>76.461728278793984</v>
      </c>
      <c r="W250" s="14" t="s">
        <v>10</v>
      </c>
      <c r="X250" s="7">
        <v>155450</v>
      </c>
      <c r="Y250" s="7">
        <v>1156497.2727272727</v>
      </c>
      <c r="Z250" s="7">
        <v>1253545.4545454546</v>
      </c>
      <c r="AA250" s="7">
        <v>6111</v>
      </c>
      <c r="AB250" s="7">
        <v>4846</v>
      </c>
      <c r="AC250" s="7">
        <v>0</v>
      </c>
      <c r="AD250" s="7">
        <v>1186384.3199999998</v>
      </c>
      <c r="AE250" s="7">
        <v>87500</v>
      </c>
      <c r="AF250" s="7">
        <v>11912.1</v>
      </c>
      <c r="AG250" s="7">
        <f t="shared" si="42"/>
        <v>221312.89161818183</v>
      </c>
      <c r="AH250" s="1">
        <f t="shared" si="38"/>
        <v>18.578830904557705</v>
      </c>
    </row>
    <row r="251" spans="1:34" x14ac:dyDescent="0.25">
      <c r="A251" s="13" t="s">
        <v>0</v>
      </c>
      <c r="B251" s="19">
        <v>45907</v>
      </c>
      <c r="C251" s="7">
        <v>13603</v>
      </c>
      <c r="D251" s="7">
        <v>47147</v>
      </c>
      <c r="E251" s="7">
        <v>0</v>
      </c>
      <c r="F251" s="7">
        <v>0</v>
      </c>
      <c r="G251" s="7">
        <v>12939</v>
      </c>
      <c r="H251" s="7">
        <v>6998</v>
      </c>
      <c r="I251" s="7">
        <v>0</v>
      </c>
      <c r="J251" s="2">
        <v>34.049999237060547</v>
      </c>
      <c r="K251" s="23">
        <f t="shared" si="43"/>
        <v>132923.08000000002</v>
      </c>
      <c r="L251" s="23">
        <f t="shared" si="39"/>
        <v>10.273056650436665</v>
      </c>
      <c r="M251" s="13" t="s">
        <v>9</v>
      </c>
      <c r="N251" s="7">
        <v>116890.97995272279</v>
      </c>
      <c r="O251" s="7">
        <v>68123.739667317743</v>
      </c>
      <c r="P251" s="7">
        <f t="shared" si="35"/>
        <v>77413.340531042893</v>
      </c>
      <c r="Q251" s="7">
        <v>0</v>
      </c>
      <c r="R251" s="7">
        <v>0</v>
      </c>
      <c r="S251" s="7">
        <f t="shared" si="36"/>
        <v>0</v>
      </c>
      <c r="T251" s="7">
        <v>6640.6904368232135</v>
      </c>
      <c r="U251" s="7">
        <f t="shared" si="44"/>
        <v>443685.11122507718</v>
      </c>
      <c r="V251" s="7">
        <f t="shared" si="37"/>
        <v>66.813099548324701</v>
      </c>
      <c r="W251" s="14" t="s">
        <v>10</v>
      </c>
      <c r="X251" s="7">
        <v>157120</v>
      </c>
      <c r="Y251" s="7">
        <v>1146690</v>
      </c>
      <c r="Z251" s="7">
        <v>1235090.9090909092</v>
      </c>
      <c r="AA251" s="7">
        <v>6112</v>
      </c>
      <c r="AB251" s="7">
        <v>4649</v>
      </c>
      <c r="AC251" s="7">
        <v>0</v>
      </c>
      <c r="AD251" s="7">
        <v>1197290.1600000001</v>
      </c>
      <c r="AE251" s="7">
        <v>100000</v>
      </c>
      <c r="AF251" s="7">
        <v>11783.063654632568</v>
      </c>
      <c r="AG251" s="7">
        <f t="shared" si="42"/>
        <v>221088.72649090909</v>
      </c>
      <c r="AH251" s="1">
        <f t="shared" si="38"/>
        <v>18.763263355874937</v>
      </c>
    </row>
    <row r="252" spans="1:34" x14ac:dyDescent="0.25">
      <c r="A252" s="13" t="s">
        <v>0</v>
      </c>
      <c r="B252" s="19">
        <v>45908</v>
      </c>
      <c r="C252" s="7">
        <v>15709</v>
      </c>
      <c r="D252" s="7">
        <v>47922</v>
      </c>
      <c r="E252" s="7">
        <v>33700</v>
      </c>
      <c r="F252" s="7">
        <v>0</v>
      </c>
      <c r="G252" s="7">
        <v>13882</v>
      </c>
      <c r="H252" s="7">
        <v>7523</v>
      </c>
      <c r="I252" s="7">
        <v>137551</v>
      </c>
      <c r="J252" s="2">
        <v>26.70000076293945</v>
      </c>
      <c r="K252" s="23">
        <f t="shared" si="43"/>
        <v>412838.98</v>
      </c>
      <c r="L252" s="23">
        <f t="shared" si="39"/>
        <v>29.739157181962252</v>
      </c>
      <c r="M252" s="13" t="s">
        <v>9</v>
      </c>
      <c r="N252" s="7">
        <v>116247.39099504054</v>
      </c>
      <c r="O252" s="7">
        <v>68849.033556705763</v>
      </c>
      <c r="P252" s="7">
        <f t="shared" si="35"/>
        <v>78237.53813262019</v>
      </c>
      <c r="Q252" s="7">
        <v>0</v>
      </c>
      <c r="R252" s="7">
        <v>0</v>
      </c>
      <c r="S252" s="7">
        <f t="shared" si="36"/>
        <v>0</v>
      </c>
      <c r="T252" s="7">
        <v>6702.4169568533543</v>
      </c>
      <c r="U252" s="7">
        <f t="shared" si="44"/>
        <v>447389.32859728276</v>
      </c>
      <c r="V252" s="7">
        <f t="shared" si="37"/>
        <v>66.75044711144362</v>
      </c>
      <c r="W252" s="14" t="s">
        <v>10</v>
      </c>
      <c r="X252" s="7">
        <v>157030</v>
      </c>
      <c r="Y252" s="7">
        <v>1189808.1818181819</v>
      </c>
      <c r="Z252" s="7">
        <v>1276363.6363636362</v>
      </c>
      <c r="AA252" s="7">
        <v>6130</v>
      </c>
      <c r="AB252" s="7">
        <v>4828</v>
      </c>
      <c r="AC252" s="7">
        <v>0</v>
      </c>
      <c r="AD252" s="7">
        <v>1262939.04</v>
      </c>
      <c r="AE252" s="7">
        <v>87500</v>
      </c>
      <c r="AF252" s="7">
        <v>12203.773149719238</v>
      </c>
      <c r="AG252" s="7">
        <f t="shared" si="42"/>
        <v>224960.95514545456</v>
      </c>
      <c r="AH252" s="1">
        <f t="shared" si="38"/>
        <v>18.433721471676982</v>
      </c>
    </row>
    <row r="253" spans="1:34" x14ac:dyDescent="0.25">
      <c r="A253" s="13" t="s">
        <v>0</v>
      </c>
      <c r="B253" s="19">
        <v>45909</v>
      </c>
      <c r="C253" s="7">
        <v>17016</v>
      </c>
      <c r="D253" s="7">
        <v>45051</v>
      </c>
      <c r="E253" s="7">
        <v>33000</v>
      </c>
      <c r="F253" s="7">
        <v>0</v>
      </c>
      <c r="G253" s="7">
        <v>12030</v>
      </c>
      <c r="H253" s="7">
        <v>7916</v>
      </c>
      <c r="I253" s="7">
        <v>132000</v>
      </c>
      <c r="J253" s="2">
        <v>29.29999923706055</v>
      </c>
      <c r="K253" s="23">
        <f t="shared" si="43"/>
        <v>416153.94</v>
      </c>
      <c r="L253" s="23">
        <f t="shared" si="39"/>
        <v>34.593012468827929</v>
      </c>
      <c r="M253" s="13" t="s">
        <v>9</v>
      </c>
      <c r="N253" s="7">
        <v>116355.35775859654</v>
      </c>
      <c r="O253" s="7">
        <v>71505.820982011763</v>
      </c>
      <c r="P253" s="7">
        <f t="shared" si="35"/>
        <v>81256.614752286099</v>
      </c>
      <c r="Q253" s="7">
        <v>0</v>
      </c>
      <c r="R253" s="7">
        <v>0</v>
      </c>
      <c r="S253" s="7">
        <f t="shared" si="36"/>
        <v>0</v>
      </c>
      <c r="T253" s="7">
        <v>6547.9965612185551</v>
      </c>
      <c r="U253" s="7">
        <f t="shared" si="44"/>
        <v>462289.41131188063</v>
      </c>
      <c r="V253" s="7">
        <f t="shared" si="37"/>
        <v>70.600130435293096</v>
      </c>
      <c r="W253" s="14" t="s">
        <v>10</v>
      </c>
      <c r="X253" s="7">
        <v>144000</v>
      </c>
      <c r="Y253" s="7">
        <v>1401340.9090909092</v>
      </c>
      <c r="Z253" s="7">
        <v>1436000</v>
      </c>
      <c r="AA253" s="7">
        <v>4747</v>
      </c>
      <c r="AB253" s="7">
        <v>4325</v>
      </c>
      <c r="AC253" s="7">
        <v>0</v>
      </c>
      <c r="AD253" s="7">
        <v>1364833.8</v>
      </c>
      <c r="AE253" s="7">
        <v>100000</v>
      </c>
      <c r="AF253" s="7">
        <v>13013.979253654479</v>
      </c>
      <c r="AG253" s="7">
        <f t="shared" si="42"/>
        <v>224488.72290909092</v>
      </c>
      <c r="AH253" s="1">
        <f t="shared" si="38"/>
        <v>17.249814106323541</v>
      </c>
    </row>
    <row r="254" spans="1:34" x14ac:dyDescent="0.25">
      <c r="A254" s="13" t="s">
        <v>0</v>
      </c>
      <c r="B254" s="19">
        <v>45910</v>
      </c>
      <c r="C254" s="8">
        <v>9414</v>
      </c>
      <c r="D254" s="8">
        <v>45814</v>
      </c>
      <c r="E254" s="7">
        <v>30000</v>
      </c>
      <c r="F254" s="7">
        <v>0</v>
      </c>
      <c r="G254" s="8">
        <v>11048</v>
      </c>
      <c r="H254" s="8">
        <v>7536</v>
      </c>
      <c r="I254" s="8">
        <v>122449</v>
      </c>
      <c r="J254" s="2">
        <v>34.200000762939453</v>
      </c>
      <c r="K254" s="23">
        <f t="shared" si="43"/>
        <v>333110.16000000003</v>
      </c>
      <c r="L254" s="23">
        <f t="shared" si="39"/>
        <v>30.151173062997831</v>
      </c>
      <c r="M254" s="13" t="s">
        <v>9</v>
      </c>
      <c r="N254" s="7">
        <v>114817.83796164393</v>
      </c>
      <c r="O254" s="7">
        <v>67923.884736156644</v>
      </c>
      <c r="P254" s="7">
        <f t="shared" si="35"/>
        <v>77186.232654723455</v>
      </c>
      <c r="Q254" s="7">
        <v>0</v>
      </c>
      <c r="R254" s="7">
        <v>0</v>
      </c>
      <c r="S254" s="7">
        <f t="shared" si="36"/>
        <v>0</v>
      </c>
      <c r="T254" s="7">
        <v>5741.4541550738722</v>
      </c>
      <c r="U254" s="7">
        <f t="shared" si="44"/>
        <v>441449.15222990827</v>
      </c>
      <c r="V254" s="7">
        <f t="shared" si="37"/>
        <v>76.888039215603271</v>
      </c>
      <c r="W254" s="14" t="s">
        <v>10</v>
      </c>
      <c r="X254" s="8">
        <v>151480</v>
      </c>
      <c r="Y254" s="8">
        <v>1209422.7272727273</v>
      </c>
      <c r="Z254" s="8">
        <v>1250181.8181818181</v>
      </c>
      <c r="AA254" s="8">
        <v>3241</v>
      </c>
      <c r="AB254" s="8">
        <v>4276</v>
      </c>
      <c r="AC254" s="8">
        <v>0</v>
      </c>
      <c r="AD254" s="8">
        <v>1206057.6000000001</v>
      </c>
      <c r="AE254" s="8">
        <v>75000</v>
      </c>
      <c r="AF254" s="8">
        <v>11608.859742584229</v>
      </c>
      <c r="AG254" s="7">
        <f t="shared" si="42"/>
        <v>208842.42990909092</v>
      </c>
      <c r="AH254" s="1">
        <f t="shared" si="38"/>
        <v>17.989917575022819</v>
      </c>
    </row>
    <row r="255" spans="1:34" x14ac:dyDescent="0.25">
      <c r="A255" s="13" t="s">
        <v>0</v>
      </c>
      <c r="B255" s="19">
        <v>45911</v>
      </c>
      <c r="C255" s="7">
        <v>12819</v>
      </c>
      <c r="D255" s="7">
        <v>49384</v>
      </c>
      <c r="E255" s="7">
        <v>15000</v>
      </c>
      <c r="F255" s="7">
        <v>0</v>
      </c>
      <c r="G255" s="7">
        <v>11718</v>
      </c>
      <c r="H255" s="7">
        <v>10291</v>
      </c>
      <c r="I255" s="7">
        <v>60000</v>
      </c>
      <c r="J255" s="2">
        <v>37.5</v>
      </c>
      <c r="K255" s="23">
        <f t="shared" si="43"/>
        <v>244937.46000000002</v>
      </c>
      <c r="L255" s="23">
        <f t="shared" si="39"/>
        <v>20.902667690732208</v>
      </c>
      <c r="M255" s="13" t="s">
        <v>9</v>
      </c>
      <c r="N255" s="7">
        <v>110944.47419852018</v>
      </c>
      <c r="O255" s="7">
        <v>68433.158178594575</v>
      </c>
      <c r="P255" s="7">
        <f t="shared" si="35"/>
        <v>77764.952475675658</v>
      </c>
      <c r="Q255" s="7">
        <v>0</v>
      </c>
      <c r="R255" s="7">
        <v>0</v>
      </c>
      <c r="S255" s="7">
        <f t="shared" si="36"/>
        <v>0</v>
      </c>
      <c r="T255" s="7">
        <v>7329.7557331540156</v>
      </c>
      <c r="U255" s="7">
        <f t="shared" si="44"/>
        <v>442202.52243762248</v>
      </c>
      <c r="V255" s="7">
        <f t="shared" si="37"/>
        <v>60.32977612575111</v>
      </c>
      <c r="W255" s="14" t="s">
        <v>10</v>
      </c>
      <c r="X255" s="7">
        <v>144430</v>
      </c>
      <c r="Y255" s="7">
        <v>1036358.1818181819</v>
      </c>
      <c r="Z255" s="7">
        <v>1109636.3636363635</v>
      </c>
      <c r="AA255" s="7">
        <v>5845</v>
      </c>
      <c r="AB255" s="7">
        <v>3809</v>
      </c>
      <c r="AC255" s="7">
        <v>0</v>
      </c>
      <c r="AD255" s="7">
        <v>1093577.76</v>
      </c>
      <c r="AE255" s="7">
        <v>100000</v>
      </c>
      <c r="AF255" s="7">
        <v>10568.290265579224</v>
      </c>
      <c r="AG255" s="7">
        <f t="shared" si="42"/>
        <v>200520.43821818184</v>
      </c>
      <c r="AH255" s="1">
        <f t="shared" si="38"/>
        <v>18.973782246620736</v>
      </c>
    </row>
    <row r="256" spans="1:34" x14ac:dyDescent="0.25">
      <c r="A256" s="13" t="s">
        <v>0</v>
      </c>
      <c r="B256" s="19">
        <v>45912</v>
      </c>
      <c r="C256" s="7">
        <v>9921</v>
      </c>
      <c r="D256" s="7">
        <v>42181</v>
      </c>
      <c r="E256" s="7">
        <v>25600</v>
      </c>
      <c r="F256" s="7">
        <v>0</v>
      </c>
      <c r="G256" s="7">
        <v>8635</v>
      </c>
      <c r="H256" s="7">
        <v>7234</v>
      </c>
      <c r="I256" s="7">
        <v>102400</v>
      </c>
      <c r="J256" s="2">
        <v>36.799999237060547</v>
      </c>
      <c r="K256" s="23">
        <f t="shared" si="43"/>
        <v>300833.64</v>
      </c>
      <c r="L256" s="23">
        <f t="shared" si="39"/>
        <v>34.838869716270992</v>
      </c>
      <c r="M256" s="13" t="s">
        <v>9</v>
      </c>
      <c r="N256" s="7">
        <v>116024.16202001274</v>
      </c>
      <c r="O256" s="7">
        <v>59151.493822493649</v>
      </c>
      <c r="P256" s="7">
        <f t="shared" si="35"/>
        <v>67217.606616470061</v>
      </c>
      <c r="Q256" s="7">
        <v>0</v>
      </c>
      <c r="R256" s="7">
        <v>0</v>
      </c>
      <c r="S256" s="7">
        <f t="shared" si="36"/>
        <v>0</v>
      </c>
      <c r="T256" s="7">
        <v>5837.4899036723655</v>
      </c>
      <c r="U256" s="7">
        <f t="shared" si="44"/>
        <v>393094.80161737377</v>
      </c>
      <c r="V256" s="7">
        <f t="shared" si="37"/>
        <v>67.339697045142259</v>
      </c>
      <c r="W256" s="14" t="s">
        <v>10</v>
      </c>
      <c r="X256" s="7">
        <v>164700</v>
      </c>
      <c r="Y256" s="7">
        <v>1242480</v>
      </c>
      <c r="Z256" s="7">
        <v>1343272.7272727273</v>
      </c>
      <c r="AA256" s="7">
        <v>9978</v>
      </c>
      <c r="AB256" s="7">
        <v>4181</v>
      </c>
      <c r="AC256" s="7">
        <v>0</v>
      </c>
      <c r="AD256" s="7">
        <v>1312763.76</v>
      </c>
      <c r="AE256" s="7">
        <v>87500</v>
      </c>
      <c r="AF256" s="7">
        <v>12771</v>
      </c>
      <c r="AG256" s="7">
        <f t="shared" si="42"/>
        <v>241801.36367272725</v>
      </c>
      <c r="AH256" s="1">
        <f t="shared" si="38"/>
        <v>18.933628037955309</v>
      </c>
    </row>
    <row r="257" spans="1:34" x14ac:dyDescent="0.25">
      <c r="A257" s="13" t="s">
        <v>0</v>
      </c>
      <c r="B257" s="19">
        <v>45913</v>
      </c>
      <c r="C257" s="7">
        <v>12783</v>
      </c>
      <c r="D257" s="7">
        <v>48698</v>
      </c>
      <c r="E257" s="7">
        <v>32500</v>
      </c>
      <c r="F257" s="7">
        <v>0</v>
      </c>
      <c r="G257" s="7">
        <v>10185</v>
      </c>
      <c r="H257" s="7">
        <v>9336</v>
      </c>
      <c r="I257" s="7">
        <v>135416</v>
      </c>
      <c r="J257" s="2">
        <v>37.700000762939453</v>
      </c>
      <c r="K257" s="23">
        <f t="shared" si="43"/>
        <v>380782.62</v>
      </c>
      <c r="L257" s="23">
        <f t="shared" si="39"/>
        <v>37.386609720176729</v>
      </c>
      <c r="M257" s="13" t="s">
        <v>9</v>
      </c>
      <c r="N257" s="7">
        <v>114743.50244630873</v>
      </c>
      <c r="O257" s="7">
        <v>61137.86782742136</v>
      </c>
      <c r="P257" s="7">
        <f t="shared" si="35"/>
        <v>69474.849803887904</v>
      </c>
      <c r="Q257" s="7">
        <v>0</v>
      </c>
      <c r="R257" s="7">
        <v>0</v>
      </c>
      <c r="S257" s="7">
        <f t="shared" si="36"/>
        <v>0</v>
      </c>
      <c r="T257" s="7">
        <v>6317.2354224578012</v>
      </c>
      <c r="U257" s="7">
        <f t="shared" si="44"/>
        <v>403499.8529569197</v>
      </c>
      <c r="V257" s="7">
        <f t="shared" si="37"/>
        <v>63.872853546422512</v>
      </c>
      <c r="W257" s="14" t="s">
        <v>10</v>
      </c>
      <c r="X257" s="7">
        <v>156150</v>
      </c>
      <c r="Y257" s="7">
        <v>1302507.2727272727</v>
      </c>
      <c r="Z257" s="7">
        <v>1411272.7272727273</v>
      </c>
      <c r="AA257" s="7">
        <v>10956</v>
      </c>
      <c r="AB257" s="7">
        <v>4252</v>
      </c>
      <c r="AC257" s="7">
        <v>0</v>
      </c>
      <c r="AD257" s="7">
        <v>1385897.04</v>
      </c>
      <c r="AE257" s="7">
        <v>112500</v>
      </c>
      <c r="AF257" s="7">
        <v>13478.168069152833</v>
      </c>
      <c r="AG257" s="7">
        <f t="shared" si="42"/>
        <v>246582.14014545456</v>
      </c>
      <c r="AH257" s="1">
        <f t="shared" si="38"/>
        <v>18.294929910378645</v>
      </c>
    </row>
    <row r="258" spans="1:34" x14ac:dyDescent="0.25">
      <c r="A258" s="13" t="s">
        <v>0</v>
      </c>
      <c r="B258" s="19">
        <v>45914</v>
      </c>
      <c r="C258" s="7">
        <v>12864</v>
      </c>
      <c r="D258" s="7">
        <v>50915</v>
      </c>
      <c r="E258" s="7">
        <v>0</v>
      </c>
      <c r="F258" s="7">
        <v>0</v>
      </c>
      <c r="G258" s="7">
        <v>11408</v>
      </c>
      <c r="H258" s="7">
        <v>11185</v>
      </c>
      <c r="I258" s="7">
        <v>0</v>
      </c>
      <c r="J258" s="2">
        <v>36.950000762939453</v>
      </c>
      <c r="K258" s="23">
        <f t="shared" si="43"/>
        <v>129119.70000000001</v>
      </c>
      <c r="L258" s="23">
        <f t="shared" si="39"/>
        <v>11.31834677419355</v>
      </c>
      <c r="M258" s="13" t="s">
        <v>9</v>
      </c>
      <c r="N258" s="7">
        <v>106777.98340336978</v>
      </c>
      <c r="O258" s="7">
        <v>57496.987084560715</v>
      </c>
      <c r="P258" s="7">
        <f t="shared" ref="P258:P321" si="45">O258/0.88</f>
        <v>65337.485323364446</v>
      </c>
      <c r="Q258" s="7">
        <v>0</v>
      </c>
      <c r="R258" s="7">
        <v>0</v>
      </c>
      <c r="S258" s="7">
        <f t="shared" si="36"/>
        <v>0</v>
      </c>
      <c r="T258" s="7">
        <v>5590.1020710146986</v>
      </c>
      <c r="U258" s="7">
        <f t="shared" si="44"/>
        <v>378859.18888747937</v>
      </c>
      <c r="V258" s="7">
        <f t="shared" si="37"/>
        <v>67.773214884913543</v>
      </c>
      <c r="W258" s="14" t="s">
        <v>10</v>
      </c>
      <c r="X258" s="7">
        <v>160860</v>
      </c>
      <c r="Y258" s="7">
        <v>1261080</v>
      </c>
      <c r="Z258" s="7">
        <v>1370363.6363636362</v>
      </c>
      <c r="AA258" s="7">
        <v>10694</v>
      </c>
      <c r="AB258" s="7">
        <v>4194</v>
      </c>
      <c r="AC258" s="7">
        <v>0</v>
      </c>
      <c r="AD258" s="7">
        <v>1300788.7200000002</v>
      </c>
      <c r="AE258" s="7">
        <v>125000</v>
      </c>
      <c r="AF258" s="7">
        <v>13055.816239471436</v>
      </c>
      <c r="AG258" s="7">
        <f>X258*0.54+Y258*0.0285+Z258*0.032+AA258*3+AB258*5+AD258*0.015+AE258*0.045</f>
        <v>244845.64716363637</v>
      </c>
      <c r="AH258" s="1">
        <f t="shared" si="38"/>
        <v>18.753760214807446</v>
      </c>
    </row>
    <row r="259" spans="1:34" x14ac:dyDescent="0.25">
      <c r="A259" s="13" t="s">
        <v>0</v>
      </c>
      <c r="B259" s="19">
        <v>45915</v>
      </c>
      <c r="C259" s="8">
        <v>11692</v>
      </c>
      <c r="D259" s="8">
        <v>43669</v>
      </c>
      <c r="E259" s="8">
        <v>10400</v>
      </c>
      <c r="F259" s="7">
        <v>0</v>
      </c>
      <c r="G259" s="8">
        <v>11403</v>
      </c>
      <c r="H259" s="8">
        <v>4103</v>
      </c>
      <c r="I259" s="8">
        <v>41600</v>
      </c>
      <c r="J259" s="2">
        <v>38.299999237060547</v>
      </c>
      <c r="K259" s="23">
        <f t="shared" si="43"/>
        <v>197068.06</v>
      </c>
      <c r="L259" s="23">
        <f t="shared" si="39"/>
        <v>17.282124002455493</v>
      </c>
      <c r="M259" s="13" t="s">
        <v>9</v>
      </c>
      <c r="N259" s="7">
        <v>117731.5769905895</v>
      </c>
      <c r="O259" s="7">
        <v>64412.388292448668</v>
      </c>
      <c r="P259" s="7">
        <f t="shared" si="45"/>
        <v>73195.895786873487</v>
      </c>
      <c r="Q259" s="7">
        <v>0</v>
      </c>
      <c r="R259" s="7">
        <v>0</v>
      </c>
      <c r="S259" s="7">
        <f t="shared" ref="S259:S322" si="46">R259/0.75</f>
        <v>0</v>
      </c>
      <c r="T259" s="7">
        <v>6942.6342475956772</v>
      </c>
      <c r="U259" s="7">
        <f t="shared" si="44"/>
        <v>423406.0752631884</v>
      </c>
      <c r="V259" s="7">
        <f t="shared" ref="V259:V322" si="47">U259/T259</f>
        <v>60.986372054644725</v>
      </c>
      <c r="W259" s="14" t="s">
        <v>10</v>
      </c>
      <c r="X259" s="8">
        <v>158110</v>
      </c>
      <c r="Y259" s="8">
        <v>1118113.6363636362</v>
      </c>
      <c r="Z259" s="8">
        <v>1215454.5454545454</v>
      </c>
      <c r="AA259" s="8">
        <v>10679</v>
      </c>
      <c r="AB259" s="8">
        <v>4189</v>
      </c>
      <c r="AC259" s="8">
        <v>844</v>
      </c>
      <c r="AD259" s="8">
        <v>1150886.8800000001</v>
      </c>
      <c r="AE259" s="8">
        <v>100000</v>
      </c>
      <c r="AF259" s="8">
        <v>11649.400119781494</v>
      </c>
      <c r="AG259" s="7">
        <f t="shared" si="42"/>
        <v>230885.48729090908</v>
      </c>
      <c r="AH259" s="1">
        <f t="shared" ref="AH259:AH322" si="48">AG259/AF259</f>
        <v>19.819517307062824</v>
      </c>
    </row>
    <row r="260" spans="1:34" x14ac:dyDescent="0.25">
      <c r="A260" s="13" t="s">
        <v>0</v>
      </c>
      <c r="B260" s="19">
        <v>45916</v>
      </c>
      <c r="C260" s="7">
        <v>10411</v>
      </c>
      <c r="D260" s="7">
        <v>52136</v>
      </c>
      <c r="E260" s="7">
        <v>10000</v>
      </c>
      <c r="F260" s="7">
        <v>0</v>
      </c>
      <c r="G260" s="7">
        <v>11192</v>
      </c>
      <c r="H260" s="7">
        <v>8969</v>
      </c>
      <c r="I260" s="7">
        <v>41666</v>
      </c>
      <c r="J260" s="2">
        <v>37.700000762939453</v>
      </c>
      <c r="K260" s="23">
        <f t="shared" si="43"/>
        <v>188400.34000000003</v>
      </c>
      <c r="L260" s="23">
        <f t="shared" si="39"/>
        <v>16.833482844889208</v>
      </c>
      <c r="M260" s="13" t="s">
        <v>9</v>
      </c>
      <c r="N260" s="7">
        <v>115765.42019619048</v>
      </c>
      <c r="O260" s="7">
        <v>68191.438958051556</v>
      </c>
      <c r="P260" s="7">
        <f t="shared" si="45"/>
        <v>77490.271543240407</v>
      </c>
      <c r="Q260" s="7">
        <v>0</v>
      </c>
      <c r="R260" s="7">
        <v>0</v>
      </c>
      <c r="S260" s="7">
        <f t="shared" si="46"/>
        <v>0</v>
      </c>
      <c r="T260" s="7">
        <v>7156.3450232059695</v>
      </c>
      <c r="U260" s="7">
        <f t="shared" si="44"/>
        <v>443455.50181251275</v>
      </c>
      <c r="V260" s="7">
        <f t="shared" si="47"/>
        <v>61.966758222879704</v>
      </c>
      <c r="W260" s="14" t="s">
        <v>10</v>
      </c>
      <c r="X260" s="7">
        <v>151900</v>
      </c>
      <c r="Y260" s="7">
        <v>1180423.6363636362</v>
      </c>
      <c r="Z260" s="7">
        <v>1283545.4545454546</v>
      </c>
      <c r="AA260" s="7">
        <v>10779</v>
      </c>
      <c r="AB260" s="7">
        <v>3794</v>
      </c>
      <c r="AC260" s="7">
        <v>3555</v>
      </c>
      <c r="AD260" s="7">
        <v>1222202.52</v>
      </c>
      <c r="AE260" s="7">
        <v>100000</v>
      </c>
      <c r="AF260" s="7">
        <v>12241.84668674469</v>
      </c>
      <c r="AG260" s="7">
        <f t="shared" si="42"/>
        <v>230881.56598181819</v>
      </c>
      <c r="AH260" s="1">
        <f t="shared" si="48"/>
        <v>18.860027566904076</v>
      </c>
    </row>
    <row r="261" spans="1:34" x14ac:dyDescent="0.25">
      <c r="A261" s="13" t="s">
        <v>0</v>
      </c>
      <c r="B261" s="19">
        <v>45917</v>
      </c>
      <c r="C261" s="7">
        <v>8478</v>
      </c>
      <c r="D261" s="7">
        <v>42269</v>
      </c>
      <c r="E261" s="7">
        <v>10000</v>
      </c>
      <c r="F261" s="7">
        <v>0</v>
      </c>
      <c r="G261" s="7">
        <v>11097</v>
      </c>
      <c r="H261" s="7">
        <v>4236</v>
      </c>
      <c r="I261" s="7">
        <v>40366</v>
      </c>
      <c r="J261" s="2">
        <v>37.799999237060547</v>
      </c>
      <c r="K261" s="23">
        <f t="shared" si="43"/>
        <v>167801.46</v>
      </c>
      <c r="L261" s="23">
        <f t="shared" si="39"/>
        <v>15.121335496080022</v>
      </c>
      <c r="M261" s="13" t="s">
        <v>9</v>
      </c>
      <c r="N261" s="7">
        <v>68580</v>
      </c>
      <c r="O261" s="7">
        <v>32300</v>
      </c>
      <c r="P261" s="7">
        <f t="shared" si="45"/>
        <v>36704.545454545456</v>
      </c>
      <c r="Q261" s="7">
        <v>0</v>
      </c>
      <c r="R261" s="7">
        <v>0</v>
      </c>
      <c r="S261" s="7">
        <f t="shared" si="46"/>
        <v>0</v>
      </c>
      <c r="T261" s="7">
        <v>2905</v>
      </c>
      <c r="U261" s="7">
        <f t="shared" si="44"/>
        <v>217472.74545454548</v>
      </c>
      <c r="V261" s="7">
        <f t="shared" si="47"/>
        <v>74.861530276951967</v>
      </c>
      <c r="W261" s="14" t="s">
        <v>10</v>
      </c>
      <c r="X261" s="7">
        <v>131140</v>
      </c>
      <c r="Y261" s="7">
        <v>1159625.4545454546</v>
      </c>
      <c r="Z261" s="7">
        <v>1244909.0909090908</v>
      </c>
      <c r="AA261" s="7">
        <v>10811</v>
      </c>
      <c r="AB261" s="7">
        <v>3895</v>
      </c>
      <c r="AC261" s="7">
        <v>3584</v>
      </c>
      <c r="AD261" s="7">
        <v>1193013.3599999999</v>
      </c>
      <c r="AE261" s="7">
        <v>112500</v>
      </c>
      <c r="AF261" s="7">
        <v>11924.831938858033</v>
      </c>
      <c r="AG261" s="7">
        <f t="shared" si="42"/>
        <v>218567.71676363636</v>
      </c>
      <c r="AH261" s="1">
        <f t="shared" si="48"/>
        <v>18.328788018505797</v>
      </c>
    </row>
    <row r="262" spans="1:34" x14ac:dyDescent="0.25">
      <c r="A262" s="13" t="s">
        <v>0</v>
      </c>
      <c r="B262" s="19">
        <v>45918</v>
      </c>
      <c r="C262" s="7">
        <v>12375</v>
      </c>
      <c r="D262" s="7">
        <v>41607</v>
      </c>
      <c r="E262" s="7">
        <v>6750</v>
      </c>
      <c r="F262" s="7">
        <v>0</v>
      </c>
      <c r="G262" s="7">
        <v>10976</v>
      </c>
      <c r="H262" s="7">
        <v>7978</v>
      </c>
      <c r="I262" s="7">
        <v>27000</v>
      </c>
      <c r="J262" s="2">
        <v>38.650001525878913</v>
      </c>
      <c r="K262" s="23">
        <f t="shared" si="43"/>
        <v>172880.28</v>
      </c>
      <c r="L262" s="23">
        <f t="shared" si="39"/>
        <v>15.750754373177843</v>
      </c>
      <c r="M262" s="13" t="s">
        <v>9</v>
      </c>
      <c r="N262" s="7">
        <v>117167.71748358011</v>
      </c>
      <c r="O262" s="7">
        <v>65129.056626813508</v>
      </c>
      <c r="P262" s="7">
        <f t="shared" si="45"/>
        <v>74010.291621378987</v>
      </c>
      <c r="Q262" s="7">
        <v>0</v>
      </c>
      <c r="R262" s="7">
        <v>0</v>
      </c>
      <c r="S262" s="7">
        <f t="shared" si="46"/>
        <v>0</v>
      </c>
      <c r="T262" s="7">
        <v>7217.6460781192873</v>
      </c>
      <c r="U262" s="7">
        <f t="shared" si="44"/>
        <v>427105.16105183237</v>
      </c>
      <c r="V262" s="7">
        <f t="shared" si="47"/>
        <v>59.175132228584388</v>
      </c>
      <c r="W262" s="14" t="s">
        <v>10</v>
      </c>
      <c r="X262" s="7">
        <v>138600</v>
      </c>
      <c r="Y262" s="7">
        <v>954433.63636363635</v>
      </c>
      <c r="Z262" s="7">
        <v>1037545.4545454545</v>
      </c>
      <c r="AA262" s="7">
        <v>3588</v>
      </c>
      <c r="AB262" s="7">
        <v>4107</v>
      </c>
      <c r="AC262" s="7">
        <v>3553</v>
      </c>
      <c r="AD262" s="7">
        <v>1018092.24</v>
      </c>
      <c r="AE262" s="7">
        <v>50000</v>
      </c>
      <c r="AF262" s="7">
        <v>10080.785</v>
      </c>
      <c r="AG262" s="7">
        <f t="shared" si="42"/>
        <v>184067.19678181817</v>
      </c>
      <c r="AH262" s="1">
        <f t="shared" si="48"/>
        <v>18.259212628958775</v>
      </c>
    </row>
    <row r="263" spans="1:34" x14ac:dyDescent="0.25">
      <c r="A263" s="13" t="s">
        <v>0</v>
      </c>
      <c r="B263" s="19">
        <v>45919</v>
      </c>
      <c r="C263" s="7">
        <v>11720</v>
      </c>
      <c r="D263" s="7">
        <v>38594</v>
      </c>
      <c r="E263" s="7">
        <v>32550</v>
      </c>
      <c r="F263" s="7">
        <v>0</v>
      </c>
      <c r="G263" s="7">
        <v>10838</v>
      </c>
      <c r="H263" s="7">
        <v>4971</v>
      </c>
      <c r="I263" s="7">
        <v>132857</v>
      </c>
      <c r="J263" s="2">
        <v>38.200000762939453</v>
      </c>
      <c r="K263" s="23">
        <f t="shared" si="43"/>
        <v>367318.76</v>
      </c>
      <c r="L263" s="23">
        <f t="shared" si="39"/>
        <v>33.891747554899432</v>
      </c>
      <c r="M263" s="13" t="s">
        <v>9</v>
      </c>
      <c r="N263" s="7">
        <v>116157.36452364922</v>
      </c>
      <c r="O263" s="7">
        <v>68805.729840002634</v>
      </c>
      <c r="P263" s="7">
        <f t="shared" si="45"/>
        <v>78188.32936363935</v>
      </c>
      <c r="Q263" s="7">
        <v>0</v>
      </c>
      <c r="R263" s="7">
        <v>0</v>
      </c>
      <c r="S263" s="7">
        <f t="shared" si="46"/>
        <v>0</v>
      </c>
      <c r="T263" s="7">
        <v>8344.3030232079327</v>
      </c>
      <c r="U263" s="7">
        <f t="shared" si="44"/>
        <v>447098.80399442167</v>
      </c>
      <c r="V263" s="7">
        <f t="shared" si="47"/>
        <v>53.581324018424297</v>
      </c>
      <c r="W263" s="14" t="s">
        <v>10</v>
      </c>
      <c r="X263" s="7">
        <v>160500</v>
      </c>
      <c r="Y263" s="7">
        <v>1133247.2727272727</v>
      </c>
      <c r="Z263" s="7">
        <v>1236454.5454545454</v>
      </c>
      <c r="AA263" s="7">
        <v>0</v>
      </c>
      <c r="AB263" s="7">
        <v>3785</v>
      </c>
      <c r="AC263" s="7">
        <v>3617</v>
      </c>
      <c r="AD263" s="7">
        <v>1211082.8400000001</v>
      </c>
      <c r="AE263" s="7">
        <v>87500</v>
      </c>
      <c r="AF263" s="7">
        <v>11846.10010345459</v>
      </c>
      <c r="AG263" s="7">
        <f t="shared" si="42"/>
        <v>199562.83532727271</v>
      </c>
      <c r="AH263" s="1">
        <f t="shared" si="48"/>
        <v>16.846289798705627</v>
      </c>
    </row>
    <row r="264" spans="1:34" x14ac:dyDescent="0.25">
      <c r="A264" s="13" t="s">
        <v>0</v>
      </c>
      <c r="B264" s="19">
        <v>45920</v>
      </c>
      <c r="C264" s="8">
        <v>11703</v>
      </c>
      <c r="D264" s="8">
        <v>42001</v>
      </c>
      <c r="E264" s="8">
        <v>0</v>
      </c>
      <c r="F264" s="7">
        <v>0</v>
      </c>
      <c r="G264" s="8">
        <v>11567</v>
      </c>
      <c r="H264" s="8">
        <v>7845</v>
      </c>
      <c r="I264" s="8">
        <v>0</v>
      </c>
      <c r="J264" s="2">
        <v>30.35000038146973</v>
      </c>
      <c r="K264" s="23">
        <f t="shared" si="43"/>
        <v>115134.23999999999</v>
      </c>
      <c r="L264" s="23">
        <f t="shared" si="39"/>
        <v>9.9536820264545689</v>
      </c>
      <c r="M264" s="13" t="s">
        <v>9</v>
      </c>
      <c r="N264" s="7">
        <v>114884.10842996836</v>
      </c>
      <c r="O264" s="7">
        <v>67497.585498234912</v>
      </c>
      <c r="P264" s="7">
        <f t="shared" si="45"/>
        <v>76701.801702539669</v>
      </c>
      <c r="Q264" s="7">
        <v>0</v>
      </c>
      <c r="R264" s="7">
        <v>0</v>
      </c>
      <c r="S264" s="7">
        <f t="shared" si="46"/>
        <v>0</v>
      </c>
      <c r="T264" s="7">
        <v>8167.5771894780919</v>
      </c>
      <c r="U264" s="7">
        <f t="shared" si="44"/>
        <v>439103.47572186793</v>
      </c>
      <c r="V264" s="7">
        <f t="shared" si="47"/>
        <v>53.761778497489367</v>
      </c>
      <c r="W264" s="14" t="s">
        <v>10</v>
      </c>
      <c r="X264" s="8">
        <v>154720</v>
      </c>
      <c r="Y264" s="8">
        <v>1187948.1818181819</v>
      </c>
      <c r="Z264" s="8">
        <v>1298363.6363636362</v>
      </c>
      <c r="AA264" s="8">
        <v>2720</v>
      </c>
      <c r="AB264" s="8">
        <v>3978</v>
      </c>
      <c r="AC264" s="8">
        <v>2461</v>
      </c>
      <c r="AD264" s="8">
        <v>1249894.8</v>
      </c>
      <c r="AE264" s="8">
        <v>100000</v>
      </c>
      <c r="AF264" s="8">
        <v>12403.345962142945</v>
      </c>
      <c r="AG264" s="7">
        <f t="shared" si="42"/>
        <v>210251.38154545453</v>
      </c>
      <c r="AH264" s="1">
        <f t="shared" si="48"/>
        <v>16.951182542773246</v>
      </c>
    </row>
    <row r="265" spans="1:34" x14ac:dyDescent="0.25">
      <c r="A265" s="13" t="s">
        <v>0</v>
      </c>
      <c r="B265" s="19">
        <v>45921</v>
      </c>
      <c r="C265" s="7">
        <v>15127</v>
      </c>
      <c r="D265" s="7">
        <v>49420</v>
      </c>
      <c r="E265" s="7">
        <v>0</v>
      </c>
      <c r="F265" s="7">
        <v>0</v>
      </c>
      <c r="G265" s="7">
        <v>5720</v>
      </c>
      <c r="H265" s="7">
        <v>6984</v>
      </c>
      <c r="I265" s="7">
        <v>0</v>
      </c>
      <c r="J265" s="2">
        <v>28.35000038146973</v>
      </c>
      <c r="K265" s="23">
        <f t="shared" si="43"/>
        <v>146190.1</v>
      </c>
      <c r="L265" s="23">
        <f t="shared" ref="L265:L328" si="49">K265/G265</f>
        <v>25.557709790209792</v>
      </c>
      <c r="M265" s="13" t="s">
        <v>9</v>
      </c>
      <c r="N265" s="7">
        <v>115832.2278662771</v>
      </c>
      <c r="O265" s="7">
        <v>64595.592848550041</v>
      </c>
      <c r="P265" s="7">
        <f t="shared" si="45"/>
        <v>73404.082782443234</v>
      </c>
      <c r="Q265" s="7">
        <v>0</v>
      </c>
      <c r="R265" s="7">
        <v>0</v>
      </c>
      <c r="S265" s="7">
        <f t="shared" si="46"/>
        <v>0</v>
      </c>
      <c r="T265" s="7">
        <v>6064.0072998583782</v>
      </c>
      <c r="U265" s="7">
        <f t="shared" si="44"/>
        <v>423403.87400628062</v>
      </c>
      <c r="V265" s="7">
        <f t="shared" si="47"/>
        <v>69.822454536980686</v>
      </c>
      <c r="W265" s="14" t="s">
        <v>10</v>
      </c>
      <c r="X265" s="7">
        <v>154780</v>
      </c>
      <c r="Y265" s="7">
        <v>1198262.7272727273</v>
      </c>
      <c r="Z265" s="7">
        <v>1270181.8181818181</v>
      </c>
      <c r="AA265" s="7">
        <v>4368</v>
      </c>
      <c r="AB265" s="7">
        <v>4294</v>
      </c>
      <c r="AC265" s="7">
        <v>0</v>
      </c>
      <c r="AD265" s="7">
        <v>1242731.1600000001</v>
      </c>
      <c r="AE265" s="7">
        <v>137500</v>
      </c>
      <c r="AF265" s="7">
        <v>12102.517787742614</v>
      </c>
      <c r="AG265" s="7">
        <f t="shared" si="42"/>
        <v>217779.97330909091</v>
      </c>
      <c r="AH265" s="1">
        <f t="shared" si="48"/>
        <v>17.994600555733758</v>
      </c>
    </row>
    <row r="266" spans="1:34" x14ac:dyDescent="0.25">
      <c r="A266" s="13" t="s">
        <v>0</v>
      </c>
      <c r="B266" s="19">
        <v>45922</v>
      </c>
      <c r="C266" s="7">
        <v>10699</v>
      </c>
      <c r="D266" s="7">
        <v>46289</v>
      </c>
      <c r="E266" s="7">
        <v>0</v>
      </c>
      <c r="F266" s="7">
        <v>0</v>
      </c>
      <c r="G266" s="7">
        <v>11439</v>
      </c>
      <c r="H266" s="7">
        <v>10277</v>
      </c>
      <c r="I266" s="7">
        <v>0</v>
      </c>
      <c r="J266" s="2">
        <v>26.04999923706055</v>
      </c>
      <c r="K266" s="23">
        <f t="shared" si="43"/>
        <v>109518.16</v>
      </c>
      <c r="L266" s="23">
        <f t="shared" si="49"/>
        <v>9.5741026313488948</v>
      </c>
      <c r="M266" s="13" t="s">
        <v>9</v>
      </c>
      <c r="N266" s="7">
        <v>117085.46438367665</v>
      </c>
      <c r="O266" s="7">
        <v>71621.616556522902</v>
      </c>
      <c r="P266" s="7">
        <f t="shared" si="45"/>
        <v>81388.200632412394</v>
      </c>
      <c r="Q266" s="7">
        <v>0</v>
      </c>
      <c r="R266" s="7">
        <v>0</v>
      </c>
      <c r="S266" s="7">
        <f t="shared" si="46"/>
        <v>0</v>
      </c>
      <c r="T266" s="7">
        <v>7108.2118000867777</v>
      </c>
      <c r="U266" s="7">
        <f t="shared" si="44"/>
        <v>463330.54507612472</v>
      </c>
      <c r="V266" s="7">
        <f t="shared" si="47"/>
        <v>65.182433797269283</v>
      </c>
      <c r="W266" s="14" t="s">
        <v>10</v>
      </c>
      <c r="X266" s="7">
        <v>143450</v>
      </c>
      <c r="Y266" s="7">
        <v>1025705.4545454546</v>
      </c>
      <c r="Z266" s="7">
        <v>1115636.3636363635</v>
      </c>
      <c r="AA266" s="7">
        <v>3168</v>
      </c>
      <c r="AB266" s="7">
        <v>4412</v>
      </c>
      <c r="AC266" s="7">
        <v>0</v>
      </c>
      <c r="AD266" s="7">
        <v>1090584</v>
      </c>
      <c r="AE266" s="7">
        <v>125000</v>
      </c>
      <c r="AF266" s="7">
        <v>10578.239868164063</v>
      </c>
      <c r="AG266" s="7">
        <f t="shared" si="42"/>
        <v>195943.7290909091</v>
      </c>
      <c r="AH266" s="1">
        <f t="shared" si="48"/>
        <v>18.523282846006847</v>
      </c>
    </row>
    <row r="267" spans="1:34" x14ac:dyDescent="0.25">
      <c r="A267" s="13" t="s">
        <v>0</v>
      </c>
      <c r="B267" s="19">
        <v>45923</v>
      </c>
      <c r="C267" s="7">
        <v>14042</v>
      </c>
      <c r="D267" s="7">
        <v>48419</v>
      </c>
      <c r="E267" s="7">
        <v>0</v>
      </c>
      <c r="F267" s="7">
        <v>0</v>
      </c>
      <c r="G267" s="7">
        <v>13601</v>
      </c>
      <c r="H267" s="7">
        <v>7882</v>
      </c>
      <c r="I267" s="7">
        <v>0</v>
      </c>
      <c r="J267" s="2">
        <v>27.45000076293945</v>
      </c>
      <c r="K267" s="23">
        <f t="shared" si="43"/>
        <v>137078.06</v>
      </c>
      <c r="L267" s="23">
        <f t="shared" si="49"/>
        <v>10.078528049408131</v>
      </c>
      <c r="M267" s="13" t="s">
        <v>9</v>
      </c>
      <c r="N267" s="7">
        <v>107911.33457784355</v>
      </c>
      <c r="O267" s="7">
        <v>51575.536269626355</v>
      </c>
      <c r="P267" s="7">
        <f t="shared" si="45"/>
        <v>58608.563942757224</v>
      </c>
      <c r="Q267" s="7">
        <v>0</v>
      </c>
      <c r="R267" s="7">
        <v>0</v>
      </c>
      <c r="S267" s="7">
        <f t="shared" si="46"/>
        <v>0</v>
      </c>
      <c r="T267" s="7">
        <v>5320.5179437499028</v>
      </c>
      <c r="U267" s="7">
        <f t="shared" si="44"/>
        <v>346391.82101463003</v>
      </c>
      <c r="V267" s="7">
        <f t="shared" si="47"/>
        <v>65.104906078090011</v>
      </c>
      <c r="W267" s="14" t="s">
        <v>10</v>
      </c>
      <c r="X267" s="7">
        <v>128260</v>
      </c>
      <c r="Y267" s="7">
        <v>978951.81818181823</v>
      </c>
      <c r="Z267" s="7">
        <v>1059272.7272727273</v>
      </c>
      <c r="AA267" s="7">
        <v>1089</v>
      </c>
      <c r="AB267" s="7">
        <v>4300</v>
      </c>
      <c r="AC267" s="7">
        <v>0</v>
      </c>
      <c r="AD267" s="7">
        <v>1023224.4000000001</v>
      </c>
      <c r="AE267" s="7">
        <v>50000</v>
      </c>
      <c r="AF267" s="7">
        <v>10092.560989570618</v>
      </c>
      <c r="AG267" s="7">
        <f t="shared" si="42"/>
        <v>173422.6200909091</v>
      </c>
      <c r="AH267" s="1">
        <f t="shared" si="48"/>
        <v>17.183212493847634</v>
      </c>
    </row>
    <row r="268" spans="1:34" x14ac:dyDescent="0.25">
      <c r="A268" s="13" t="s">
        <v>0</v>
      </c>
      <c r="B268" s="19">
        <v>45924</v>
      </c>
      <c r="C268" s="7">
        <v>11209</v>
      </c>
      <c r="D268" s="7">
        <v>53834</v>
      </c>
      <c r="E268" s="7">
        <v>0</v>
      </c>
      <c r="F268" s="7">
        <v>0</v>
      </c>
      <c r="G268" s="7">
        <v>12825</v>
      </c>
      <c r="H268" s="7">
        <v>8998</v>
      </c>
      <c r="I268" s="7">
        <v>0</v>
      </c>
      <c r="J268" s="2">
        <v>27</v>
      </c>
      <c r="K268" s="23">
        <f t="shared" si="43"/>
        <v>117621.46</v>
      </c>
      <c r="L268" s="23">
        <f t="shared" si="49"/>
        <v>9.1712639376218323</v>
      </c>
      <c r="M268" s="13" t="s">
        <v>9</v>
      </c>
      <c r="N268" s="7">
        <v>116598.32095479965</v>
      </c>
      <c r="O268" s="7">
        <v>69340.876586020386</v>
      </c>
      <c r="P268" s="7">
        <f t="shared" si="45"/>
        <v>78796.450665932251</v>
      </c>
      <c r="Q268" s="7">
        <v>0</v>
      </c>
      <c r="R268" s="7">
        <v>0</v>
      </c>
      <c r="S268" s="7">
        <f t="shared" si="46"/>
        <v>0</v>
      </c>
      <c r="T268" s="7">
        <v>6701.7700106301345</v>
      </c>
      <c r="U268" s="7">
        <f t="shared" si="44"/>
        <v>450326.44478931476</v>
      </c>
      <c r="V268" s="7">
        <f t="shared" si="47"/>
        <v>67.195150546052943</v>
      </c>
      <c r="W268" s="14" t="s">
        <v>10</v>
      </c>
      <c r="X268" s="7">
        <v>145600</v>
      </c>
      <c r="Y268" s="7">
        <v>1165290</v>
      </c>
      <c r="Z268" s="7">
        <v>1241454.5454545454</v>
      </c>
      <c r="AA268" s="7">
        <v>0</v>
      </c>
      <c r="AB268" s="7">
        <v>4204</v>
      </c>
      <c r="AC268" s="7">
        <v>0</v>
      </c>
      <c r="AD268" s="7">
        <v>1221347.1600000001</v>
      </c>
      <c r="AE268" s="7">
        <v>100000</v>
      </c>
      <c r="AF268" s="7">
        <v>11903.501963424682</v>
      </c>
      <c r="AG268" s="7">
        <f t="shared" si="42"/>
        <v>195401.51785454547</v>
      </c>
      <c r="AH268" s="1">
        <f t="shared" si="48"/>
        <v>16.415464831689558</v>
      </c>
    </row>
    <row r="269" spans="1:34" x14ac:dyDescent="0.25">
      <c r="A269" s="13" t="s">
        <v>0</v>
      </c>
      <c r="B269" s="19">
        <v>45925</v>
      </c>
      <c r="C269" s="8">
        <v>14583</v>
      </c>
      <c r="D269" s="8">
        <v>44642</v>
      </c>
      <c r="E269" s="8">
        <v>0</v>
      </c>
      <c r="F269" s="7">
        <v>0</v>
      </c>
      <c r="G269" s="8">
        <v>11927</v>
      </c>
      <c r="H269" s="8">
        <v>5465</v>
      </c>
      <c r="I269" s="8">
        <v>0</v>
      </c>
      <c r="J269" s="2">
        <v>27.95000076293945</v>
      </c>
      <c r="K269" s="23">
        <f t="shared" si="43"/>
        <v>139312.38</v>
      </c>
      <c r="L269" s="23">
        <f t="shared" si="49"/>
        <v>11.680420893770437</v>
      </c>
      <c r="M269" s="13" t="s">
        <v>9</v>
      </c>
      <c r="N269" s="7">
        <v>115152.03122153878</v>
      </c>
      <c r="O269" s="7">
        <v>62927.016863071913</v>
      </c>
      <c r="P269" s="7">
        <f t="shared" si="45"/>
        <v>71507.973708036268</v>
      </c>
      <c r="Q269" s="7">
        <v>0</v>
      </c>
      <c r="R269" s="7">
        <v>0</v>
      </c>
      <c r="S269" s="7">
        <f t="shared" si="46"/>
        <v>0</v>
      </c>
      <c r="T269" s="7">
        <v>5586.8013335382566</v>
      </c>
      <c r="U269" s="7">
        <f t="shared" si="44"/>
        <v>413715.29560833727</v>
      </c>
      <c r="V269" s="7">
        <f t="shared" si="47"/>
        <v>74.052265493092335</v>
      </c>
      <c r="W269" s="14" t="s">
        <v>10</v>
      </c>
      <c r="X269" s="8">
        <v>123420</v>
      </c>
      <c r="Y269" s="8">
        <v>670699.09090909094</v>
      </c>
      <c r="Z269" s="8">
        <v>724818.18181818177</v>
      </c>
      <c r="AA269" s="8">
        <v>0</v>
      </c>
      <c r="AB269" s="8">
        <v>3344</v>
      </c>
      <c r="AC269" s="8">
        <v>0</v>
      </c>
      <c r="AD269" s="8">
        <v>704282.04</v>
      </c>
      <c r="AE269" s="8">
        <v>37500</v>
      </c>
      <c r="AF269" s="8">
        <v>6890.9471858215329</v>
      </c>
      <c r="AG269" s="7">
        <f t="shared" si="42"/>
        <v>137927.63650909092</v>
      </c>
      <c r="AH269" s="1">
        <f t="shared" si="48"/>
        <v>20.015773273213284</v>
      </c>
    </row>
    <row r="270" spans="1:34" x14ac:dyDescent="0.25">
      <c r="A270" s="13" t="s">
        <v>0</v>
      </c>
      <c r="B270" s="19">
        <v>45926</v>
      </c>
      <c r="C270" s="9">
        <v>14787</v>
      </c>
      <c r="D270" s="9">
        <v>50644</v>
      </c>
      <c r="E270" s="9">
        <v>0</v>
      </c>
      <c r="F270" s="9">
        <v>0</v>
      </c>
      <c r="G270" s="9">
        <v>11444</v>
      </c>
      <c r="H270" s="9">
        <v>7946</v>
      </c>
      <c r="I270" s="9">
        <v>0</v>
      </c>
      <c r="J270" s="2">
        <v>29.75</v>
      </c>
      <c r="K270" s="23">
        <f t="shared" si="43"/>
        <v>144165.06</v>
      </c>
      <c r="L270" s="23">
        <f t="shared" si="49"/>
        <v>12.597436211114994</v>
      </c>
      <c r="M270" s="13" t="s">
        <v>9</v>
      </c>
      <c r="N270" s="9">
        <v>117799.72869467735</v>
      </c>
      <c r="O270" s="9">
        <v>66655.065816993563</v>
      </c>
      <c r="P270" s="7">
        <f t="shared" si="45"/>
        <v>75744.392973856317</v>
      </c>
      <c r="Q270" s="9">
        <v>0</v>
      </c>
      <c r="R270" s="9">
        <v>0</v>
      </c>
      <c r="S270" s="7">
        <f t="shared" si="46"/>
        <v>0</v>
      </c>
      <c r="T270" s="9">
        <v>6781.958444820717</v>
      </c>
      <c r="U270" s="7">
        <f t="shared" si="44"/>
        <v>435971.28935460345</v>
      </c>
      <c r="V270" s="7">
        <f t="shared" si="47"/>
        <v>64.283981227804247</v>
      </c>
      <c r="W270" s="14" t="s">
        <v>10</v>
      </c>
      <c r="X270" s="9">
        <v>139950</v>
      </c>
      <c r="Y270" s="9">
        <v>1001356.3636363638</v>
      </c>
      <c r="Z270" s="9">
        <v>1072818.1818181819</v>
      </c>
      <c r="AA270" s="9">
        <v>0</v>
      </c>
      <c r="AB270" s="9">
        <v>3866</v>
      </c>
      <c r="AC270" s="9">
        <v>0</v>
      </c>
      <c r="AD270" s="9">
        <v>1056262.68</v>
      </c>
      <c r="AE270" s="9">
        <v>50000.000000000007</v>
      </c>
      <c r="AF270" s="9">
        <v>10255.847336540222</v>
      </c>
      <c r="AG270" s="7">
        <f>X270*0.54+Y270*0.0285+Z270*0.032+AA270*3+AB270*5+AD270*0.015+AE270*0.045</f>
        <v>175865.77838181821</v>
      </c>
      <c r="AH270" s="1">
        <f t="shared" si="48"/>
        <v>17.14785454686243</v>
      </c>
    </row>
    <row r="271" spans="1:34" x14ac:dyDescent="0.25">
      <c r="A271" s="13" t="s">
        <v>0</v>
      </c>
      <c r="B271" s="19">
        <v>45927</v>
      </c>
      <c r="C271" s="10">
        <v>12125</v>
      </c>
      <c r="D271" s="10">
        <v>42815</v>
      </c>
      <c r="E271" s="10">
        <v>0</v>
      </c>
      <c r="F271" s="10">
        <v>0</v>
      </c>
      <c r="G271" s="10">
        <v>7128</v>
      </c>
      <c r="H271" s="10">
        <v>8112</v>
      </c>
      <c r="I271" s="10">
        <v>0</v>
      </c>
      <c r="J271" s="2">
        <v>26.95000076293945</v>
      </c>
      <c r="K271" s="23">
        <f t="shared" si="43"/>
        <v>118907.6</v>
      </c>
      <c r="L271" s="23">
        <f t="shared" si="49"/>
        <v>16.681762065095398</v>
      </c>
      <c r="M271" s="13" t="s">
        <v>9</v>
      </c>
      <c r="N271" s="10">
        <v>116936.34487608075</v>
      </c>
      <c r="O271" s="10">
        <v>66179.989796847629</v>
      </c>
      <c r="P271" s="7">
        <f t="shared" si="45"/>
        <v>75204.533860054129</v>
      </c>
      <c r="Q271" s="10">
        <v>0</v>
      </c>
      <c r="R271" s="10">
        <v>0</v>
      </c>
      <c r="S271" s="7">
        <f t="shared" si="46"/>
        <v>0</v>
      </c>
      <c r="T271" s="10">
        <v>6539.1678384318948</v>
      </c>
      <c r="U271" s="7">
        <f t="shared" si="44"/>
        <v>432851.11468910973</v>
      </c>
      <c r="V271" s="7">
        <f t="shared" si="47"/>
        <v>66.19360832813679</v>
      </c>
      <c r="W271" s="14" t="s">
        <v>10</v>
      </c>
      <c r="X271" s="10">
        <v>142200</v>
      </c>
      <c r="Y271" s="10">
        <v>984447.27272727271</v>
      </c>
      <c r="Z271" s="10">
        <v>1060545.4545454546</v>
      </c>
      <c r="AA271" s="10">
        <v>0</v>
      </c>
      <c r="AB271" s="10">
        <v>3784</v>
      </c>
      <c r="AC271" s="10">
        <v>0</v>
      </c>
      <c r="AD271" s="10">
        <v>1033809.4800000002</v>
      </c>
      <c r="AE271" s="10">
        <v>100000</v>
      </c>
      <c r="AF271" s="10">
        <v>10101.954324493408</v>
      </c>
      <c r="AG271" s="7">
        <f t="shared" si="42"/>
        <v>177709.34401818182</v>
      </c>
      <c r="AH271" s="1">
        <f t="shared" si="48"/>
        <v>17.591580629829622</v>
      </c>
    </row>
    <row r="272" spans="1:34" x14ac:dyDescent="0.25">
      <c r="A272" s="13" t="s">
        <v>0</v>
      </c>
      <c r="B272" s="19">
        <v>45928</v>
      </c>
      <c r="C272" s="7">
        <v>4794</v>
      </c>
      <c r="D272" s="7">
        <v>45969</v>
      </c>
      <c r="E272" s="7">
        <v>0</v>
      </c>
      <c r="F272" s="7">
        <v>0</v>
      </c>
      <c r="G272" s="7">
        <v>11452</v>
      </c>
      <c r="H272" s="7">
        <v>9231</v>
      </c>
      <c r="I272" s="7">
        <v>0</v>
      </c>
      <c r="J272" s="2">
        <v>26.25</v>
      </c>
      <c r="K272" s="23">
        <f t="shared" si="43"/>
        <v>62695.86</v>
      </c>
      <c r="L272" s="23">
        <f t="shared" si="49"/>
        <v>5.4746646873908489</v>
      </c>
      <c r="M272" s="13" t="s">
        <v>9</v>
      </c>
      <c r="N272" s="7">
        <v>115676.83442223072</v>
      </c>
      <c r="O272" s="7">
        <v>63365.120598214162</v>
      </c>
      <c r="P272" s="7">
        <f t="shared" si="45"/>
        <v>72005.818861606997</v>
      </c>
      <c r="Q272" s="7">
        <v>0</v>
      </c>
      <c r="R272" s="7">
        <v>0</v>
      </c>
      <c r="S272" s="7">
        <f t="shared" si="46"/>
        <v>0</v>
      </c>
      <c r="T272" s="7">
        <v>6823.3132303068414</v>
      </c>
      <c r="U272" s="7">
        <f t="shared" si="44"/>
        <v>416446.09611166461</v>
      </c>
      <c r="V272" s="7">
        <f t="shared" si="47"/>
        <v>61.032827023381017</v>
      </c>
      <c r="W272" s="14" t="s">
        <v>10</v>
      </c>
      <c r="X272" s="7">
        <v>146120</v>
      </c>
      <c r="Y272" s="7">
        <v>802420.90909090918</v>
      </c>
      <c r="Z272" s="7">
        <v>881272.72727272729</v>
      </c>
      <c r="AA272" s="7">
        <v>168</v>
      </c>
      <c r="AB272" s="7">
        <v>3611</v>
      </c>
      <c r="AC272" s="7">
        <v>0</v>
      </c>
      <c r="AD272" s="7">
        <v>848303.28</v>
      </c>
      <c r="AE272" s="7">
        <v>87500</v>
      </c>
      <c r="AF272" s="7">
        <v>8391.3971056365972</v>
      </c>
      <c r="AG272" s="7">
        <f t="shared" si="42"/>
        <v>165195.5723818182</v>
      </c>
      <c r="AH272" s="1">
        <f t="shared" si="48"/>
        <v>19.68630137535196</v>
      </c>
    </row>
    <row r="273" spans="1:34" x14ac:dyDescent="0.25">
      <c r="A273" s="13" t="s">
        <v>0</v>
      </c>
      <c r="B273" s="19">
        <v>45929</v>
      </c>
      <c r="C273" s="7">
        <v>19033</v>
      </c>
      <c r="D273" s="7">
        <v>50542</v>
      </c>
      <c r="E273" s="7">
        <v>0</v>
      </c>
      <c r="F273" s="7">
        <v>0</v>
      </c>
      <c r="G273" s="7">
        <v>16534</v>
      </c>
      <c r="H273" s="7">
        <v>7873</v>
      </c>
      <c r="I273" s="7">
        <v>0</v>
      </c>
      <c r="J273" s="2">
        <v>27.64999961853027</v>
      </c>
      <c r="K273" s="23">
        <f t="shared" si="43"/>
        <v>177653.38</v>
      </c>
      <c r="L273" s="23">
        <f t="shared" si="49"/>
        <v>10.74473085762671</v>
      </c>
      <c r="M273" s="13" t="s">
        <v>9</v>
      </c>
      <c r="N273" s="7">
        <v>115121.91286534071</v>
      </c>
      <c r="O273" s="7">
        <v>63994.635100791129</v>
      </c>
      <c r="P273" s="7">
        <f t="shared" si="45"/>
        <v>72721.176250899007</v>
      </c>
      <c r="Q273" s="7">
        <v>0</v>
      </c>
      <c r="R273" s="7">
        <v>0</v>
      </c>
      <c r="S273" s="7">
        <f t="shared" si="46"/>
        <v>0</v>
      </c>
      <c r="T273" s="7">
        <v>6126.2724550645798</v>
      </c>
      <c r="U273" s="7">
        <f t="shared" si="44"/>
        <v>419663.13539670355</v>
      </c>
      <c r="V273" s="7">
        <f t="shared" si="47"/>
        <v>68.502199090046787</v>
      </c>
      <c r="W273" s="14" t="s">
        <v>10</v>
      </c>
      <c r="X273" s="7">
        <v>153450</v>
      </c>
      <c r="Y273" s="7">
        <v>1084464.5454545454</v>
      </c>
      <c r="Z273" s="7">
        <v>1167181.8181818181</v>
      </c>
      <c r="AA273" s="7">
        <v>0</v>
      </c>
      <c r="AB273" s="7">
        <v>3514</v>
      </c>
      <c r="AC273" s="7">
        <v>0</v>
      </c>
      <c r="AD273" s="7">
        <v>1118917.8</v>
      </c>
      <c r="AE273" s="7">
        <v>112500</v>
      </c>
      <c r="AF273" s="7">
        <v>11170.585954284668</v>
      </c>
      <c r="AG273" s="7">
        <f t="shared" si="42"/>
        <v>190536.32472727273</v>
      </c>
      <c r="AH273" s="1">
        <f t="shared" si="48"/>
        <v>17.056967781908458</v>
      </c>
    </row>
    <row r="274" spans="1:34" x14ac:dyDescent="0.25">
      <c r="A274" s="13" t="s">
        <v>0</v>
      </c>
      <c r="B274" s="19">
        <v>45930</v>
      </c>
      <c r="C274" s="7">
        <v>8819</v>
      </c>
      <c r="D274" s="7">
        <v>53872</v>
      </c>
      <c r="E274" s="7">
        <v>0</v>
      </c>
      <c r="F274" s="7">
        <v>0</v>
      </c>
      <c r="G274" s="7">
        <v>20039</v>
      </c>
      <c r="H274" s="7">
        <v>8882</v>
      </c>
      <c r="I274" s="7">
        <v>0</v>
      </c>
      <c r="J274" s="2">
        <v>29.29999923706055</v>
      </c>
      <c r="K274" s="23">
        <f t="shared" si="43"/>
        <v>98760.98000000001</v>
      </c>
      <c r="L274" s="23">
        <f t="shared" si="49"/>
        <v>4.9284385448375669</v>
      </c>
      <c r="M274" s="13" t="s">
        <v>9</v>
      </c>
      <c r="N274" s="7">
        <v>60347.153012767434</v>
      </c>
      <c r="O274" s="7">
        <v>17979.416763617337</v>
      </c>
      <c r="P274" s="7">
        <f t="shared" si="45"/>
        <v>20431.155413201519</v>
      </c>
      <c r="Q274" s="7">
        <v>0</v>
      </c>
      <c r="R274" s="7">
        <v>0</v>
      </c>
      <c r="S274" s="7">
        <f t="shared" si="46"/>
        <v>0</v>
      </c>
      <c r="T274" s="7">
        <v>2280.2925329583231</v>
      </c>
      <c r="U274" s="7">
        <f t="shared" si="44"/>
        <v>133027.0226381931</v>
      </c>
      <c r="V274" s="7">
        <f t="shared" si="47"/>
        <v>58.337700411451742</v>
      </c>
      <c r="W274" s="14" t="s">
        <v>10</v>
      </c>
      <c r="X274" s="8">
        <v>135380</v>
      </c>
      <c r="Y274" s="8">
        <v>1010233.6363636364</v>
      </c>
      <c r="Z274" s="8">
        <v>1095636.3636363638</v>
      </c>
      <c r="AA274" s="8">
        <v>0</v>
      </c>
      <c r="AB274" s="8">
        <v>3447</v>
      </c>
      <c r="AC274" s="8">
        <v>0</v>
      </c>
      <c r="AD274" s="8">
        <v>1053696.6000000001</v>
      </c>
      <c r="AE274" s="8">
        <v>75000</v>
      </c>
      <c r="AF274" s="8">
        <v>10576.258810806274</v>
      </c>
      <c r="AG274" s="7">
        <f t="shared" si="42"/>
        <v>173372.67127272728</v>
      </c>
      <c r="AH274" s="1">
        <f t="shared" si="48"/>
        <v>16.392627523031496</v>
      </c>
    </row>
    <row r="275" spans="1:34" x14ac:dyDescent="0.25">
      <c r="A275" s="13" t="s">
        <v>0</v>
      </c>
      <c r="B275" s="19">
        <v>45931</v>
      </c>
      <c r="C275" s="7">
        <v>20314</v>
      </c>
      <c r="D275" s="7">
        <v>35282</v>
      </c>
      <c r="E275" s="7">
        <v>12000</v>
      </c>
      <c r="F275" s="7">
        <v>0</v>
      </c>
      <c r="G275" s="7">
        <v>16224</v>
      </c>
      <c r="H275" s="7">
        <v>6441</v>
      </c>
      <c r="I275" s="7">
        <v>48500</v>
      </c>
      <c r="J275" s="2">
        <v>30.5</v>
      </c>
      <c r="K275" s="23">
        <f>C275*7.804+D275*0.53+E275*7.5+F275*5</f>
        <v>267229.91599999997</v>
      </c>
      <c r="L275" s="23">
        <f t="shared" si="49"/>
        <v>16.471271942800787</v>
      </c>
      <c r="M275" s="13" t="s">
        <v>9</v>
      </c>
      <c r="N275" s="7">
        <v>16566</v>
      </c>
      <c r="O275" s="7">
        <v>17979.416763617337</v>
      </c>
      <c r="P275" s="7">
        <f t="shared" si="45"/>
        <v>20431.155413201519</v>
      </c>
      <c r="Q275" s="7">
        <v>0</v>
      </c>
      <c r="R275" s="7">
        <v>0</v>
      </c>
      <c r="S275" s="7">
        <f t="shared" si="46"/>
        <v>0</v>
      </c>
      <c r="T275" s="26">
        <v>1935.0437779733911</v>
      </c>
      <c r="U275" s="7">
        <f>N275*0.53+P275*4.68+Q275*4.28+S275*8.7</f>
        <v>104397.7873337831</v>
      </c>
      <c r="V275" s="7">
        <f t="shared" si="47"/>
        <v>53.951124270232754</v>
      </c>
      <c r="W275" s="14" t="s">
        <v>10</v>
      </c>
      <c r="X275" s="7">
        <v>143750</v>
      </c>
      <c r="Y275" s="7">
        <v>1253470.9090909092</v>
      </c>
      <c r="Z275" s="7">
        <v>1365363.6363636362</v>
      </c>
      <c r="AA275" s="7">
        <v>2833</v>
      </c>
      <c r="AB275" s="7">
        <v>3553</v>
      </c>
      <c r="AC275" s="7">
        <v>0</v>
      </c>
      <c r="AD275" s="7">
        <v>1309449.24</v>
      </c>
      <c r="AE275" s="7">
        <v>112500</v>
      </c>
      <c r="AF275" s="7">
        <v>13060.283839416505</v>
      </c>
      <c r="AG275" s="7">
        <f>X275*0.53+Y275*0.0285+Z275*0.032+AA275*3+AB275*5+AD275*0.015+AE275*0.045</f>
        <v>206571.29587272729</v>
      </c>
      <c r="AH275" s="1">
        <f t="shared" si="48"/>
        <v>15.816753939855897</v>
      </c>
    </row>
    <row r="276" spans="1:34" x14ac:dyDescent="0.25">
      <c r="A276" s="13" t="s">
        <v>0</v>
      </c>
      <c r="B276" s="19">
        <v>45932</v>
      </c>
      <c r="C276" s="7">
        <v>16651</v>
      </c>
      <c r="D276" s="7">
        <v>34160</v>
      </c>
      <c r="E276" s="7">
        <v>9500</v>
      </c>
      <c r="F276" s="7">
        <v>0</v>
      </c>
      <c r="G276" s="7">
        <v>13792</v>
      </c>
      <c r="H276" s="7">
        <v>7281</v>
      </c>
      <c r="I276" s="7">
        <v>38000</v>
      </c>
      <c r="J276" s="2">
        <v>31.04999923706055</v>
      </c>
      <c r="K276" s="23">
        <f t="shared" ref="K276:K305" si="50">C276*7.804+D276*0.53+E276*7.5+F276*5</f>
        <v>219299.204</v>
      </c>
      <c r="L276" s="23">
        <f t="shared" si="49"/>
        <v>15.900464327146171</v>
      </c>
      <c r="M276" s="13" t="s">
        <v>9</v>
      </c>
      <c r="N276" s="7">
        <v>12427</v>
      </c>
      <c r="O276" s="7">
        <v>17979.416763617337</v>
      </c>
      <c r="P276" s="7">
        <f t="shared" si="45"/>
        <v>20431.155413201519</v>
      </c>
      <c r="Q276" s="7">
        <v>0</v>
      </c>
      <c r="R276" s="7">
        <v>0</v>
      </c>
      <c r="S276" s="7">
        <f t="shared" si="46"/>
        <v>0</v>
      </c>
      <c r="T276" s="26">
        <v>1589.7950229886919</v>
      </c>
      <c r="U276" s="7">
        <f>N276*0.53+P276*4.68+Q276*4.28+S276*8.7</f>
        <v>102204.1173337831</v>
      </c>
      <c r="V276" s="7">
        <f t="shared" si="47"/>
        <v>64.287606802068893</v>
      </c>
      <c r="W276" s="14" t="s">
        <v>10</v>
      </c>
      <c r="X276" s="7">
        <v>126630</v>
      </c>
      <c r="Y276" s="7">
        <v>792360</v>
      </c>
      <c r="Z276" s="7">
        <v>847636.36363636365</v>
      </c>
      <c r="AA276" s="7">
        <v>5407</v>
      </c>
      <c r="AB276" s="7">
        <v>3392</v>
      </c>
      <c r="AC276" s="7">
        <v>0</v>
      </c>
      <c r="AD276" s="7">
        <v>815478.84</v>
      </c>
      <c r="AE276" s="7">
        <v>25000</v>
      </c>
      <c r="AF276" s="7">
        <v>8057.8476494979859</v>
      </c>
      <c r="AG276" s="7">
        <f t="shared" ref="AG276:AG335" si="51">X276*0.53+Y276*0.0285+Z276*0.032+AA276*3+AB276*5+AD276*0.015+AE276*0.045</f>
        <v>163358.70623636362</v>
      </c>
      <c r="AH276" s="1">
        <f t="shared" si="48"/>
        <v>20.2732433451433</v>
      </c>
    </row>
    <row r="277" spans="1:34" x14ac:dyDescent="0.25">
      <c r="A277" s="13" t="s">
        <v>0</v>
      </c>
      <c r="B277" s="19">
        <v>45933</v>
      </c>
      <c r="C277" s="7">
        <v>12361</v>
      </c>
      <c r="D277" s="7">
        <v>36710</v>
      </c>
      <c r="E277" s="7">
        <v>9200</v>
      </c>
      <c r="F277" s="7">
        <v>0</v>
      </c>
      <c r="G277" s="7">
        <v>10204</v>
      </c>
      <c r="H277" s="7">
        <v>4269</v>
      </c>
      <c r="I277" s="7">
        <v>37551</v>
      </c>
      <c r="J277" s="2">
        <v>29.75</v>
      </c>
      <c r="K277" s="23">
        <f t="shared" si="50"/>
        <v>184921.54399999999</v>
      </c>
      <c r="L277" s="23">
        <f t="shared" si="49"/>
        <v>18.122456291650334</v>
      </c>
      <c r="M277" s="13" t="s">
        <v>9</v>
      </c>
      <c r="N277" s="7">
        <v>12304</v>
      </c>
      <c r="O277" s="7">
        <v>17979.416763617337</v>
      </c>
      <c r="P277" s="7">
        <f t="shared" si="45"/>
        <v>20431.155413201519</v>
      </c>
      <c r="Q277" s="7">
        <v>0</v>
      </c>
      <c r="R277" s="7">
        <v>0</v>
      </c>
      <c r="S277" s="7">
        <f t="shared" si="46"/>
        <v>0</v>
      </c>
      <c r="T277" s="26">
        <v>1244.5462680039927</v>
      </c>
      <c r="U277" s="7">
        <f>N277*0.53+P277*4.68+Q277*4.28+S277*8.7</f>
        <v>102138.9273337831</v>
      </c>
      <c r="V277" s="7">
        <f t="shared" si="47"/>
        <v>82.069208642273964</v>
      </c>
      <c r="W277" s="14" t="s">
        <v>10</v>
      </c>
      <c r="X277" s="7">
        <v>144510</v>
      </c>
      <c r="Y277" s="7">
        <v>1126906.3636363638</v>
      </c>
      <c r="Z277" s="7">
        <v>1208272.7272727273</v>
      </c>
      <c r="AA277" s="7">
        <v>4201</v>
      </c>
      <c r="AB277" s="7">
        <v>3455</v>
      </c>
      <c r="AC277" s="7">
        <v>0</v>
      </c>
      <c r="AD277" s="7">
        <v>1154308.32</v>
      </c>
      <c r="AE277" s="7">
        <v>100000</v>
      </c>
      <c r="AF277" s="7">
        <v>11586.24</v>
      </c>
      <c r="AG277" s="7">
        <f t="shared" si="51"/>
        <v>199064.48343636363</v>
      </c>
      <c r="AH277" s="1">
        <f t="shared" si="48"/>
        <v>17.181111683890858</v>
      </c>
    </row>
    <row r="278" spans="1:34" x14ac:dyDescent="0.25">
      <c r="A278" s="13" t="s">
        <v>0</v>
      </c>
      <c r="B278" s="19">
        <v>45934</v>
      </c>
      <c r="C278" s="7">
        <v>9846</v>
      </c>
      <c r="D278" s="7">
        <v>38581</v>
      </c>
      <c r="E278" s="7">
        <v>0</v>
      </c>
      <c r="F278" s="7">
        <v>0</v>
      </c>
      <c r="G278" s="7">
        <v>8431</v>
      </c>
      <c r="H278" s="7">
        <v>4690</v>
      </c>
      <c r="I278" s="7">
        <v>0</v>
      </c>
      <c r="J278" s="2">
        <v>29.20000076293945</v>
      </c>
      <c r="K278" s="23">
        <f t="shared" si="50"/>
        <v>97286.114000000001</v>
      </c>
      <c r="L278" s="23">
        <f t="shared" si="49"/>
        <v>11.539095480963113</v>
      </c>
      <c r="M278" s="13" t="s">
        <v>9</v>
      </c>
      <c r="N278" s="7">
        <v>16456</v>
      </c>
      <c r="O278" s="7">
        <v>17979.416763617337</v>
      </c>
      <c r="P278" s="7">
        <f t="shared" si="45"/>
        <v>20431.155413201519</v>
      </c>
      <c r="Q278" s="7">
        <v>1500</v>
      </c>
      <c r="R278" s="7">
        <v>0</v>
      </c>
      <c r="S278" s="7">
        <f t="shared" si="46"/>
        <v>0</v>
      </c>
      <c r="T278" s="26">
        <v>899.29751302022487</v>
      </c>
      <c r="U278" s="7">
        <f>N278*0.53+P278*4.68+Q278*4.28+S278*8.7</f>
        <v>110759.48733378309</v>
      </c>
      <c r="V278" s="7">
        <f t="shared" si="47"/>
        <v>123.16223021879095</v>
      </c>
      <c r="W278" s="14" t="s">
        <v>10</v>
      </c>
      <c r="X278" s="7">
        <v>146710</v>
      </c>
      <c r="Y278" s="7">
        <v>1200376.3636363638</v>
      </c>
      <c r="Z278" s="7">
        <v>1279818.1818181816</v>
      </c>
      <c r="AA278" s="7">
        <v>4241</v>
      </c>
      <c r="AB278" s="7">
        <v>4191</v>
      </c>
      <c r="AC278" s="7">
        <v>0</v>
      </c>
      <c r="AD278" s="7">
        <v>1236743.6400000001</v>
      </c>
      <c r="AE278" s="7">
        <v>100000</v>
      </c>
      <c r="AF278" s="7">
        <v>12207.766187553405</v>
      </c>
      <c r="AG278" s="7">
        <f t="shared" si="51"/>
        <v>209650.3627818182</v>
      </c>
      <c r="AH278" s="1">
        <f t="shared" si="48"/>
        <v>17.173523768465529</v>
      </c>
    </row>
    <row r="279" spans="1:34" x14ac:dyDescent="0.25">
      <c r="A279" s="13" t="s">
        <v>0</v>
      </c>
      <c r="B279" s="19">
        <v>45935</v>
      </c>
      <c r="C279" s="8">
        <v>11414</v>
      </c>
      <c r="D279" s="8">
        <v>44061</v>
      </c>
      <c r="E279" s="8">
        <v>0</v>
      </c>
      <c r="F279" s="7">
        <v>0</v>
      </c>
      <c r="G279" s="8">
        <v>5557</v>
      </c>
      <c r="H279" s="8">
        <v>6541</v>
      </c>
      <c r="I279" s="8">
        <v>0</v>
      </c>
      <c r="J279" s="2">
        <v>33.5</v>
      </c>
      <c r="K279" s="23">
        <f t="shared" si="50"/>
        <v>112427.186</v>
      </c>
      <c r="L279" s="23">
        <f t="shared" si="49"/>
        <v>20.231633255353607</v>
      </c>
      <c r="M279" s="13" t="s">
        <v>9</v>
      </c>
      <c r="N279" s="7">
        <v>84043</v>
      </c>
      <c r="O279" s="7">
        <v>0</v>
      </c>
      <c r="P279" s="7">
        <f t="shared" si="45"/>
        <v>0</v>
      </c>
      <c r="Q279" s="7">
        <v>20000</v>
      </c>
      <c r="R279" s="7">
        <v>0</v>
      </c>
      <c r="S279" s="7">
        <f t="shared" si="46"/>
        <v>0</v>
      </c>
      <c r="T279" s="26">
        <v>554.04875803552568</v>
      </c>
      <c r="U279" s="7">
        <f t="shared" ref="U279:U305" si="52">N279*0.53+P279*4.68+Q279*4.28+S279*8.7</f>
        <v>130142.79000000001</v>
      </c>
      <c r="V279" s="7">
        <f t="shared" si="47"/>
        <v>234.89411015276607</v>
      </c>
      <c r="W279" s="14" t="s">
        <v>10</v>
      </c>
      <c r="X279" s="8">
        <v>154210</v>
      </c>
      <c r="Y279" s="8">
        <v>1034667.2727272727</v>
      </c>
      <c r="Z279" s="8">
        <v>1113909.0909090908</v>
      </c>
      <c r="AA279" s="8">
        <v>4228</v>
      </c>
      <c r="AB279" s="8">
        <v>4185</v>
      </c>
      <c r="AC279" s="8">
        <v>0</v>
      </c>
      <c r="AD279" s="8">
        <v>1094326.2</v>
      </c>
      <c r="AE279" s="8">
        <v>87500</v>
      </c>
      <c r="AF279" s="8">
        <v>10662.34</v>
      </c>
      <c r="AG279" s="7">
        <f t="shared" si="51"/>
        <v>200825.80118181818</v>
      </c>
      <c r="AH279" s="1">
        <f t="shared" si="48"/>
        <v>18.835058831533996</v>
      </c>
    </row>
    <row r="280" spans="1:34" x14ac:dyDescent="0.25">
      <c r="A280" s="13" t="s">
        <v>0</v>
      </c>
      <c r="B280" s="19">
        <v>45936</v>
      </c>
      <c r="C280" s="7">
        <v>15602</v>
      </c>
      <c r="D280" s="7">
        <v>37160</v>
      </c>
      <c r="E280" s="7">
        <v>22500</v>
      </c>
      <c r="F280" s="7">
        <v>0</v>
      </c>
      <c r="G280" s="7">
        <v>11087</v>
      </c>
      <c r="H280" s="7">
        <v>5790</v>
      </c>
      <c r="I280" s="7">
        <v>93750</v>
      </c>
      <c r="J280" s="2">
        <v>32.400001525878913</v>
      </c>
      <c r="K280" s="23">
        <f t="shared" si="50"/>
        <v>310202.80799999996</v>
      </c>
      <c r="L280" s="23">
        <f t="shared" si="49"/>
        <v>27.978967078560473</v>
      </c>
      <c r="M280" s="13" t="s">
        <v>9</v>
      </c>
      <c r="N280" s="7">
        <v>85846.625121325254</v>
      </c>
      <c r="O280" s="7">
        <v>0</v>
      </c>
      <c r="P280" s="7">
        <f t="shared" si="45"/>
        <v>0</v>
      </c>
      <c r="Q280" s="7">
        <v>28000</v>
      </c>
      <c r="R280" s="7">
        <v>0</v>
      </c>
      <c r="S280" s="7">
        <f t="shared" si="46"/>
        <v>0</v>
      </c>
      <c r="T280" s="26">
        <v>208.80000305175781</v>
      </c>
      <c r="U280" s="7">
        <f t="shared" si="52"/>
        <v>165338.7113143024</v>
      </c>
      <c r="V280" s="7">
        <f t="shared" si="47"/>
        <v>791.85205410805418</v>
      </c>
      <c r="W280" s="14" t="s">
        <v>10</v>
      </c>
      <c r="X280" s="7">
        <v>142000</v>
      </c>
      <c r="Y280" s="7">
        <v>1133162.7272727273</v>
      </c>
      <c r="Z280" s="7">
        <v>1216727.2727272727</v>
      </c>
      <c r="AA280" s="7">
        <v>4270</v>
      </c>
      <c r="AB280" s="7">
        <v>3710</v>
      </c>
      <c r="AC280" s="7">
        <v>0</v>
      </c>
      <c r="AD280" s="7">
        <v>1188308.8799999999</v>
      </c>
      <c r="AE280" s="7">
        <v>112500</v>
      </c>
      <c r="AF280" s="7">
        <v>11730.342120208741</v>
      </c>
      <c r="AG280" s="7">
        <f t="shared" si="51"/>
        <v>200737.54365454544</v>
      </c>
      <c r="AH280" s="1">
        <f t="shared" si="48"/>
        <v>17.112675964388099</v>
      </c>
    </row>
    <row r="281" spans="1:34" x14ac:dyDescent="0.25">
      <c r="A281" s="13" t="s">
        <v>0</v>
      </c>
      <c r="B281" s="19">
        <v>45937</v>
      </c>
      <c r="C281" s="7">
        <v>15038</v>
      </c>
      <c r="D281" s="7">
        <v>38969</v>
      </c>
      <c r="E281" s="7">
        <v>12500</v>
      </c>
      <c r="F281" s="7">
        <v>0</v>
      </c>
      <c r="G281" s="7">
        <v>10717</v>
      </c>
      <c r="H281" s="7">
        <v>7597</v>
      </c>
      <c r="I281" s="7">
        <v>51020</v>
      </c>
      <c r="J281" s="2">
        <v>28.95000076293945</v>
      </c>
      <c r="K281" s="23">
        <f t="shared" si="50"/>
        <v>231760.122</v>
      </c>
      <c r="L281" s="23">
        <f t="shared" si="49"/>
        <v>21.625466268545303</v>
      </c>
      <c r="M281" s="13" t="s">
        <v>9</v>
      </c>
      <c r="N281" s="7">
        <v>93597</v>
      </c>
      <c r="O281" s="7">
        <v>12885</v>
      </c>
      <c r="P281" s="7">
        <f t="shared" si="45"/>
        <v>14642.045454545454</v>
      </c>
      <c r="Q281" s="7">
        <v>9600</v>
      </c>
      <c r="R281" s="7">
        <v>0</v>
      </c>
      <c r="S281" s="7">
        <f t="shared" si="46"/>
        <v>0</v>
      </c>
      <c r="T281" s="7">
        <v>1579</v>
      </c>
      <c r="U281" s="7">
        <f t="shared" si="52"/>
        <v>159219.18272727274</v>
      </c>
      <c r="V281" s="7">
        <f t="shared" si="47"/>
        <v>100.83545454545455</v>
      </c>
      <c r="W281" s="14" t="s">
        <v>10</v>
      </c>
      <c r="X281" s="7">
        <v>141920</v>
      </c>
      <c r="Y281" s="7">
        <v>1096554.5454545454</v>
      </c>
      <c r="Z281" s="7">
        <v>1179545.4545454546</v>
      </c>
      <c r="AA281" s="7">
        <v>4599</v>
      </c>
      <c r="AB281" s="7">
        <v>3395</v>
      </c>
      <c r="AC281" s="7">
        <v>0</v>
      </c>
      <c r="AD281" s="7">
        <v>1158905.8800000001</v>
      </c>
      <c r="AE281" s="7">
        <v>112500</v>
      </c>
      <c r="AF281" s="7">
        <v>11280.018154144287</v>
      </c>
      <c r="AG281" s="7">
        <f t="shared" si="51"/>
        <v>197432.9472909091</v>
      </c>
      <c r="AH281" s="1">
        <f t="shared" si="48"/>
        <v>17.50289268979342</v>
      </c>
    </row>
    <row r="282" spans="1:34" x14ac:dyDescent="0.25">
      <c r="A282" s="13" t="s">
        <v>0</v>
      </c>
      <c r="B282" s="19">
        <v>45938</v>
      </c>
      <c r="C282" s="7">
        <v>16364</v>
      </c>
      <c r="D282" s="7">
        <v>34946</v>
      </c>
      <c r="E282" s="7">
        <v>18200</v>
      </c>
      <c r="F282" s="7">
        <v>0</v>
      </c>
      <c r="G282" s="7">
        <v>10455</v>
      </c>
      <c r="H282" s="7">
        <v>7391</v>
      </c>
      <c r="I282" s="7">
        <v>74286</v>
      </c>
      <c r="J282" s="2">
        <v>26.04999923706055</v>
      </c>
      <c r="K282" s="23">
        <f t="shared" si="50"/>
        <v>282726.03599999996</v>
      </c>
      <c r="L282" s="23">
        <f t="shared" si="49"/>
        <v>27.042184218077473</v>
      </c>
      <c r="M282" s="13" t="s">
        <v>9</v>
      </c>
      <c r="N282" s="7">
        <v>109157.50843054056</v>
      </c>
      <c r="O282" s="7">
        <v>50040</v>
      </c>
      <c r="P282" s="7">
        <f t="shared" si="45"/>
        <v>56863.63636363636</v>
      </c>
      <c r="Q282" s="7">
        <v>0</v>
      </c>
      <c r="R282" s="7">
        <v>0</v>
      </c>
      <c r="S282" s="7">
        <f t="shared" si="46"/>
        <v>0</v>
      </c>
      <c r="T282" s="7">
        <v>5689.8931651643152</v>
      </c>
      <c r="U282" s="7">
        <f t="shared" si="52"/>
        <v>323975.29765000468</v>
      </c>
      <c r="V282" s="7">
        <f t="shared" si="47"/>
        <v>56.938731228470928</v>
      </c>
      <c r="W282" s="14" t="s">
        <v>10</v>
      </c>
      <c r="X282" s="7">
        <v>154330</v>
      </c>
      <c r="Y282" s="7">
        <v>1158357.2727272727</v>
      </c>
      <c r="Z282" s="7">
        <v>1259818.1818181816</v>
      </c>
      <c r="AA282" s="7">
        <v>5099</v>
      </c>
      <c r="AB282" s="7">
        <v>3845</v>
      </c>
      <c r="AC282" s="7">
        <v>0</v>
      </c>
      <c r="AD282" s="7">
        <v>1221774.8399999999</v>
      </c>
      <c r="AE282" s="7">
        <v>125000.00000000001</v>
      </c>
      <c r="AF282" s="7">
        <v>11967.588327178955</v>
      </c>
      <c r="AG282" s="7">
        <f t="shared" si="51"/>
        <v>213595.8866909091</v>
      </c>
      <c r="AH282" s="1">
        <f t="shared" si="48"/>
        <v>17.847863817793833</v>
      </c>
    </row>
    <row r="283" spans="1:34" x14ac:dyDescent="0.25">
      <c r="A283" s="13" t="s">
        <v>0</v>
      </c>
      <c r="B283" s="19">
        <v>45939</v>
      </c>
      <c r="C283" s="7">
        <v>10819</v>
      </c>
      <c r="D283" s="7">
        <v>36184</v>
      </c>
      <c r="E283" s="7">
        <v>11550</v>
      </c>
      <c r="F283" s="7">
        <v>0</v>
      </c>
      <c r="G283" s="7">
        <v>10358</v>
      </c>
      <c r="H283" s="7">
        <v>6586</v>
      </c>
      <c r="I283" s="7">
        <v>46938</v>
      </c>
      <c r="J283" s="2">
        <v>25.04999923706055</v>
      </c>
      <c r="K283" s="23">
        <f t="shared" si="50"/>
        <v>190233.99600000001</v>
      </c>
      <c r="L283" s="23">
        <f t="shared" si="49"/>
        <v>18.365900366866192</v>
      </c>
      <c r="M283" s="13" t="s">
        <v>9</v>
      </c>
      <c r="N283" s="7">
        <v>114336.0430650115</v>
      </c>
      <c r="O283" s="7">
        <v>53603.029163598396</v>
      </c>
      <c r="P283" s="7">
        <f t="shared" si="45"/>
        <v>60912.533140452724</v>
      </c>
      <c r="Q283" s="7">
        <v>0</v>
      </c>
      <c r="R283" s="7">
        <v>0</v>
      </c>
      <c r="S283" s="7">
        <f t="shared" si="46"/>
        <v>0</v>
      </c>
      <c r="T283" s="7">
        <v>7142.6268354275589</v>
      </c>
      <c r="U283" s="7">
        <f t="shared" si="52"/>
        <v>345668.75792177487</v>
      </c>
      <c r="V283" s="7">
        <f t="shared" si="47"/>
        <v>48.395186516990016</v>
      </c>
      <c r="W283" s="14" t="s">
        <v>10</v>
      </c>
      <c r="X283" s="7">
        <v>155250</v>
      </c>
      <c r="Y283" s="7">
        <v>1111434.5454545454</v>
      </c>
      <c r="Z283" s="7">
        <v>1196272.7272727273</v>
      </c>
      <c r="AA283" s="7">
        <v>5101</v>
      </c>
      <c r="AB283" s="7">
        <v>3332</v>
      </c>
      <c r="AC283" s="7">
        <v>0</v>
      </c>
      <c r="AD283" s="7">
        <v>1182000.6000000001</v>
      </c>
      <c r="AE283" s="7">
        <v>137500</v>
      </c>
      <c r="AF283" s="7">
        <v>11405.695927848816</v>
      </c>
      <c r="AG283" s="7">
        <f t="shared" si="51"/>
        <v>208119.62081818181</v>
      </c>
      <c r="AH283" s="1">
        <f t="shared" si="48"/>
        <v>18.246990112196901</v>
      </c>
    </row>
    <row r="284" spans="1:34" x14ac:dyDescent="0.25">
      <c r="A284" s="13" t="s">
        <v>0</v>
      </c>
      <c r="B284" s="19">
        <v>45940</v>
      </c>
      <c r="C284" s="8">
        <v>12810</v>
      </c>
      <c r="D284" s="8">
        <v>37251</v>
      </c>
      <c r="E284" s="7">
        <v>5000</v>
      </c>
      <c r="F284" s="7">
        <v>0</v>
      </c>
      <c r="G284" s="8">
        <v>7065</v>
      </c>
      <c r="H284" s="8">
        <v>7753</v>
      </c>
      <c r="I284" s="8">
        <v>20833</v>
      </c>
      <c r="J284" s="2">
        <v>28.29999923706055</v>
      </c>
      <c r="K284" s="23">
        <f t="shared" si="50"/>
        <v>157212.27000000002</v>
      </c>
      <c r="L284" s="23">
        <f t="shared" si="49"/>
        <v>22.25226751592357</v>
      </c>
      <c r="M284" s="13" t="s">
        <v>9</v>
      </c>
      <c r="N284" s="7">
        <v>113997</v>
      </c>
      <c r="O284" s="7">
        <v>47522</v>
      </c>
      <c r="P284" s="7">
        <f t="shared" si="45"/>
        <v>54002.272727272728</v>
      </c>
      <c r="Q284" s="7">
        <v>0</v>
      </c>
      <c r="R284" s="7">
        <v>0</v>
      </c>
      <c r="S284" s="7">
        <f t="shared" si="46"/>
        <v>0</v>
      </c>
      <c r="T284" s="7">
        <v>3957</v>
      </c>
      <c r="U284" s="7">
        <f t="shared" si="52"/>
        <v>313149.04636363639</v>
      </c>
      <c r="V284" s="7">
        <f t="shared" si="47"/>
        <v>79.137995037562902</v>
      </c>
      <c r="W284" s="14" t="s">
        <v>10</v>
      </c>
      <c r="X284" s="8">
        <v>154640</v>
      </c>
      <c r="Y284" s="8">
        <v>1132148.1818181819</v>
      </c>
      <c r="Z284" s="8">
        <v>1224454.5454545454</v>
      </c>
      <c r="AA284" s="8">
        <v>4686</v>
      </c>
      <c r="AB284" s="8">
        <v>3005</v>
      </c>
      <c r="AC284" s="8">
        <v>0</v>
      </c>
      <c r="AD284" s="8">
        <v>1200390.8400000001</v>
      </c>
      <c r="AE284" s="8">
        <v>150000</v>
      </c>
      <c r="AF284" s="8">
        <v>11633.083329963683</v>
      </c>
      <c r="AG284" s="7">
        <f t="shared" si="51"/>
        <v>207246.83123636362</v>
      </c>
      <c r="AH284" s="1">
        <f t="shared" si="48"/>
        <v>17.815296715235565</v>
      </c>
    </row>
    <row r="285" spans="1:34" x14ac:dyDescent="0.25">
      <c r="A285" s="13" t="s">
        <v>0</v>
      </c>
      <c r="B285" s="19">
        <v>45941</v>
      </c>
      <c r="C285" s="7">
        <v>14960</v>
      </c>
      <c r="D285" s="7">
        <v>39656</v>
      </c>
      <c r="E285" s="7">
        <v>0</v>
      </c>
      <c r="F285" s="7">
        <v>0</v>
      </c>
      <c r="G285" s="7">
        <v>10109</v>
      </c>
      <c r="H285" s="7">
        <v>9444</v>
      </c>
      <c r="I285" s="7">
        <v>0</v>
      </c>
      <c r="J285" s="2">
        <v>28.64999961853027</v>
      </c>
      <c r="K285" s="23">
        <f t="shared" si="50"/>
        <v>137765.52000000002</v>
      </c>
      <c r="L285" s="23">
        <f t="shared" si="49"/>
        <v>13.628006726679198</v>
      </c>
      <c r="M285" s="13" t="s">
        <v>9</v>
      </c>
      <c r="N285" s="7">
        <v>113758.37842455506</v>
      </c>
      <c r="O285" s="7">
        <v>51565.001291680463</v>
      </c>
      <c r="P285" s="7">
        <f t="shared" si="45"/>
        <v>58596.592376909619</v>
      </c>
      <c r="Q285" s="7">
        <v>0</v>
      </c>
      <c r="R285" s="7">
        <v>0</v>
      </c>
      <c r="S285" s="7">
        <f t="shared" si="46"/>
        <v>0</v>
      </c>
      <c r="T285" s="7">
        <v>6204.4526292465853</v>
      </c>
      <c r="U285" s="7">
        <f t="shared" si="52"/>
        <v>334523.99288895121</v>
      </c>
      <c r="V285" s="7">
        <f t="shared" si="47"/>
        <v>53.916761538652104</v>
      </c>
      <c r="W285" s="14" t="s">
        <v>10</v>
      </c>
      <c r="X285" s="7">
        <v>157180</v>
      </c>
      <c r="Y285" s="7">
        <v>1179578.1818181816</v>
      </c>
      <c r="Z285" s="7">
        <v>1269454.5454545454</v>
      </c>
      <c r="AA285" s="7">
        <v>5121</v>
      </c>
      <c r="AB285" s="7">
        <v>3781</v>
      </c>
      <c r="AC285" s="7">
        <v>0</v>
      </c>
      <c r="AD285" s="7">
        <v>1266146.6400000001</v>
      </c>
      <c r="AE285" s="7">
        <v>175000</v>
      </c>
      <c r="AF285" s="7">
        <v>12118.69970123291</v>
      </c>
      <c r="AG285" s="7">
        <f t="shared" si="51"/>
        <v>218681.12323636364</v>
      </c>
      <c r="AH285" s="1">
        <f t="shared" si="48"/>
        <v>18.044932924125174</v>
      </c>
    </row>
    <row r="286" spans="1:34" x14ac:dyDescent="0.25">
      <c r="A286" s="13" t="s">
        <v>0</v>
      </c>
      <c r="B286" s="19">
        <v>45942</v>
      </c>
      <c r="C286" s="7">
        <v>0</v>
      </c>
      <c r="D286" s="7">
        <v>39836</v>
      </c>
      <c r="E286" s="7">
        <v>0</v>
      </c>
      <c r="F286" s="7">
        <v>0</v>
      </c>
      <c r="G286" s="7">
        <v>10740</v>
      </c>
      <c r="H286" s="7">
        <v>7920</v>
      </c>
      <c r="I286" s="7">
        <v>0</v>
      </c>
      <c r="J286" s="2">
        <v>31.14999961853027</v>
      </c>
      <c r="K286" s="23">
        <f t="shared" si="50"/>
        <v>21113.08</v>
      </c>
      <c r="L286" s="23">
        <f t="shared" si="49"/>
        <v>1.9658361266294229</v>
      </c>
      <c r="M286" s="13" t="s">
        <v>9</v>
      </c>
      <c r="N286" s="7">
        <v>113389.36701543629</v>
      </c>
      <c r="O286" s="7">
        <v>53676.52659518936</v>
      </c>
      <c r="P286" s="7">
        <f t="shared" si="45"/>
        <v>60996.052949078818</v>
      </c>
      <c r="Q286" s="7">
        <v>0</v>
      </c>
      <c r="R286" s="7">
        <v>0</v>
      </c>
      <c r="S286" s="7">
        <f t="shared" si="46"/>
        <v>0</v>
      </c>
      <c r="T286" s="7">
        <v>6202.6741163483166</v>
      </c>
      <c r="U286" s="7">
        <f t="shared" si="52"/>
        <v>345557.89231987012</v>
      </c>
      <c r="V286" s="7">
        <f t="shared" si="47"/>
        <v>55.71111521224163</v>
      </c>
      <c r="W286" s="14" t="s">
        <v>10</v>
      </c>
      <c r="X286" s="7">
        <v>158310</v>
      </c>
      <c r="Y286" s="7">
        <v>1235378.1818181819</v>
      </c>
      <c r="Z286" s="7">
        <v>1339454.5454545454</v>
      </c>
      <c r="AA286" s="7">
        <v>5116</v>
      </c>
      <c r="AB286" s="7">
        <v>4198</v>
      </c>
      <c r="AC286" s="7">
        <v>0</v>
      </c>
      <c r="AD286" s="7">
        <v>1290417.48</v>
      </c>
      <c r="AE286" s="7">
        <v>175000</v>
      </c>
      <c r="AF286" s="7">
        <v>12729.529973983765</v>
      </c>
      <c r="AG286" s="7">
        <f t="shared" si="51"/>
        <v>225544.38583636365</v>
      </c>
      <c r="AH286" s="1">
        <f t="shared" si="48"/>
        <v>17.718202187930313</v>
      </c>
    </row>
    <row r="287" spans="1:34" x14ac:dyDescent="0.25">
      <c r="A287" s="13" t="s">
        <v>0</v>
      </c>
      <c r="B287" s="19">
        <v>45943</v>
      </c>
      <c r="C287" s="7">
        <v>21122</v>
      </c>
      <c r="D287" s="7">
        <v>30387</v>
      </c>
      <c r="E287" s="7">
        <v>10600</v>
      </c>
      <c r="F287" s="7">
        <v>0</v>
      </c>
      <c r="G287" s="7">
        <v>10037</v>
      </c>
      <c r="H287" s="7">
        <v>8352</v>
      </c>
      <c r="I287" s="7">
        <v>43265</v>
      </c>
      <c r="J287" s="2">
        <v>32.900001525878913</v>
      </c>
      <c r="K287" s="23">
        <f t="shared" si="50"/>
        <v>260441.19800000003</v>
      </c>
      <c r="L287" s="23">
        <f t="shared" si="49"/>
        <v>25.94811178639036</v>
      </c>
      <c r="M287" s="13" t="s">
        <v>9</v>
      </c>
      <c r="N287" s="7">
        <v>113060.58526350558</v>
      </c>
      <c r="O287" s="7">
        <v>50752.556554205854</v>
      </c>
      <c r="P287" s="7">
        <f t="shared" si="45"/>
        <v>57673.359720688473</v>
      </c>
      <c r="Q287" s="7">
        <v>0</v>
      </c>
      <c r="R287" s="7">
        <v>0</v>
      </c>
      <c r="S287" s="7">
        <f t="shared" si="46"/>
        <v>0</v>
      </c>
      <c r="T287" s="7">
        <v>6995.8760154314004</v>
      </c>
      <c r="U287" s="7">
        <f t="shared" si="52"/>
        <v>329833.43368248001</v>
      </c>
      <c r="V287" s="7">
        <f t="shared" si="47"/>
        <v>47.146838073593393</v>
      </c>
      <c r="W287" s="14" t="s">
        <v>10</v>
      </c>
      <c r="X287" s="7">
        <v>154500</v>
      </c>
      <c r="Y287" s="7">
        <v>1146605.4545454546</v>
      </c>
      <c r="Z287" s="7">
        <v>1237000</v>
      </c>
      <c r="AA287" s="7">
        <v>5165</v>
      </c>
      <c r="AB287" s="7">
        <v>3676</v>
      </c>
      <c r="AC287" s="7">
        <v>0</v>
      </c>
      <c r="AD287" s="7">
        <v>1192692.6000000001</v>
      </c>
      <c r="AE287" s="7">
        <v>150000</v>
      </c>
      <c r="AF287" s="7">
        <v>11908.159878540038</v>
      </c>
      <c r="AG287" s="7">
        <f t="shared" si="51"/>
        <v>212662.64445454546</v>
      </c>
      <c r="AH287" s="1">
        <f t="shared" si="48"/>
        <v>17.858564767658986</v>
      </c>
    </row>
    <row r="288" spans="1:34" x14ac:dyDescent="0.25">
      <c r="A288" s="13" t="s">
        <v>0</v>
      </c>
      <c r="B288" s="19">
        <v>45944</v>
      </c>
      <c r="C288" s="7">
        <v>11450</v>
      </c>
      <c r="D288" s="7">
        <v>26414</v>
      </c>
      <c r="E288" s="7">
        <v>0</v>
      </c>
      <c r="F288" s="7">
        <v>0</v>
      </c>
      <c r="G288" s="7">
        <v>11950</v>
      </c>
      <c r="H288" s="7">
        <v>8777</v>
      </c>
      <c r="I288" s="7">
        <v>0</v>
      </c>
      <c r="J288" s="2">
        <v>30.25</v>
      </c>
      <c r="K288" s="23">
        <f t="shared" si="50"/>
        <v>103355.22</v>
      </c>
      <c r="L288" s="23">
        <f t="shared" si="49"/>
        <v>8.6489723849372382</v>
      </c>
      <c r="M288" s="13" t="s">
        <v>9</v>
      </c>
      <c r="N288" s="7">
        <v>74455.542515009642</v>
      </c>
      <c r="O288" s="7">
        <v>30690</v>
      </c>
      <c r="P288" s="7">
        <f t="shared" si="45"/>
        <v>34875</v>
      </c>
      <c r="Q288" s="7">
        <v>30</v>
      </c>
      <c r="R288" s="7">
        <v>0</v>
      </c>
      <c r="S288" s="7">
        <f t="shared" si="46"/>
        <v>0</v>
      </c>
      <c r="T288" s="7">
        <v>3943.902284893491</v>
      </c>
      <c r="U288" s="7">
        <f t="shared" si="52"/>
        <v>202804.83753295511</v>
      </c>
      <c r="V288" s="7">
        <f t="shared" si="47"/>
        <v>51.422378873271718</v>
      </c>
      <c r="W288" s="14" t="s">
        <v>10</v>
      </c>
      <c r="X288" s="7">
        <v>135360</v>
      </c>
      <c r="Y288" s="7">
        <v>1049716.3636363635</v>
      </c>
      <c r="Z288" s="7">
        <v>1135181.8181818181</v>
      </c>
      <c r="AA288" s="7">
        <v>5157</v>
      </c>
      <c r="AB288" s="7">
        <v>3653</v>
      </c>
      <c r="AC288" s="7">
        <v>0</v>
      </c>
      <c r="AD288" s="7">
        <v>1091546.28</v>
      </c>
      <c r="AE288" s="7">
        <v>162500</v>
      </c>
      <c r="AF288" s="7">
        <v>10813.741233329773</v>
      </c>
      <c r="AG288" s="7">
        <f t="shared" si="51"/>
        <v>195405.22874545454</v>
      </c>
      <c r="AH288" s="1">
        <f t="shared" si="48"/>
        <v>18.07008550779657</v>
      </c>
    </row>
    <row r="289" spans="1:34" x14ac:dyDescent="0.25">
      <c r="A289" s="13" t="s">
        <v>0</v>
      </c>
      <c r="B289" s="19">
        <v>45945</v>
      </c>
      <c r="C289" s="8">
        <v>12013</v>
      </c>
      <c r="D289" s="8">
        <v>25500</v>
      </c>
      <c r="E289" s="8">
        <v>5250</v>
      </c>
      <c r="F289" s="7">
        <v>0</v>
      </c>
      <c r="G289" s="8">
        <v>10046</v>
      </c>
      <c r="H289" s="8">
        <v>7082</v>
      </c>
      <c r="I289" s="8">
        <v>21875</v>
      </c>
      <c r="J289" s="2">
        <v>28.89999961853027</v>
      </c>
      <c r="K289" s="23">
        <f t="shared" si="50"/>
        <v>146639.45199999999</v>
      </c>
      <c r="L289" s="23">
        <f t="shared" si="49"/>
        <v>14.596799920366314</v>
      </c>
      <c r="M289" s="13" t="s">
        <v>9</v>
      </c>
      <c r="N289" s="7">
        <v>113660.22483254969</v>
      </c>
      <c r="O289" s="7">
        <v>48620.036057243851</v>
      </c>
      <c r="P289" s="7">
        <f t="shared" si="45"/>
        <v>55250.040974140742</v>
      </c>
      <c r="Q289" s="7">
        <v>0</v>
      </c>
      <c r="R289" s="7">
        <v>0</v>
      </c>
      <c r="S289" s="7">
        <f t="shared" si="46"/>
        <v>0</v>
      </c>
      <c r="T289" s="7">
        <v>6160.8054214281656</v>
      </c>
      <c r="U289" s="7">
        <f t="shared" si="52"/>
        <v>318810.11092022998</v>
      </c>
      <c r="V289" s="7">
        <f t="shared" si="47"/>
        <v>51.748122057444412</v>
      </c>
      <c r="W289" s="14" t="s">
        <v>10</v>
      </c>
      <c r="X289" s="8">
        <v>137520</v>
      </c>
      <c r="Y289" s="8">
        <v>948515.45454545459</v>
      </c>
      <c r="Z289" s="8">
        <v>1032818.1818181819</v>
      </c>
      <c r="AA289" s="8">
        <v>5130</v>
      </c>
      <c r="AB289" s="8">
        <v>3568</v>
      </c>
      <c r="AC289" s="8">
        <v>0</v>
      </c>
      <c r="AD289" s="8">
        <v>984305.52</v>
      </c>
      <c r="AE289" s="8">
        <v>100000</v>
      </c>
      <c r="AF289" s="8">
        <v>9817.3349999999991</v>
      </c>
      <c r="AG289" s="7">
        <f t="shared" si="51"/>
        <v>185463.05507272729</v>
      </c>
      <c r="AH289" s="1">
        <f t="shared" si="48"/>
        <v>18.891384991214757</v>
      </c>
    </row>
    <row r="290" spans="1:34" x14ac:dyDescent="0.25">
      <c r="A290" s="13" t="s">
        <v>0</v>
      </c>
      <c r="B290" s="19">
        <v>45946</v>
      </c>
      <c r="C290" s="7">
        <v>15288</v>
      </c>
      <c r="D290" s="7">
        <v>28372</v>
      </c>
      <c r="E290" s="7">
        <v>8400</v>
      </c>
      <c r="F290" s="7">
        <v>0</v>
      </c>
      <c r="G290" s="7">
        <v>10732</v>
      </c>
      <c r="H290" s="7">
        <v>6673</v>
      </c>
      <c r="I290" s="7">
        <v>33600</v>
      </c>
      <c r="J290" s="2">
        <v>28.64999961853027</v>
      </c>
      <c r="K290" s="23">
        <f t="shared" si="50"/>
        <v>197344.712</v>
      </c>
      <c r="L290" s="23">
        <f t="shared" si="49"/>
        <v>18.388437569884459</v>
      </c>
      <c r="M290" s="13" t="s">
        <v>9</v>
      </c>
      <c r="N290" s="7">
        <v>94744.672793984413</v>
      </c>
      <c r="O290" s="7">
        <v>42380.723776237122</v>
      </c>
      <c r="P290" s="7">
        <f t="shared" si="45"/>
        <v>48159.913382087638</v>
      </c>
      <c r="Q290" s="7">
        <v>0</v>
      </c>
      <c r="R290" s="7">
        <v>0</v>
      </c>
      <c r="S290" s="7">
        <f t="shared" si="46"/>
        <v>0</v>
      </c>
      <c r="T290" s="7">
        <v>3871.6631933190074</v>
      </c>
      <c r="U290" s="7">
        <f t="shared" si="52"/>
        <v>275603.07120898186</v>
      </c>
      <c r="V290" s="7">
        <f t="shared" si="47"/>
        <v>71.184671147161282</v>
      </c>
      <c r="W290" s="14" t="s">
        <v>10</v>
      </c>
      <c r="X290" s="7">
        <v>128900</v>
      </c>
      <c r="Y290" s="7">
        <v>792951.81818181823</v>
      </c>
      <c r="Z290" s="7">
        <v>864363.63636363624</v>
      </c>
      <c r="AA290" s="7">
        <v>5157</v>
      </c>
      <c r="AB290" s="7">
        <v>3690</v>
      </c>
      <c r="AC290" s="7">
        <v>0</v>
      </c>
      <c r="AD290" s="7">
        <v>831196.08000000007</v>
      </c>
      <c r="AE290" s="7">
        <v>75000</v>
      </c>
      <c r="AF290" s="7">
        <v>8299.5239144897459</v>
      </c>
      <c r="AG290" s="7">
        <f t="shared" si="51"/>
        <v>168339.70438181818</v>
      </c>
      <c r="AH290" s="1">
        <f t="shared" si="48"/>
        <v>20.283055524175534</v>
      </c>
    </row>
    <row r="291" spans="1:34" x14ac:dyDescent="0.25">
      <c r="A291" s="13" t="s">
        <v>0</v>
      </c>
      <c r="B291" s="19">
        <v>45947</v>
      </c>
      <c r="C291" s="7">
        <v>15113</v>
      </c>
      <c r="D291" s="7">
        <v>29798</v>
      </c>
      <c r="E291" s="7">
        <v>27900</v>
      </c>
      <c r="F291" s="7">
        <v>0</v>
      </c>
      <c r="G291" s="7">
        <v>11281</v>
      </c>
      <c r="H291" s="7">
        <v>8035</v>
      </c>
      <c r="I291" s="7">
        <v>111600</v>
      </c>
      <c r="J291" s="2">
        <v>30.85000038146973</v>
      </c>
      <c r="K291" s="23">
        <f t="shared" si="50"/>
        <v>342984.79200000002</v>
      </c>
      <c r="L291" s="23">
        <f t="shared" si="49"/>
        <v>30.403757822888043</v>
      </c>
      <c r="M291" s="13" t="s">
        <v>9</v>
      </c>
      <c r="N291" s="7">
        <v>116810.93983952701</v>
      </c>
      <c r="O291" s="7">
        <v>68113.171126288304</v>
      </c>
      <c r="P291" s="7">
        <f t="shared" si="45"/>
        <v>77401.330825327619</v>
      </c>
      <c r="Q291" s="7">
        <v>0</v>
      </c>
      <c r="R291" s="7">
        <v>0</v>
      </c>
      <c r="S291" s="7">
        <f t="shared" si="46"/>
        <v>0</v>
      </c>
      <c r="T291" s="7">
        <v>6521.3751506849148</v>
      </c>
      <c r="U291" s="7">
        <f t="shared" si="52"/>
        <v>424148.02637748257</v>
      </c>
      <c r="V291" s="7">
        <f t="shared" si="47"/>
        <v>65.039660589520906</v>
      </c>
      <c r="W291" s="14" t="s">
        <v>10</v>
      </c>
      <c r="X291" s="7">
        <v>150720</v>
      </c>
      <c r="Y291" s="7">
        <v>1041684.5454545455</v>
      </c>
      <c r="Z291" s="7">
        <v>1129818.1818181816</v>
      </c>
      <c r="AA291" s="7">
        <v>5161</v>
      </c>
      <c r="AB291" s="7">
        <v>3752</v>
      </c>
      <c r="AC291" s="7">
        <v>0</v>
      </c>
      <c r="AD291" s="7">
        <v>1088980.2</v>
      </c>
      <c r="AE291" s="7">
        <v>125000</v>
      </c>
      <c r="AF291" s="7">
        <v>10751.439910888672</v>
      </c>
      <c r="AG291" s="7">
        <f t="shared" si="51"/>
        <v>201926.49436363639</v>
      </c>
      <c r="AH291" s="1">
        <f t="shared" si="48"/>
        <v>18.781344269908676</v>
      </c>
    </row>
    <row r="292" spans="1:34" x14ac:dyDescent="0.25">
      <c r="A292" s="13" t="s">
        <v>0</v>
      </c>
      <c r="B292" s="19">
        <v>45948</v>
      </c>
      <c r="C292" s="7">
        <v>16145</v>
      </c>
      <c r="D292" s="7">
        <v>38154</v>
      </c>
      <c r="E292" s="7">
        <v>3000</v>
      </c>
      <c r="F292" s="7">
        <v>0</v>
      </c>
      <c r="G292" s="7">
        <v>11578</v>
      </c>
      <c r="H292" s="7">
        <v>7940</v>
      </c>
      <c r="I292" s="7">
        <v>12500</v>
      </c>
      <c r="J292" s="2">
        <v>32</v>
      </c>
      <c r="K292" s="23">
        <f t="shared" si="50"/>
        <v>168717.2</v>
      </c>
      <c r="L292" s="23">
        <f t="shared" si="49"/>
        <v>14.572223181896701</v>
      </c>
      <c r="M292" s="13" t="s">
        <v>9</v>
      </c>
      <c r="N292" s="7">
        <v>115371.46800404787</v>
      </c>
      <c r="O292" s="7">
        <v>68289.047525583097</v>
      </c>
      <c r="P292" s="7">
        <f t="shared" si="45"/>
        <v>77601.190369980788</v>
      </c>
      <c r="Q292" s="7">
        <v>0</v>
      </c>
      <c r="R292" s="7">
        <v>0</v>
      </c>
      <c r="S292" s="7">
        <f t="shared" si="46"/>
        <v>0</v>
      </c>
      <c r="T292" s="7">
        <v>6584.7220834144537</v>
      </c>
      <c r="U292" s="7">
        <f t="shared" si="52"/>
        <v>424320.44897365547</v>
      </c>
      <c r="V292" s="7">
        <f t="shared" si="47"/>
        <v>64.440145475908622</v>
      </c>
      <c r="W292" s="14" t="s">
        <v>10</v>
      </c>
      <c r="X292" s="7">
        <v>159270</v>
      </c>
      <c r="Y292" s="7">
        <v>1181015.4545454546</v>
      </c>
      <c r="Z292" s="7">
        <v>1275454.5454545454</v>
      </c>
      <c r="AA292" s="7">
        <v>5151</v>
      </c>
      <c r="AB292" s="7">
        <v>3905</v>
      </c>
      <c r="AC292" s="7">
        <v>0</v>
      </c>
      <c r="AD292" s="7">
        <v>1229045.3999999999</v>
      </c>
      <c r="AE292" s="7">
        <v>187500</v>
      </c>
      <c r="AF292" s="7">
        <v>12321.953961753845</v>
      </c>
      <c r="AG292" s="7">
        <f t="shared" si="51"/>
        <v>220737.76690909092</v>
      </c>
      <c r="AH292" s="1">
        <f t="shared" si="48"/>
        <v>17.914185330852529</v>
      </c>
    </row>
    <row r="293" spans="1:34" x14ac:dyDescent="0.25">
      <c r="A293" s="13" t="s">
        <v>0</v>
      </c>
      <c r="B293" s="19">
        <v>45949</v>
      </c>
      <c r="C293" s="7">
        <v>4434</v>
      </c>
      <c r="D293" s="7">
        <v>41540</v>
      </c>
      <c r="E293" s="7">
        <v>0</v>
      </c>
      <c r="F293" s="7">
        <v>0</v>
      </c>
      <c r="G293" s="7">
        <v>10894</v>
      </c>
      <c r="H293" s="7">
        <v>9168</v>
      </c>
      <c r="I293" s="7">
        <v>0</v>
      </c>
      <c r="J293" s="2">
        <v>28.54999923706055</v>
      </c>
      <c r="K293" s="23">
        <f t="shared" si="50"/>
        <v>56619.135999999999</v>
      </c>
      <c r="L293" s="23">
        <f t="shared" si="49"/>
        <v>5.1972770332293008</v>
      </c>
      <c r="M293" s="13" t="s">
        <v>9</v>
      </c>
      <c r="N293" s="7">
        <v>116572.96387007833</v>
      </c>
      <c r="O293" s="7">
        <v>65835.502052692391</v>
      </c>
      <c r="P293" s="7">
        <f t="shared" si="45"/>
        <v>74813.070514423176</v>
      </c>
      <c r="Q293" s="7">
        <v>0</v>
      </c>
      <c r="R293" s="7">
        <v>0</v>
      </c>
      <c r="S293" s="7">
        <f t="shared" si="46"/>
        <v>0</v>
      </c>
      <c r="T293" s="7">
        <v>6281.9406333108636</v>
      </c>
      <c r="U293" s="7">
        <f t="shared" si="52"/>
        <v>411908.84085864195</v>
      </c>
      <c r="V293" s="7">
        <f t="shared" si="47"/>
        <v>65.570317343407879</v>
      </c>
      <c r="W293" s="14" t="s">
        <v>10</v>
      </c>
      <c r="X293" s="7">
        <v>146280</v>
      </c>
      <c r="Y293" s="7">
        <v>994170</v>
      </c>
      <c r="Z293" s="7">
        <v>1078363.6363636362</v>
      </c>
      <c r="AA293" s="7">
        <v>5177</v>
      </c>
      <c r="AB293" s="7">
        <v>4298</v>
      </c>
      <c r="AC293" s="7">
        <v>0</v>
      </c>
      <c r="AD293" s="7">
        <v>1032740.28</v>
      </c>
      <c r="AE293" s="7">
        <v>187500</v>
      </c>
      <c r="AF293" s="7">
        <v>10224.161126022338</v>
      </c>
      <c r="AG293" s="7">
        <f t="shared" si="51"/>
        <v>201319.48556363638</v>
      </c>
      <c r="AH293" s="1">
        <f t="shared" si="48"/>
        <v>19.690562685993076</v>
      </c>
    </row>
    <row r="294" spans="1:34" x14ac:dyDescent="0.25">
      <c r="A294" s="13" t="s">
        <v>0</v>
      </c>
      <c r="B294" s="19">
        <v>45950</v>
      </c>
      <c r="C294" s="8">
        <v>21347</v>
      </c>
      <c r="D294" s="8">
        <v>35599</v>
      </c>
      <c r="E294" s="8">
        <v>27900</v>
      </c>
      <c r="F294" s="7">
        <v>0</v>
      </c>
      <c r="G294" s="8">
        <v>10960</v>
      </c>
      <c r="H294" s="8">
        <v>6496</v>
      </c>
      <c r="I294" s="8">
        <v>111600</v>
      </c>
      <c r="J294" s="2">
        <v>28.04999923706055</v>
      </c>
      <c r="K294" s="23">
        <f t="shared" si="50"/>
        <v>394709.45799999998</v>
      </c>
      <c r="L294" s="23">
        <f t="shared" si="49"/>
        <v>36.013636678832114</v>
      </c>
      <c r="M294" s="13" t="s">
        <v>9</v>
      </c>
      <c r="N294" s="7">
        <v>113586.29574280977</v>
      </c>
      <c r="O294" s="7">
        <v>60823.968564896859</v>
      </c>
      <c r="P294" s="7">
        <f t="shared" si="45"/>
        <v>69118.146096473705</v>
      </c>
      <c r="Q294" s="7">
        <v>0</v>
      </c>
      <c r="R294" s="7">
        <v>0</v>
      </c>
      <c r="S294" s="7">
        <f t="shared" si="46"/>
        <v>0</v>
      </c>
      <c r="T294" s="7">
        <v>5598.0804838279291</v>
      </c>
      <c r="U294" s="7">
        <f t="shared" si="52"/>
        <v>383673.66047518607</v>
      </c>
      <c r="V294" s="7">
        <f t="shared" si="47"/>
        <v>68.536646013497943</v>
      </c>
      <c r="W294" s="14" t="s">
        <v>10</v>
      </c>
      <c r="X294" s="8">
        <v>151800</v>
      </c>
      <c r="Y294" s="8">
        <v>1053520.9090909092</v>
      </c>
      <c r="Z294" s="8">
        <v>1150363.6363636362</v>
      </c>
      <c r="AA294" s="8">
        <v>5163</v>
      </c>
      <c r="AB294" s="8">
        <v>3730</v>
      </c>
      <c r="AC294" s="8">
        <v>0</v>
      </c>
      <c r="AD294" s="8">
        <v>1100206.8</v>
      </c>
      <c r="AE294" s="8">
        <v>162500</v>
      </c>
      <c r="AF294" s="8">
        <v>11119.856115112305</v>
      </c>
      <c r="AG294" s="7">
        <f t="shared" si="51"/>
        <v>205245.58427272725</v>
      </c>
      <c r="AH294" s="1">
        <f t="shared" si="48"/>
        <v>18.45757554306757</v>
      </c>
    </row>
    <row r="295" spans="1:34" x14ac:dyDescent="0.25">
      <c r="A295" s="13" t="s">
        <v>0</v>
      </c>
      <c r="B295" s="19">
        <v>45951</v>
      </c>
      <c r="C295" s="7">
        <v>14379</v>
      </c>
      <c r="D295" s="7">
        <v>37477</v>
      </c>
      <c r="E295" s="7">
        <v>0</v>
      </c>
      <c r="F295" s="7">
        <v>0</v>
      </c>
      <c r="G295" s="7">
        <v>11286</v>
      </c>
      <c r="H295" s="7">
        <v>7766</v>
      </c>
      <c r="I295" s="7">
        <v>0</v>
      </c>
      <c r="J295" s="2">
        <v>30.79999923706055</v>
      </c>
      <c r="K295" s="23">
        <f t="shared" si="50"/>
        <v>132076.52600000001</v>
      </c>
      <c r="L295" s="23">
        <f t="shared" si="49"/>
        <v>11.702687045897573</v>
      </c>
      <c r="M295" s="13" t="s">
        <v>9</v>
      </c>
      <c r="N295" s="7">
        <v>116606.05798409879</v>
      </c>
      <c r="O295" s="7">
        <v>62788.714455332869</v>
      </c>
      <c r="P295" s="7">
        <f t="shared" si="45"/>
        <v>71350.811881060072</v>
      </c>
      <c r="Q295" s="7">
        <v>10</v>
      </c>
      <c r="R295" s="7">
        <v>0</v>
      </c>
      <c r="S295" s="7">
        <f t="shared" si="46"/>
        <v>0</v>
      </c>
      <c r="T295" s="7">
        <v>5924.7587363698258</v>
      </c>
      <c r="U295" s="7">
        <f t="shared" si="52"/>
        <v>395765.81033493346</v>
      </c>
      <c r="V295" s="7">
        <f t="shared" si="47"/>
        <v>66.798637369903119</v>
      </c>
      <c r="W295" s="14" t="s">
        <v>10</v>
      </c>
      <c r="X295" s="7">
        <v>133520</v>
      </c>
      <c r="Y295" s="7">
        <v>1481659.0909090908</v>
      </c>
      <c r="Z295" s="7">
        <v>1511272.7272727271</v>
      </c>
      <c r="AA295" s="7">
        <v>5606</v>
      </c>
      <c r="AB295" s="7">
        <v>3447</v>
      </c>
      <c r="AC295" s="7">
        <v>0</v>
      </c>
      <c r="AD295" s="7">
        <v>1321851.96</v>
      </c>
      <c r="AE295" s="7">
        <v>100000</v>
      </c>
      <c r="AF295" s="7">
        <v>13222.578292236329</v>
      </c>
      <c r="AG295" s="7">
        <f t="shared" si="51"/>
        <v>219734.39076363636</v>
      </c>
      <c r="AH295" s="1">
        <f t="shared" si="48"/>
        <v>16.618119848279058</v>
      </c>
    </row>
    <row r="296" spans="1:34" x14ac:dyDescent="0.25">
      <c r="A296" s="13" t="s">
        <v>0</v>
      </c>
      <c r="B296" s="19">
        <v>45952</v>
      </c>
      <c r="C296" s="7">
        <v>9490</v>
      </c>
      <c r="D296" s="7">
        <v>34352</v>
      </c>
      <c r="E296" s="7">
        <v>13375</v>
      </c>
      <c r="F296" s="7">
        <v>0</v>
      </c>
      <c r="G296" s="7">
        <v>13218</v>
      </c>
      <c r="H296" s="7">
        <v>8781</v>
      </c>
      <c r="I296" s="7">
        <v>54592</v>
      </c>
      <c r="J296" s="2">
        <v>32.849998474121087</v>
      </c>
      <c r="K296" s="23">
        <f t="shared" si="50"/>
        <v>192579.02000000002</v>
      </c>
      <c r="L296" s="23">
        <f t="shared" si="49"/>
        <v>14.56945226206688</v>
      </c>
      <c r="M296" s="13" t="s">
        <v>9</v>
      </c>
      <c r="N296" s="7">
        <v>114920.2595680207</v>
      </c>
      <c r="O296" s="7">
        <v>64685.414687722645</v>
      </c>
      <c r="P296" s="7">
        <f t="shared" si="45"/>
        <v>73506.153054230279</v>
      </c>
      <c r="Q296" s="7">
        <v>20</v>
      </c>
      <c r="R296" s="7">
        <v>0</v>
      </c>
      <c r="S296" s="7">
        <f t="shared" si="46"/>
        <v>0</v>
      </c>
      <c r="T296" s="7">
        <v>6581.8896504060831</v>
      </c>
      <c r="U296" s="7">
        <f t="shared" si="52"/>
        <v>405002.13386484864</v>
      </c>
      <c r="V296" s="7">
        <f t="shared" si="47"/>
        <v>61.532805224083511</v>
      </c>
      <c r="W296" s="14" t="s">
        <v>10</v>
      </c>
      <c r="X296" s="7">
        <v>136330</v>
      </c>
      <c r="Y296" s="7">
        <v>1075587.2727272727</v>
      </c>
      <c r="Z296" s="7">
        <v>1114818.1818181816</v>
      </c>
      <c r="AA296" s="7">
        <v>6148</v>
      </c>
      <c r="AB296" s="7">
        <v>3264</v>
      </c>
      <c r="AC296" s="7">
        <v>0</v>
      </c>
      <c r="AD296" s="7">
        <v>989865.3600000001</v>
      </c>
      <c r="AE296" s="7">
        <v>112500</v>
      </c>
      <c r="AF296" s="7">
        <v>9839.7320602416985</v>
      </c>
      <c r="AG296" s="7">
        <f t="shared" si="51"/>
        <v>193257.79949090909</v>
      </c>
      <c r="AH296" s="1">
        <f t="shared" si="48"/>
        <v>19.640555078911568</v>
      </c>
    </row>
    <row r="297" spans="1:34" x14ac:dyDescent="0.25">
      <c r="A297" s="13" t="s">
        <v>0</v>
      </c>
      <c r="B297" s="19">
        <v>45953</v>
      </c>
      <c r="C297" s="7">
        <v>11020</v>
      </c>
      <c r="D297" s="7">
        <v>35257</v>
      </c>
      <c r="E297" s="7">
        <v>41200</v>
      </c>
      <c r="F297" s="7">
        <v>0</v>
      </c>
      <c r="G297" s="7">
        <v>14069</v>
      </c>
      <c r="H297" s="7">
        <v>9012</v>
      </c>
      <c r="I297" s="7">
        <v>164800</v>
      </c>
      <c r="J297" s="2">
        <v>33.400001525878913</v>
      </c>
      <c r="K297" s="23">
        <f t="shared" si="50"/>
        <v>413686.29000000004</v>
      </c>
      <c r="L297" s="23">
        <f t="shared" si="49"/>
        <v>29.404100504655627</v>
      </c>
      <c r="M297" s="13" t="s">
        <v>9</v>
      </c>
      <c r="N297" s="7">
        <v>97309.625838026404</v>
      </c>
      <c r="O297" s="7">
        <v>65508.271941645035</v>
      </c>
      <c r="P297" s="7">
        <f t="shared" si="45"/>
        <v>74441.218115505719</v>
      </c>
      <c r="Q297" s="7">
        <v>0</v>
      </c>
      <c r="R297" s="7">
        <v>0</v>
      </c>
      <c r="S297" s="7">
        <f t="shared" si="46"/>
        <v>0</v>
      </c>
      <c r="T297" s="7">
        <v>6676.7888992531953</v>
      </c>
      <c r="U297" s="7">
        <f t="shared" si="52"/>
        <v>399959.00247472071</v>
      </c>
      <c r="V297" s="7">
        <f t="shared" si="47"/>
        <v>59.902897711721344</v>
      </c>
      <c r="W297" s="14" t="s">
        <v>10</v>
      </c>
      <c r="X297" s="7">
        <v>145660</v>
      </c>
      <c r="Y297" s="7">
        <v>936171.81818181812</v>
      </c>
      <c r="Z297" s="7">
        <v>1007909.0909090908</v>
      </c>
      <c r="AA297" s="7">
        <v>8362</v>
      </c>
      <c r="AB297" s="7">
        <v>3383</v>
      </c>
      <c r="AC297" s="7">
        <v>0</v>
      </c>
      <c r="AD297" s="7">
        <v>973720.44</v>
      </c>
      <c r="AE297" s="7">
        <v>100000</v>
      </c>
      <c r="AF297" s="7">
        <v>9716.5518302536002</v>
      </c>
      <c r="AG297" s="7">
        <f t="shared" si="51"/>
        <v>197240.59432727273</v>
      </c>
      <c r="AH297" s="1">
        <f t="shared" si="48"/>
        <v>20.299443441771338</v>
      </c>
    </row>
    <row r="298" spans="1:34" x14ac:dyDescent="0.25">
      <c r="A298" s="13" t="s">
        <v>0</v>
      </c>
      <c r="B298" s="19">
        <v>45954</v>
      </c>
      <c r="C298" s="7">
        <v>11075</v>
      </c>
      <c r="D298" s="7">
        <v>34544</v>
      </c>
      <c r="E298" s="7">
        <v>36000</v>
      </c>
      <c r="F298" s="7">
        <v>0</v>
      </c>
      <c r="G298" s="7">
        <v>11812</v>
      </c>
      <c r="H298" s="7">
        <v>9807</v>
      </c>
      <c r="I298" s="7">
        <v>144000</v>
      </c>
      <c r="J298" s="2">
        <v>25.5</v>
      </c>
      <c r="K298" s="23">
        <f t="shared" si="50"/>
        <v>374737.62</v>
      </c>
      <c r="L298" s="23">
        <f t="shared" si="49"/>
        <v>31.725162546562817</v>
      </c>
      <c r="M298" s="13" t="s">
        <v>9</v>
      </c>
      <c r="N298" s="7">
        <v>114670.12946027517</v>
      </c>
      <c r="O298" s="7">
        <v>57815.729368294342</v>
      </c>
      <c r="P298" s="7">
        <f t="shared" si="45"/>
        <v>65699.692463970845</v>
      </c>
      <c r="Q298" s="7">
        <v>0</v>
      </c>
      <c r="R298" s="7">
        <v>0</v>
      </c>
      <c r="S298" s="7">
        <f t="shared" si="46"/>
        <v>0</v>
      </c>
      <c r="T298" s="7">
        <v>5523.9307726962725</v>
      </c>
      <c r="U298" s="7">
        <f t="shared" si="52"/>
        <v>368249.7293453294</v>
      </c>
      <c r="V298" s="7">
        <f t="shared" si="47"/>
        <v>66.664435978364722</v>
      </c>
      <c r="W298" s="14" t="s">
        <v>10</v>
      </c>
      <c r="X298" s="7">
        <v>164890</v>
      </c>
      <c r="Y298" s="7">
        <v>1250765.4545454546</v>
      </c>
      <c r="Z298" s="7">
        <v>1328181.8181818181</v>
      </c>
      <c r="AA298" s="7">
        <v>9931</v>
      </c>
      <c r="AB298" s="7">
        <v>2782</v>
      </c>
      <c r="AC298" s="7">
        <v>0</v>
      </c>
      <c r="AD298" s="7">
        <v>1284964.56</v>
      </c>
      <c r="AE298" s="7">
        <v>137500</v>
      </c>
      <c r="AF298" s="7">
        <v>12824.33430633545</v>
      </c>
      <c r="AG298" s="7">
        <f t="shared" si="51"/>
        <v>234705.30203636366</v>
      </c>
      <c r="AH298" s="1">
        <f t="shared" si="48"/>
        <v>18.301558305479844</v>
      </c>
    </row>
    <row r="299" spans="1:34" x14ac:dyDescent="0.25">
      <c r="A299" s="13" t="s">
        <v>0</v>
      </c>
      <c r="B299" s="19">
        <v>45955</v>
      </c>
      <c r="C299" s="8">
        <v>15012</v>
      </c>
      <c r="D299" s="8">
        <v>33665</v>
      </c>
      <c r="E299" s="8">
        <v>4200</v>
      </c>
      <c r="F299" s="7">
        <v>0</v>
      </c>
      <c r="G299" s="8">
        <v>12064</v>
      </c>
      <c r="H299" s="8">
        <v>8891</v>
      </c>
      <c r="I299" s="8">
        <v>17500</v>
      </c>
      <c r="J299" s="2">
        <v>24.70000076293945</v>
      </c>
      <c r="K299" s="23">
        <f t="shared" si="50"/>
        <v>166496.098</v>
      </c>
      <c r="L299" s="23">
        <f t="shared" si="49"/>
        <v>13.801069131299734</v>
      </c>
      <c r="M299" s="13" t="s">
        <v>9</v>
      </c>
      <c r="N299" s="7">
        <v>118064</v>
      </c>
      <c r="O299" s="7">
        <v>65081</v>
      </c>
      <c r="P299" s="7">
        <f t="shared" si="45"/>
        <v>73955.681818181823</v>
      </c>
      <c r="Q299" s="7">
        <v>0</v>
      </c>
      <c r="R299" s="7">
        <v>0</v>
      </c>
      <c r="S299" s="7">
        <f t="shared" si="46"/>
        <v>0</v>
      </c>
      <c r="T299" s="7">
        <v>5781.5515511695412</v>
      </c>
      <c r="U299" s="7">
        <f t="shared" si="52"/>
        <v>408686.51090909092</v>
      </c>
      <c r="V299" s="7">
        <f t="shared" si="47"/>
        <v>70.688033703758705</v>
      </c>
      <c r="W299" s="14" t="s">
        <v>10</v>
      </c>
      <c r="X299" s="8">
        <v>161030</v>
      </c>
      <c r="Y299" s="8">
        <v>1231404.5454545454</v>
      </c>
      <c r="Z299" s="8">
        <v>1326363.6363636362</v>
      </c>
      <c r="AA299" s="8">
        <v>7556</v>
      </c>
      <c r="AB299" s="8">
        <v>3256</v>
      </c>
      <c r="AC299" s="8">
        <v>0</v>
      </c>
      <c r="AD299" s="8">
        <v>1277587.08</v>
      </c>
      <c r="AE299" s="8">
        <v>150000</v>
      </c>
      <c r="AF299" s="8">
        <v>12636.43505645752</v>
      </c>
      <c r="AG299" s="7">
        <f t="shared" si="51"/>
        <v>227746.37210909091</v>
      </c>
      <c r="AH299" s="1">
        <f t="shared" si="48"/>
        <v>18.022992330634192</v>
      </c>
    </row>
    <row r="300" spans="1:34" x14ac:dyDescent="0.25">
      <c r="A300" s="13" t="s">
        <v>0</v>
      </c>
      <c r="B300" s="19">
        <v>45956</v>
      </c>
      <c r="C300" s="9">
        <v>9500</v>
      </c>
      <c r="D300" s="9">
        <v>37218</v>
      </c>
      <c r="E300" s="9">
        <v>0</v>
      </c>
      <c r="F300" s="7">
        <v>0</v>
      </c>
      <c r="G300" s="9">
        <v>11951</v>
      </c>
      <c r="H300" s="9">
        <v>11061</v>
      </c>
      <c r="I300" s="9">
        <v>0</v>
      </c>
      <c r="J300" s="2">
        <v>28.89999961853027</v>
      </c>
      <c r="K300" s="23">
        <f t="shared" si="50"/>
        <v>93863.540000000008</v>
      </c>
      <c r="L300" s="23">
        <f t="shared" si="49"/>
        <v>7.8540322985524229</v>
      </c>
      <c r="M300" s="13" t="s">
        <v>9</v>
      </c>
      <c r="N300" s="9">
        <v>119212.62735626101</v>
      </c>
      <c r="O300" s="9">
        <v>72443.18862461386</v>
      </c>
      <c r="P300" s="7">
        <f t="shared" si="45"/>
        <v>82321.805255243016</v>
      </c>
      <c r="Q300" s="9">
        <v>0</v>
      </c>
      <c r="R300" s="9">
        <v>0</v>
      </c>
      <c r="S300" s="7">
        <f t="shared" si="46"/>
        <v>0</v>
      </c>
      <c r="T300" s="9">
        <v>6769.0915062155109</v>
      </c>
      <c r="U300" s="7">
        <f t="shared" si="52"/>
        <v>448448.74109335564</v>
      </c>
      <c r="V300" s="7">
        <f t="shared" si="47"/>
        <v>66.249472426481645</v>
      </c>
      <c r="W300" s="14" t="s">
        <v>10</v>
      </c>
      <c r="X300" s="9">
        <v>162920</v>
      </c>
      <c r="Y300" s="9">
        <v>1240704.5454545454</v>
      </c>
      <c r="Z300" s="9">
        <v>1341636.3636363635</v>
      </c>
      <c r="AA300" s="9">
        <v>5102</v>
      </c>
      <c r="AB300" s="9">
        <v>4064</v>
      </c>
      <c r="AC300" s="9">
        <v>0</v>
      </c>
      <c r="AD300" s="9">
        <v>1285392.24</v>
      </c>
      <c r="AE300" s="9">
        <v>137500</v>
      </c>
      <c r="AF300" s="9">
        <v>12964.683119506835</v>
      </c>
      <c r="AG300" s="7">
        <f t="shared" si="51"/>
        <v>225734.42678181818</v>
      </c>
      <c r="AH300" s="1">
        <f t="shared" si="48"/>
        <v>17.411488171444404</v>
      </c>
    </row>
    <row r="301" spans="1:34" x14ac:dyDescent="0.25">
      <c r="A301" s="13" t="s">
        <v>0</v>
      </c>
      <c r="B301" s="19">
        <v>45957</v>
      </c>
      <c r="C301" s="10">
        <v>13146</v>
      </c>
      <c r="D301" s="10">
        <v>30757</v>
      </c>
      <c r="E301" s="10">
        <v>30000</v>
      </c>
      <c r="F301" s="7">
        <v>0</v>
      </c>
      <c r="G301" s="10">
        <v>10013</v>
      </c>
      <c r="H301" s="10">
        <v>6817</v>
      </c>
      <c r="I301" s="10">
        <v>120000</v>
      </c>
      <c r="J301" s="2">
        <v>29.5</v>
      </c>
      <c r="K301" s="23">
        <f t="shared" si="50"/>
        <v>343892.59400000004</v>
      </c>
      <c r="L301" s="23">
        <f t="shared" si="49"/>
        <v>34.344611405173282</v>
      </c>
      <c r="M301" s="13" t="s">
        <v>9</v>
      </c>
      <c r="N301" s="10">
        <v>116919.28441874683</v>
      </c>
      <c r="O301" s="10">
        <v>67016.401982509706</v>
      </c>
      <c r="P301" s="7">
        <f t="shared" si="45"/>
        <v>76155.002252851933</v>
      </c>
      <c r="Q301" s="10">
        <v>0</v>
      </c>
      <c r="R301" s="10">
        <v>0</v>
      </c>
      <c r="S301" s="7">
        <f t="shared" si="46"/>
        <v>0</v>
      </c>
      <c r="T301" s="10">
        <v>6447.4142253718601</v>
      </c>
      <c r="U301" s="7">
        <f t="shared" si="52"/>
        <v>418372.63128528284</v>
      </c>
      <c r="V301" s="7">
        <f t="shared" si="47"/>
        <v>64.889987933286989</v>
      </c>
      <c r="W301" s="14" t="s">
        <v>10</v>
      </c>
      <c r="X301" s="10">
        <v>157990</v>
      </c>
      <c r="Y301" s="10">
        <v>1112449.0909090908</v>
      </c>
      <c r="Z301" s="10">
        <v>1208909.0909090908</v>
      </c>
      <c r="AA301" s="10">
        <v>5161</v>
      </c>
      <c r="AB301" s="10">
        <v>3951</v>
      </c>
      <c r="AC301" s="10">
        <v>0</v>
      </c>
      <c r="AD301" s="10">
        <v>1141157.1600000001</v>
      </c>
      <c r="AE301" s="10">
        <v>137500</v>
      </c>
      <c r="AF301" s="10">
        <v>11496.482482757569</v>
      </c>
      <c r="AG301" s="7">
        <f t="shared" si="51"/>
        <v>212667.4474</v>
      </c>
      <c r="AH301" s="1">
        <f t="shared" si="48"/>
        <v>18.49847966271064</v>
      </c>
    </row>
    <row r="302" spans="1:34" x14ac:dyDescent="0.25">
      <c r="A302" s="13" t="s">
        <v>0</v>
      </c>
      <c r="B302" s="19">
        <v>45958</v>
      </c>
      <c r="C302" s="7">
        <v>4207</v>
      </c>
      <c r="D302" s="7">
        <v>22250</v>
      </c>
      <c r="E302" s="7">
        <v>3300</v>
      </c>
      <c r="F302" s="7">
        <v>0</v>
      </c>
      <c r="G302" s="7">
        <v>9542</v>
      </c>
      <c r="H302" s="7">
        <v>8932</v>
      </c>
      <c r="I302" s="7">
        <v>13750</v>
      </c>
      <c r="J302" s="2">
        <v>25.25</v>
      </c>
      <c r="K302" s="23">
        <f t="shared" si="50"/>
        <v>69373.928</v>
      </c>
      <c r="L302" s="23">
        <f t="shared" si="49"/>
        <v>7.2703760217983655</v>
      </c>
      <c r="M302" s="13" t="s">
        <v>9</v>
      </c>
      <c r="N302" s="7">
        <v>118570.13592885435</v>
      </c>
      <c r="O302" s="7">
        <v>69408.374067456869</v>
      </c>
      <c r="P302" s="7">
        <f t="shared" si="45"/>
        <v>78873.152349382799</v>
      </c>
      <c r="Q302" s="7">
        <v>0</v>
      </c>
      <c r="R302" s="7">
        <v>0</v>
      </c>
      <c r="S302" s="7">
        <f t="shared" si="46"/>
        <v>0</v>
      </c>
      <c r="T302" s="7">
        <v>6282.4259503269859</v>
      </c>
      <c r="U302" s="7">
        <f t="shared" si="52"/>
        <v>431968.52503740427</v>
      </c>
      <c r="V302" s="7">
        <f t="shared" si="47"/>
        <v>68.758235823682298</v>
      </c>
      <c r="W302" s="14" t="s">
        <v>10</v>
      </c>
      <c r="X302" s="7">
        <v>157410</v>
      </c>
      <c r="Y302" s="7">
        <v>1204941.8181818181</v>
      </c>
      <c r="Z302" s="7">
        <v>1300000</v>
      </c>
      <c r="AA302" s="7">
        <v>5174</v>
      </c>
      <c r="AB302" s="7">
        <v>3623</v>
      </c>
      <c r="AC302" s="7">
        <v>0</v>
      </c>
      <c r="AD302" s="7">
        <v>1245938.76</v>
      </c>
      <c r="AE302" s="7">
        <v>112500</v>
      </c>
      <c r="AF302" s="7">
        <v>12507.668542099</v>
      </c>
      <c r="AG302" s="7">
        <f t="shared" si="51"/>
        <v>216756.72321818181</v>
      </c>
      <c r="AH302" s="1">
        <f t="shared" si="48"/>
        <v>17.32990624820366</v>
      </c>
    </row>
    <row r="303" spans="1:34" x14ac:dyDescent="0.25">
      <c r="A303" s="13" t="s">
        <v>0</v>
      </c>
      <c r="B303" s="19">
        <v>45959</v>
      </c>
      <c r="C303" s="7">
        <v>7505</v>
      </c>
      <c r="D303" s="7">
        <v>28551</v>
      </c>
      <c r="E303" s="7">
        <v>11000</v>
      </c>
      <c r="F303" s="7">
        <v>0</v>
      </c>
      <c r="G303" s="7">
        <v>10727</v>
      </c>
      <c r="H303" s="7">
        <v>8040</v>
      </c>
      <c r="I303" s="7">
        <v>44898</v>
      </c>
      <c r="J303" s="2">
        <v>25.14999961853027</v>
      </c>
      <c r="K303" s="23">
        <f t="shared" si="50"/>
        <v>156201.04999999999</v>
      </c>
      <c r="L303" s="23">
        <f t="shared" si="49"/>
        <v>14.561485037755196</v>
      </c>
      <c r="M303" s="13" t="s">
        <v>9</v>
      </c>
      <c r="N303" s="7">
        <v>118869.45439915359</v>
      </c>
      <c r="O303" s="7">
        <v>66228.021475611968</v>
      </c>
      <c r="P303" s="7">
        <f t="shared" si="45"/>
        <v>75259.11531319542</v>
      </c>
      <c r="Q303" s="7">
        <v>0</v>
      </c>
      <c r="R303" s="7">
        <v>0</v>
      </c>
      <c r="S303" s="7">
        <f t="shared" si="46"/>
        <v>0</v>
      </c>
      <c r="T303" s="7">
        <v>6472.8755436804786</v>
      </c>
      <c r="U303" s="7">
        <f t="shared" si="52"/>
        <v>415213.47049730591</v>
      </c>
      <c r="V303" s="7">
        <f t="shared" si="47"/>
        <v>64.146679122029809</v>
      </c>
      <c r="W303" s="14" t="s">
        <v>10</v>
      </c>
      <c r="X303" s="7">
        <v>157950</v>
      </c>
      <c r="Y303" s="7">
        <v>1229206.3636363638</v>
      </c>
      <c r="Z303" s="7">
        <v>1333818.1818181819</v>
      </c>
      <c r="AA303" s="7">
        <v>5511</v>
      </c>
      <c r="AB303" s="7">
        <v>3647</v>
      </c>
      <c r="AC303" s="7">
        <v>0</v>
      </c>
      <c r="AD303" s="7">
        <v>1260266.04</v>
      </c>
      <c r="AE303" s="7">
        <v>125000</v>
      </c>
      <c r="AF303" s="7">
        <v>12642.041908836365</v>
      </c>
      <c r="AG303" s="7">
        <f t="shared" si="51"/>
        <v>220725.05378181819</v>
      </c>
      <c r="AH303" s="1">
        <f t="shared" si="48"/>
        <v>17.459604656708088</v>
      </c>
    </row>
    <row r="304" spans="1:34" x14ac:dyDescent="0.25">
      <c r="A304" s="13" t="s">
        <v>0</v>
      </c>
      <c r="B304" s="19">
        <v>45960</v>
      </c>
      <c r="C304" s="7">
        <v>6332</v>
      </c>
      <c r="D304" s="7">
        <v>29345</v>
      </c>
      <c r="E304" s="7">
        <v>6300</v>
      </c>
      <c r="F304" s="7">
        <v>0</v>
      </c>
      <c r="G304" s="7">
        <v>11389</v>
      </c>
      <c r="H304" s="7">
        <v>6899</v>
      </c>
      <c r="I304" s="7">
        <v>25714</v>
      </c>
      <c r="J304" s="2">
        <v>26.35000038146973</v>
      </c>
      <c r="K304" s="23">
        <f t="shared" si="50"/>
        <v>112217.77799999999</v>
      </c>
      <c r="L304" s="23">
        <f t="shared" si="49"/>
        <v>9.8531721836860129</v>
      </c>
      <c r="M304" s="13" t="s">
        <v>9</v>
      </c>
      <c r="N304" s="7">
        <v>119360.03031095862</v>
      </c>
      <c r="O304" s="7">
        <v>66422.011915892654</v>
      </c>
      <c r="P304" s="7">
        <f t="shared" si="45"/>
        <v>75479.558995332554</v>
      </c>
      <c r="Q304" s="7">
        <v>0</v>
      </c>
      <c r="R304" s="7">
        <v>0</v>
      </c>
      <c r="S304" s="7">
        <f t="shared" si="46"/>
        <v>0</v>
      </c>
      <c r="T304" s="7">
        <v>6143.6517209797021</v>
      </c>
      <c r="U304" s="7">
        <f t="shared" si="52"/>
        <v>416505.1521629644</v>
      </c>
      <c r="V304" s="7">
        <f t="shared" si="47"/>
        <v>67.794395105545803</v>
      </c>
      <c r="W304" s="14" t="s">
        <v>10</v>
      </c>
      <c r="X304" s="8">
        <v>135230</v>
      </c>
      <c r="Y304" s="8">
        <v>927886.36363636365</v>
      </c>
      <c r="Z304" s="8">
        <v>1008545.4545454545</v>
      </c>
      <c r="AA304" s="8">
        <v>4699</v>
      </c>
      <c r="AB304" s="8">
        <v>3821</v>
      </c>
      <c r="AC304" s="8">
        <v>0</v>
      </c>
      <c r="AD304" s="8">
        <v>944531.28</v>
      </c>
      <c r="AE304" s="8">
        <v>112500</v>
      </c>
      <c r="AF304" s="8">
        <v>9472.7966827392574</v>
      </c>
      <c r="AG304" s="7">
        <f t="shared" si="51"/>
        <v>182822.5851090909</v>
      </c>
      <c r="AH304" s="1">
        <f t="shared" si="48"/>
        <v>19.299747606978503</v>
      </c>
    </row>
    <row r="305" spans="1:34" x14ac:dyDescent="0.25">
      <c r="A305" s="13" t="s">
        <v>0</v>
      </c>
      <c r="B305" s="19">
        <v>45961</v>
      </c>
      <c r="C305" s="7">
        <v>15597</v>
      </c>
      <c r="D305" s="7">
        <v>35556</v>
      </c>
      <c r="E305" s="7">
        <v>0</v>
      </c>
      <c r="F305" s="7">
        <v>0</v>
      </c>
      <c r="G305" s="7">
        <v>11204</v>
      </c>
      <c r="H305" s="7">
        <v>7621</v>
      </c>
      <c r="I305" s="7">
        <v>0</v>
      </c>
      <c r="J305" s="2">
        <v>26.89999961853027</v>
      </c>
      <c r="K305" s="23">
        <f t="shared" si="50"/>
        <v>140563.66800000001</v>
      </c>
      <c r="L305" s="23">
        <f t="shared" si="49"/>
        <v>12.545846840414137</v>
      </c>
      <c r="M305" s="13" t="s">
        <v>9</v>
      </c>
      <c r="N305" s="7">
        <v>119856.67639915645</v>
      </c>
      <c r="O305" s="7">
        <v>70014.627192664193</v>
      </c>
      <c r="P305" s="7">
        <f t="shared" si="45"/>
        <v>79562.076355300218</v>
      </c>
      <c r="Q305" s="7">
        <v>0</v>
      </c>
      <c r="R305" s="7">
        <v>0</v>
      </c>
      <c r="S305" s="7">
        <f t="shared" si="46"/>
        <v>0</v>
      </c>
      <c r="T305" s="7">
        <v>5821.0250627652713</v>
      </c>
      <c r="U305" s="7">
        <f t="shared" si="52"/>
        <v>435874.55583435792</v>
      </c>
      <c r="V305" s="7">
        <f t="shared" si="47"/>
        <v>74.879347045328856</v>
      </c>
      <c r="W305" s="14" t="s">
        <v>10</v>
      </c>
      <c r="X305" s="7">
        <v>157990</v>
      </c>
      <c r="Y305" s="7">
        <v>1193274.5454545454</v>
      </c>
      <c r="Z305" s="7">
        <v>1287545.4545454546</v>
      </c>
      <c r="AA305" s="7">
        <v>5948</v>
      </c>
      <c r="AB305" s="7">
        <v>4290</v>
      </c>
      <c r="AC305" s="7">
        <v>0</v>
      </c>
      <c r="AD305" s="7">
        <v>1216535.76</v>
      </c>
      <c r="AE305" s="7">
        <v>112500</v>
      </c>
      <c r="AF305" s="7">
        <v>12269.963848114014</v>
      </c>
      <c r="AG305" s="7">
        <f t="shared" si="51"/>
        <v>221549.01549090908</v>
      </c>
      <c r="AH305" s="1">
        <f t="shared" si="48"/>
        <v>18.056207681896538</v>
      </c>
    </row>
    <row r="306" spans="1:34" x14ac:dyDescent="0.25">
      <c r="A306" s="13" t="s">
        <v>0</v>
      </c>
      <c r="B306" s="19">
        <v>45962</v>
      </c>
      <c r="C306" s="7">
        <v>16030</v>
      </c>
      <c r="D306" s="7">
        <v>27747</v>
      </c>
      <c r="E306" s="7">
        <v>32383</v>
      </c>
      <c r="F306" s="7">
        <v>5312</v>
      </c>
      <c r="G306" s="7">
        <v>13011</v>
      </c>
      <c r="H306" s="7">
        <v>3806</v>
      </c>
      <c r="I306" s="7">
        <v>132176</v>
      </c>
      <c r="J306" s="2">
        <v>25.64999961853027</v>
      </c>
      <c r="K306" s="23">
        <f>C306*7.756+D306*0.53+E306*7.2+F306*5</f>
        <v>398752.19</v>
      </c>
      <c r="L306" s="23">
        <f t="shared" si="49"/>
        <v>30.64731304280993</v>
      </c>
      <c r="M306" s="13" t="s">
        <v>9</v>
      </c>
      <c r="N306" s="7">
        <v>120334.31993620098</v>
      </c>
      <c r="O306" s="7">
        <v>71407.761429495615</v>
      </c>
      <c r="P306" s="7">
        <f t="shared" si="45"/>
        <v>81145.183442608657</v>
      </c>
      <c r="Q306" s="7">
        <v>0</v>
      </c>
      <c r="R306" s="7">
        <v>0</v>
      </c>
      <c r="S306" s="7">
        <f t="shared" si="46"/>
        <v>0</v>
      </c>
      <c r="T306" s="7">
        <v>6423.7195146432496</v>
      </c>
      <c r="U306" s="7">
        <f>N306*0.53+P306*4.616+Q306*3.73+S306*8.66</f>
        <v>438343.35633726802</v>
      </c>
      <c r="V306" s="7">
        <f t="shared" si="47"/>
        <v>68.238246601215749</v>
      </c>
      <c r="W306" s="14" t="s">
        <v>10</v>
      </c>
      <c r="X306" s="7">
        <v>162820</v>
      </c>
      <c r="Y306" s="7">
        <v>1247214.5454545454</v>
      </c>
      <c r="Z306" s="7">
        <v>1364090.9090909092</v>
      </c>
      <c r="AA306" s="7">
        <v>5826</v>
      </c>
      <c r="AB306" s="7">
        <v>4142</v>
      </c>
      <c r="AC306" s="7">
        <v>0</v>
      </c>
      <c r="AD306" s="7">
        <v>1298757.24</v>
      </c>
      <c r="AE306" s="7">
        <v>162500</v>
      </c>
      <c r="AF306" s="7">
        <v>12984.200213356018</v>
      </c>
      <c r="AG306" s="7">
        <f t="shared" si="51"/>
        <v>230472.98223636366</v>
      </c>
      <c r="AH306" s="1">
        <f t="shared" si="48"/>
        <v>17.750264047784075</v>
      </c>
    </row>
    <row r="307" spans="1:34" x14ac:dyDescent="0.25">
      <c r="A307" s="13" t="s">
        <v>0</v>
      </c>
      <c r="B307" s="19">
        <v>45963</v>
      </c>
      <c r="C307" s="7">
        <v>7486</v>
      </c>
      <c r="D307" s="7">
        <v>35294</v>
      </c>
      <c r="E307" s="7">
        <v>0</v>
      </c>
      <c r="F307" s="7">
        <v>2926</v>
      </c>
      <c r="G307" s="7">
        <v>5999</v>
      </c>
      <c r="H307" s="7">
        <v>7182</v>
      </c>
      <c r="I307" s="7">
        <v>0</v>
      </c>
      <c r="J307" s="2">
        <v>27</v>
      </c>
      <c r="K307" s="23">
        <f t="shared" ref="K307:K334" si="53">C307*7.756+D307*0.53+E307*7.2+F307*5</f>
        <v>91397.236000000004</v>
      </c>
      <c r="L307" s="23">
        <f t="shared" si="49"/>
        <v>15.235411901983664</v>
      </c>
      <c r="M307" s="13" t="s">
        <v>9</v>
      </c>
      <c r="N307" s="7">
        <v>119571.97968105972</v>
      </c>
      <c r="O307" s="7">
        <v>68686.667291895894</v>
      </c>
      <c r="P307" s="7">
        <f t="shared" si="45"/>
        <v>78053.031013518063</v>
      </c>
      <c r="Q307" s="7">
        <v>0</v>
      </c>
      <c r="R307" s="7">
        <v>0</v>
      </c>
      <c r="S307" s="7">
        <f t="shared" si="46"/>
        <v>0</v>
      </c>
      <c r="T307" s="7">
        <v>5870.9581721317227</v>
      </c>
      <c r="U307" s="7">
        <f t="shared" ref="U307:U335" si="54">N307*0.53+P307*4.616+Q307*3.73+S307*8.66</f>
        <v>423665.940389361</v>
      </c>
      <c r="V307" s="7">
        <f t="shared" si="47"/>
        <v>72.162997583668613</v>
      </c>
      <c r="W307" s="14" t="s">
        <v>10</v>
      </c>
      <c r="X307" s="7">
        <v>113890</v>
      </c>
      <c r="Y307" s="7">
        <v>699867.27272727271</v>
      </c>
      <c r="Z307" s="7">
        <v>761272.72727272729</v>
      </c>
      <c r="AA307" s="7">
        <v>7309</v>
      </c>
      <c r="AB307" s="7">
        <v>4160</v>
      </c>
      <c r="AC307" s="7">
        <v>0</v>
      </c>
      <c r="AD307" s="7">
        <v>723206.88000000012</v>
      </c>
      <c r="AE307" s="7">
        <v>87500</v>
      </c>
      <c r="AF307" s="7">
        <v>7288.4039622497558</v>
      </c>
      <c r="AG307" s="7">
        <f t="shared" si="51"/>
        <v>162181.24774545457</v>
      </c>
      <c r="AH307" s="1">
        <f t="shared" si="48"/>
        <v>22.251956475721073</v>
      </c>
    </row>
    <row r="308" spans="1:34" x14ac:dyDescent="0.25">
      <c r="A308" s="13" t="s">
        <v>0</v>
      </c>
      <c r="B308" s="19">
        <v>45964</v>
      </c>
      <c r="C308" s="7">
        <v>15421</v>
      </c>
      <c r="D308" s="7">
        <v>35281</v>
      </c>
      <c r="E308" s="7">
        <v>22500</v>
      </c>
      <c r="F308" s="7">
        <v>3312</v>
      </c>
      <c r="G308" s="7">
        <v>5118</v>
      </c>
      <c r="H308" s="7">
        <v>4554</v>
      </c>
      <c r="I308" s="7">
        <v>91836</v>
      </c>
      <c r="J308" s="2">
        <v>31.85000038146973</v>
      </c>
      <c r="K308" s="23">
        <f t="shared" si="53"/>
        <v>316864.20600000001</v>
      </c>
      <c r="L308" s="23">
        <f t="shared" si="49"/>
        <v>61.911724501758499</v>
      </c>
      <c r="M308" s="13" t="s">
        <v>9</v>
      </c>
      <c r="N308" s="7">
        <v>118372.46447837353</v>
      </c>
      <c r="O308" s="7">
        <v>69494.786597682833</v>
      </c>
      <c r="P308" s="7">
        <f t="shared" si="45"/>
        <v>78971.348406457764</v>
      </c>
      <c r="Q308" s="7">
        <v>0</v>
      </c>
      <c r="R308" s="7">
        <v>0</v>
      </c>
      <c r="S308" s="7">
        <f t="shared" si="46"/>
        <v>0</v>
      </c>
      <c r="T308" s="7">
        <v>5870.580225827769</v>
      </c>
      <c r="U308" s="7">
        <f t="shared" si="54"/>
        <v>427269.15041774698</v>
      </c>
      <c r="V308" s="7">
        <f t="shared" si="47"/>
        <v>72.781417505882189</v>
      </c>
      <c r="W308" s="14" t="s">
        <v>10</v>
      </c>
      <c r="X308" s="7">
        <v>158500</v>
      </c>
      <c r="Y308" s="7">
        <v>1230812.7272727273</v>
      </c>
      <c r="Z308" s="7">
        <v>1318363.6363636362</v>
      </c>
      <c r="AA308" s="7">
        <v>6474</v>
      </c>
      <c r="AB308" s="7">
        <v>4012</v>
      </c>
      <c r="AC308" s="7">
        <v>0</v>
      </c>
      <c r="AD308" s="7">
        <v>1265291.28</v>
      </c>
      <c r="AE308" s="7">
        <v>125000</v>
      </c>
      <c r="AF308" s="7">
        <v>12687.188826217651</v>
      </c>
      <c r="AG308" s="7">
        <f t="shared" si="51"/>
        <v>225357.16829090909</v>
      </c>
      <c r="AH308" s="1">
        <f t="shared" si="48"/>
        <v>17.762576988309345</v>
      </c>
    </row>
    <row r="309" spans="1:34" x14ac:dyDescent="0.25">
      <c r="A309" s="13" t="s">
        <v>0</v>
      </c>
      <c r="B309" s="19">
        <v>45965</v>
      </c>
      <c r="C309" s="7">
        <v>7428</v>
      </c>
      <c r="D309" s="7">
        <v>34475</v>
      </c>
      <c r="E309" s="7">
        <v>26300</v>
      </c>
      <c r="F309" s="7">
        <v>2445</v>
      </c>
      <c r="G309" s="7">
        <v>9677</v>
      </c>
      <c r="H309" s="7">
        <v>6450</v>
      </c>
      <c r="I309" s="7">
        <v>109580</v>
      </c>
      <c r="J309" s="2">
        <v>29.04999923706055</v>
      </c>
      <c r="K309" s="23">
        <f t="shared" si="53"/>
        <v>277468.31799999997</v>
      </c>
      <c r="L309" s="23">
        <f t="shared" si="49"/>
        <v>28.67296868864317</v>
      </c>
      <c r="M309" s="13" t="s">
        <v>9</v>
      </c>
      <c r="N309" s="7">
        <v>117795.41433027387</v>
      </c>
      <c r="O309" s="7">
        <v>68910.431824013358</v>
      </c>
      <c r="P309" s="7">
        <f t="shared" si="45"/>
        <v>78307.308890924265</v>
      </c>
      <c r="Q309" s="7">
        <v>0</v>
      </c>
      <c r="R309" s="7">
        <v>0</v>
      </c>
      <c r="S309" s="7">
        <f t="shared" si="46"/>
        <v>0</v>
      </c>
      <c r="T309" s="7">
        <v>6121.8797216236417</v>
      </c>
      <c r="U309" s="7">
        <f t="shared" si="54"/>
        <v>423898.10743555153</v>
      </c>
      <c r="V309" s="7">
        <f t="shared" si="47"/>
        <v>69.24312902428693</v>
      </c>
      <c r="W309" s="14" t="s">
        <v>10</v>
      </c>
      <c r="X309" s="7">
        <v>133810</v>
      </c>
      <c r="Y309" s="7">
        <v>1128259.0909090908</v>
      </c>
      <c r="Z309" s="7">
        <v>1241000</v>
      </c>
      <c r="AA309" s="7">
        <v>6607</v>
      </c>
      <c r="AB309" s="7">
        <v>3487</v>
      </c>
      <c r="AC309" s="7">
        <v>0</v>
      </c>
      <c r="AD309" s="7">
        <v>1173447</v>
      </c>
      <c r="AE309" s="7">
        <v>125000</v>
      </c>
      <c r="AF309" s="7">
        <v>11811.81313419342</v>
      </c>
      <c r="AG309" s="7">
        <f t="shared" si="51"/>
        <v>203269.38909090907</v>
      </c>
      <c r="AH309" s="1">
        <f t="shared" si="48"/>
        <v>17.208991268450973</v>
      </c>
    </row>
    <row r="310" spans="1:34" x14ac:dyDescent="0.25">
      <c r="A310" s="13" t="s">
        <v>0</v>
      </c>
      <c r="B310" s="19">
        <v>45966</v>
      </c>
      <c r="C310" s="8">
        <v>10719</v>
      </c>
      <c r="D310" s="8">
        <v>32875</v>
      </c>
      <c r="E310" s="8">
        <v>0</v>
      </c>
      <c r="F310" s="7">
        <v>3508</v>
      </c>
      <c r="G310" s="8">
        <v>9257</v>
      </c>
      <c r="H310" s="8">
        <v>6267</v>
      </c>
      <c r="I310" s="8">
        <v>0</v>
      </c>
      <c r="J310" s="2">
        <v>23.04999923706055</v>
      </c>
      <c r="K310" s="23">
        <f t="shared" si="53"/>
        <v>118100.314</v>
      </c>
      <c r="L310" s="23">
        <f t="shared" si="49"/>
        <v>12.757946851031651</v>
      </c>
      <c r="M310" s="13" t="s">
        <v>9</v>
      </c>
      <c r="N310" s="7">
        <v>112536.78826600313</v>
      </c>
      <c r="O310" s="7">
        <v>65999.0120769653</v>
      </c>
      <c r="P310" s="7">
        <f t="shared" si="45"/>
        <v>74998.877360187835</v>
      </c>
      <c r="Q310" s="7">
        <v>0</v>
      </c>
      <c r="R310" s="7">
        <v>0</v>
      </c>
      <c r="S310" s="7">
        <f t="shared" si="46"/>
        <v>0</v>
      </c>
      <c r="T310" s="7">
        <v>7153.8482358118854</v>
      </c>
      <c r="U310" s="7">
        <f t="shared" si="54"/>
        <v>405839.31567560864</v>
      </c>
      <c r="V310" s="7">
        <f t="shared" si="47"/>
        <v>56.730210412347418</v>
      </c>
      <c r="W310" s="14" t="s">
        <v>10</v>
      </c>
      <c r="X310" s="8">
        <v>122460</v>
      </c>
      <c r="Y310" s="8">
        <v>1038471.8181818182</v>
      </c>
      <c r="Z310" s="8">
        <v>1137818.1818181816</v>
      </c>
      <c r="AA310" s="8">
        <v>5559</v>
      </c>
      <c r="AB310" s="8">
        <v>3969</v>
      </c>
      <c r="AC310" s="8">
        <v>0</v>
      </c>
      <c r="AD310" s="8">
        <v>1065350.8799999999</v>
      </c>
      <c r="AE310" s="8">
        <v>62500</v>
      </c>
      <c r="AF310" s="8">
        <v>10792.181366615296</v>
      </c>
      <c r="AG310" s="7">
        <f t="shared" si="51"/>
        <v>186225.19183636364</v>
      </c>
      <c r="AH310" s="1">
        <f t="shared" si="48"/>
        <v>17.255565442259485</v>
      </c>
    </row>
    <row r="311" spans="1:34" x14ac:dyDescent="0.25">
      <c r="A311" s="13" t="s">
        <v>0</v>
      </c>
      <c r="B311" s="19">
        <v>45967</v>
      </c>
      <c r="C311" s="7">
        <v>15788</v>
      </c>
      <c r="D311" s="7">
        <v>29702</v>
      </c>
      <c r="E311" s="7">
        <v>0</v>
      </c>
      <c r="F311" s="7">
        <v>2591</v>
      </c>
      <c r="G311" s="7">
        <v>13050</v>
      </c>
      <c r="H311" s="7">
        <v>6507</v>
      </c>
      <c r="I311" s="7">
        <v>0</v>
      </c>
      <c r="J311" s="2">
        <v>22</v>
      </c>
      <c r="K311" s="23">
        <f t="shared" si="53"/>
        <v>151148.788</v>
      </c>
      <c r="L311" s="23">
        <f t="shared" si="49"/>
        <v>11.582282605363984</v>
      </c>
      <c r="M311" s="13" t="s">
        <v>9</v>
      </c>
      <c r="N311" s="7">
        <v>63899.332278266549</v>
      </c>
      <c r="O311" s="7">
        <v>29761.686150221067</v>
      </c>
      <c r="P311" s="7">
        <f t="shared" si="45"/>
        <v>33820.097897978485</v>
      </c>
      <c r="Q311" s="7">
        <v>0</v>
      </c>
      <c r="R311" s="7">
        <v>0</v>
      </c>
      <c r="S311" s="7">
        <f t="shared" si="46"/>
        <v>0</v>
      </c>
      <c r="T311" s="7">
        <v>3203.5858960944752</v>
      </c>
      <c r="U311" s="7">
        <f t="shared" si="54"/>
        <v>189980.21800454994</v>
      </c>
      <c r="V311" s="7">
        <f t="shared" si="47"/>
        <v>59.302364339959418</v>
      </c>
      <c r="W311" s="14" t="s">
        <v>10</v>
      </c>
      <c r="X311" s="7">
        <v>132370</v>
      </c>
      <c r="Y311" s="7">
        <v>1209253.6363636362</v>
      </c>
      <c r="Z311" s="7">
        <v>1312545.4545454546</v>
      </c>
      <c r="AA311" s="7">
        <v>4285</v>
      </c>
      <c r="AB311" s="7">
        <v>4300</v>
      </c>
      <c r="AC311" s="7">
        <v>0</v>
      </c>
      <c r="AD311" s="7">
        <v>1236957.48</v>
      </c>
      <c r="AE311" s="7">
        <v>100000</v>
      </c>
      <c r="AF311" s="7">
        <v>12484.829871368409</v>
      </c>
      <c r="AG311" s="7">
        <f t="shared" si="51"/>
        <v>204030.64538181821</v>
      </c>
      <c r="AH311" s="1">
        <f t="shared" si="48"/>
        <v>16.342284795544057</v>
      </c>
    </row>
    <row r="312" spans="1:34" x14ac:dyDescent="0.25">
      <c r="A312" s="13" t="s">
        <v>0</v>
      </c>
      <c r="B312" s="19">
        <v>45968</v>
      </c>
      <c r="C312" s="7">
        <v>11407</v>
      </c>
      <c r="D312" s="7">
        <v>31071</v>
      </c>
      <c r="E312" s="7">
        <v>36000</v>
      </c>
      <c r="F312" s="7">
        <v>3239</v>
      </c>
      <c r="G312" s="7">
        <v>13363</v>
      </c>
      <c r="H312" s="7">
        <v>4261</v>
      </c>
      <c r="I312" s="7">
        <v>146938</v>
      </c>
      <c r="J312" s="2">
        <v>25.79999923706055</v>
      </c>
      <c r="K312" s="23">
        <f t="shared" si="53"/>
        <v>380335.32199999999</v>
      </c>
      <c r="L312" s="23">
        <f t="shared" si="49"/>
        <v>28.461821596946791</v>
      </c>
      <c r="M312" s="13" t="s">
        <v>9</v>
      </c>
      <c r="N312" s="7">
        <v>40613.375072747469</v>
      </c>
      <c r="O312" s="7">
        <v>16791.517417815157</v>
      </c>
      <c r="P312" s="7">
        <f t="shared" si="45"/>
        <v>19081.269792971769</v>
      </c>
      <c r="Q312" s="7">
        <v>0</v>
      </c>
      <c r="R312" s="7">
        <v>0</v>
      </c>
      <c r="S312" s="7">
        <f t="shared" si="46"/>
        <v>0</v>
      </c>
      <c r="T312" s="7">
        <v>1336.4804248534201</v>
      </c>
      <c r="U312" s="7">
        <f t="shared" si="54"/>
        <v>109604.23015291383</v>
      </c>
      <c r="V312" s="7">
        <f t="shared" si="47"/>
        <v>82.009603818129094</v>
      </c>
      <c r="W312" s="14" t="s">
        <v>10</v>
      </c>
      <c r="X312" s="7">
        <v>152150</v>
      </c>
      <c r="Y312" s="7">
        <v>1204857.2727272727</v>
      </c>
      <c r="Z312" s="7">
        <v>1304818.1818181819</v>
      </c>
      <c r="AA312" s="7">
        <v>2213</v>
      </c>
      <c r="AB312" s="7">
        <v>3708</v>
      </c>
      <c r="AC312" s="7">
        <v>0</v>
      </c>
      <c r="AD312" s="7">
        <v>1256844.6000000001</v>
      </c>
      <c r="AE312" s="7">
        <v>112500</v>
      </c>
      <c r="AF312" s="7">
        <v>12554.223251647949</v>
      </c>
      <c r="AG312" s="7">
        <f t="shared" si="51"/>
        <v>205826.2830909091</v>
      </c>
      <c r="AH312" s="1">
        <f t="shared" si="48"/>
        <v>16.394983501977393</v>
      </c>
    </row>
    <row r="313" spans="1:34" x14ac:dyDescent="0.25">
      <c r="A313" s="13" t="s">
        <v>0</v>
      </c>
      <c r="B313" s="19">
        <v>45969</v>
      </c>
      <c r="C313" s="7">
        <v>14665</v>
      </c>
      <c r="D313" s="7">
        <v>28421</v>
      </c>
      <c r="E313" s="7">
        <v>9800</v>
      </c>
      <c r="F313" s="7">
        <v>3033</v>
      </c>
      <c r="G313" s="7">
        <v>15651</v>
      </c>
      <c r="H313" s="7">
        <v>3287</v>
      </c>
      <c r="I313" s="7">
        <v>42608</v>
      </c>
      <c r="J313" s="2">
        <v>24.39999961853027</v>
      </c>
      <c r="K313" s="23">
        <f t="shared" si="53"/>
        <v>214529.87</v>
      </c>
      <c r="L313" s="23">
        <f t="shared" si="49"/>
        <v>13.707103060507315</v>
      </c>
      <c r="M313" s="13" t="s">
        <v>9</v>
      </c>
      <c r="N313" s="7">
        <v>111013.37768389285</v>
      </c>
      <c r="O313" s="7">
        <v>57803.364003927527</v>
      </c>
      <c r="P313" s="7">
        <f t="shared" si="45"/>
        <v>65685.640913554002</v>
      </c>
      <c r="Q313" s="7">
        <v>0</v>
      </c>
      <c r="R313" s="7">
        <v>0</v>
      </c>
      <c r="S313" s="7">
        <f t="shared" si="46"/>
        <v>0</v>
      </c>
      <c r="T313" s="7">
        <v>5171</v>
      </c>
      <c r="U313" s="7">
        <f t="shared" si="54"/>
        <v>362042.00862942846</v>
      </c>
      <c r="V313" s="7">
        <f t="shared" si="47"/>
        <v>70.013925474652567</v>
      </c>
      <c r="W313" s="14" t="s">
        <v>10</v>
      </c>
      <c r="X313" s="7">
        <v>156620</v>
      </c>
      <c r="Y313" s="7">
        <v>1096047.2727272727</v>
      </c>
      <c r="Z313" s="7">
        <v>1192545.4545454546</v>
      </c>
      <c r="AA313" s="7">
        <v>5316</v>
      </c>
      <c r="AB313" s="7">
        <v>3800</v>
      </c>
      <c r="AC313" s="7">
        <v>0</v>
      </c>
      <c r="AD313" s="7">
        <v>1145754.72</v>
      </c>
      <c r="AE313" s="7">
        <v>137500</v>
      </c>
      <c r="AF313" s="7">
        <v>11580.667904663085</v>
      </c>
      <c r="AG313" s="7">
        <f t="shared" si="51"/>
        <v>210729.22261818181</v>
      </c>
      <c r="AH313" s="1">
        <f t="shared" si="48"/>
        <v>18.196638082793942</v>
      </c>
    </row>
    <row r="314" spans="1:34" x14ac:dyDescent="0.25">
      <c r="A314" s="13" t="s">
        <v>0</v>
      </c>
      <c r="B314" s="19">
        <v>45970</v>
      </c>
      <c r="C314" s="7">
        <v>10104</v>
      </c>
      <c r="D314" s="7">
        <v>30360</v>
      </c>
      <c r="E314" s="7">
        <v>0</v>
      </c>
      <c r="F314" s="7">
        <v>2844</v>
      </c>
      <c r="G314" s="7">
        <v>11579</v>
      </c>
      <c r="H314" s="7">
        <v>6085</v>
      </c>
      <c r="I314" s="7">
        <v>0</v>
      </c>
      <c r="J314" s="2">
        <v>25.35000038146973</v>
      </c>
      <c r="K314" s="23">
        <f t="shared" si="53"/>
        <v>108677.424</v>
      </c>
      <c r="L314" s="23">
        <f t="shared" si="49"/>
        <v>9.385734864841524</v>
      </c>
      <c r="M314" s="13" t="s">
        <v>9</v>
      </c>
      <c r="N314" s="7">
        <v>110939.79505221546</v>
      </c>
      <c r="O314" s="7">
        <v>66567.406224679871</v>
      </c>
      <c r="P314" s="7">
        <f t="shared" si="45"/>
        <v>75644.77980077258</v>
      </c>
      <c r="Q314" s="7">
        <v>0</v>
      </c>
      <c r="R314" s="7">
        <v>0</v>
      </c>
      <c r="S314" s="7">
        <f t="shared" si="46"/>
        <v>0</v>
      </c>
      <c r="T314" s="7">
        <v>6540.1886939229644</v>
      </c>
      <c r="U314" s="7">
        <f t="shared" si="54"/>
        <v>407974.39493804041</v>
      </c>
      <c r="V314" s="7">
        <f t="shared" si="47"/>
        <v>62.379606159853381</v>
      </c>
      <c r="W314" s="14" t="s">
        <v>10</v>
      </c>
      <c r="X314" s="7">
        <v>157400</v>
      </c>
      <c r="Y314" s="7">
        <v>1141617.2727272727</v>
      </c>
      <c r="Z314" s="7">
        <v>1237818.1818181819</v>
      </c>
      <c r="AA314" s="7">
        <v>5328</v>
      </c>
      <c r="AB314" s="7">
        <v>4090</v>
      </c>
      <c r="AC314" s="7">
        <v>0</v>
      </c>
      <c r="AD314" s="7">
        <v>1188629.6400000001</v>
      </c>
      <c r="AE314" s="7">
        <v>125000</v>
      </c>
      <c r="AF314" s="7">
        <v>11875.266061134338</v>
      </c>
      <c r="AG314" s="7">
        <f t="shared" si="51"/>
        <v>215456.7186909091</v>
      </c>
      <c r="AH314" s="1">
        <f t="shared" si="48"/>
        <v>18.143317175525112</v>
      </c>
    </row>
    <row r="315" spans="1:34" x14ac:dyDescent="0.25">
      <c r="A315" s="13" t="s">
        <v>0</v>
      </c>
      <c r="B315" s="19">
        <v>45971</v>
      </c>
      <c r="C315" s="8">
        <v>16373</v>
      </c>
      <c r="D315" s="8">
        <v>32958</v>
      </c>
      <c r="E315" s="7">
        <v>8300</v>
      </c>
      <c r="F315" s="7">
        <v>4898</v>
      </c>
      <c r="G315" s="8">
        <v>13666</v>
      </c>
      <c r="H315" s="8">
        <v>4071</v>
      </c>
      <c r="I315" s="8">
        <v>33200</v>
      </c>
      <c r="J315" s="2">
        <v>31.35000038146973</v>
      </c>
      <c r="K315" s="23">
        <f t="shared" si="53"/>
        <v>228706.728</v>
      </c>
      <c r="L315" s="23">
        <f t="shared" si="49"/>
        <v>16.735454997804773</v>
      </c>
      <c r="M315" s="13" t="s">
        <v>9</v>
      </c>
      <c r="N315" s="7">
        <v>112923.03757070005</v>
      </c>
      <c r="O315" s="7">
        <v>63300</v>
      </c>
      <c r="P315" s="7">
        <f t="shared" si="45"/>
        <v>71931.818181818177</v>
      </c>
      <c r="Q315" s="7">
        <v>0</v>
      </c>
      <c r="R315" s="7">
        <v>0</v>
      </c>
      <c r="S315" s="7">
        <f t="shared" si="46"/>
        <v>0</v>
      </c>
      <c r="T315" s="7">
        <v>7082.8139668646209</v>
      </c>
      <c r="U315" s="7">
        <f t="shared" si="54"/>
        <v>391886.48263974371</v>
      </c>
      <c r="V315" s="7">
        <f t="shared" si="47"/>
        <v>55.32920735644025</v>
      </c>
      <c r="W315" s="14" t="s">
        <v>10</v>
      </c>
      <c r="X315" s="8">
        <v>159090</v>
      </c>
      <c r="Y315" s="8">
        <v>1187356.3636363638</v>
      </c>
      <c r="Z315" s="8">
        <v>1279636.3636363635</v>
      </c>
      <c r="AA315" s="8">
        <v>5321</v>
      </c>
      <c r="AB315" s="8">
        <v>3765</v>
      </c>
      <c r="AC315" s="8">
        <v>0</v>
      </c>
      <c r="AD315" s="8">
        <v>1232787.6000000001</v>
      </c>
      <c r="AE315" s="8">
        <v>175000</v>
      </c>
      <c r="AF315" s="8">
        <v>12189.775338020325</v>
      </c>
      <c r="AG315" s="7">
        <f t="shared" si="51"/>
        <v>220260.53400000001</v>
      </c>
      <c r="AH315" s="1">
        <f t="shared" si="48"/>
        <v>18.069285765505448</v>
      </c>
    </row>
    <row r="316" spans="1:34" x14ac:dyDescent="0.25">
      <c r="A316" s="13" t="s">
        <v>0</v>
      </c>
      <c r="B316" s="19">
        <v>45972</v>
      </c>
      <c r="C316" s="7">
        <v>18059</v>
      </c>
      <c r="D316" s="7">
        <v>36466</v>
      </c>
      <c r="E316" s="7">
        <v>4375</v>
      </c>
      <c r="F316" s="7">
        <v>4678</v>
      </c>
      <c r="G316" s="7">
        <v>12405</v>
      </c>
      <c r="H316" s="7">
        <v>5309</v>
      </c>
      <c r="I316" s="7">
        <v>18229</v>
      </c>
      <c r="J316" s="2">
        <v>28.79999923706055</v>
      </c>
      <c r="K316" s="23">
        <f t="shared" si="53"/>
        <v>214282.584</v>
      </c>
      <c r="L316" s="23">
        <f t="shared" si="49"/>
        <v>17.273888270858524</v>
      </c>
      <c r="M316" s="13" t="s">
        <v>9</v>
      </c>
      <c r="N316" s="7">
        <v>112243.95644964278</v>
      </c>
      <c r="O316" s="7">
        <v>68399.90234375</v>
      </c>
      <c r="P316" s="7">
        <f t="shared" si="45"/>
        <v>77727.161754261368</v>
      </c>
      <c r="Q316" s="7">
        <v>0</v>
      </c>
      <c r="R316" s="7">
        <v>0</v>
      </c>
      <c r="S316" s="7">
        <f t="shared" si="46"/>
        <v>0</v>
      </c>
      <c r="T316" s="7">
        <v>7342.6645626052541</v>
      </c>
      <c r="U316" s="7">
        <f t="shared" si="54"/>
        <v>418277.87557598116</v>
      </c>
      <c r="V316" s="7">
        <f t="shared" si="47"/>
        <v>56.965407041224253</v>
      </c>
      <c r="W316" s="14" t="s">
        <v>10</v>
      </c>
      <c r="X316" s="7">
        <v>142630</v>
      </c>
      <c r="Y316" s="7">
        <v>1254823.6363636365</v>
      </c>
      <c r="Z316" s="7">
        <v>1357272.7272727273</v>
      </c>
      <c r="AA316" s="7">
        <v>5284</v>
      </c>
      <c r="AB316" s="7">
        <v>4337</v>
      </c>
      <c r="AC316" s="7">
        <v>0</v>
      </c>
      <c r="AD316" s="7">
        <v>1310411.52</v>
      </c>
      <c r="AE316" s="7">
        <v>150000</v>
      </c>
      <c r="AF316" s="7">
        <v>13073.698121261597</v>
      </c>
      <c r="AG316" s="7">
        <f t="shared" si="51"/>
        <v>218732.27370909092</v>
      </c>
      <c r="AH316" s="1">
        <f t="shared" si="48"/>
        <v>16.730711668595841</v>
      </c>
    </row>
    <row r="317" spans="1:34" x14ac:dyDescent="0.25">
      <c r="A317" s="13" t="s">
        <v>0</v>
      </c>
      <c r="B317" s="19">
        <v>45973</v>
      </c>
      <c r="C317" s="7">
        <v>14535</v>
      </c>
      <c r="D317" s="7">
        <v>42510</v>
      </c>
      <c r="E317" s="7">
        <v>27000</v>
      </c>
      <c r="F317" s="7">
        <v>3810</v>
      </c>
      <c r="G317" s="7">
        <v>11150</v>
      </c>
      <c r="H317" s="7">
        <v>5757</v>
      </c>
      <c r="I317" s="7">
        <v>110204</v>
      </c>
      <c r="J317" s="2">
        <v>21.5</v>
      </c>
      <c r="K317" s="23">
        <f t="shared" si="53"/>
        <v>348713.76</v>
      </c>
      <c r="L317" s="23">
        <f t="shared" si="49"/>
        <v>31.274776681614352</v>
      </c>
      <c r="M317" s="13" t="s">
        <v>9</v>
      </c>
      <c r="N317" s="7">
        <v>112711.02987623215</v>
      </c>
      <c r="O317" s="7">
        <v>66200.1953125</v>
      </c>
      <c r="P317" s="7">
        <f t="shared" si="45"/>
        <v>75227.494673295456</v>
      </c>
      <c r="Q317" s="7">
        <v>0</v>
      </c>
      <c r="R317" s="7">
        <v>0</v>
      </c>
      <c r="S317" s="7">
        <f t="shared" si="46"/>
        <v>0</v>
      </c>
      <c r="T317" s="7">
        <v>7152.6875613125449</v>
      </c>
      <c r="U317" s="7">
        <f t="shared" si="54"/>
        <v>406986.96124633489</v>
      </c>
      <c r="V317" s="7">
        <f t="shared" si="47"/>
        <v>56.89986564597703</v>
      </c>
      <c r="W317" s="14" t="s">
        <v>10</v>
      </c>
      <c r="X317" s="7">
        <v>120800</v>
      </c>
      <c r="Y317" s="7">
        <v>1116422.7272727273</v>
      </c>
      <c r="Z317" s="7">
        <v>1211000</v>
      </c>
      <c r="AA317" s="7">
        <v>5294</v>
      </c>
      <c r="AB317" s="7">
        <v>3942</v>
      </c>
      <c r="AC317" s="7">
        <v>0</v>
      </c>
      <c r="AD317" s="7">
        <v>1158798.96</v>
      </c>
      <c r="AE317" s="7">
        <v>100000</v>
      </c>
      <c r="AF317" s="7">
        <v>11722.975563735961</v>
      </c>
      <c r="AG317" s="7">
        <f t="shared" si="51"/>
        <v>192068.03212727272</v>
      </c>
      <c r="AH317" s="1">
        <f t="shared" si="48"/>
        <v>16.383897678795734</v>
      </c>
    </row>
    <row r="318" spans="1:34" x14ac:dyDescent="0.25">
      <c r="A318" s="13" t="s">
        <v>0</v>
      </c>
      <c r="B318" s="19">
        <v>45974</v>
      </c>
      <c r="C318" s="7">
        <v>12751</v>
      </c>
      <c r="D318" s="7">
        <v>25450</v>
      </c>
      <c r="E318" s="7">
        <v>20250</v>
      </c>
      <c r="F318" s="7">
        <v>3248</v>
      </c>
      <c r="G318" s="7">
        <v>10323</v>
      </c>
      <c r="H318" s="7">
        <v>2817</v>
      </c>
      <c r="I318" s="7">
        <v>81000</v>
      </c>
      <c r="J318" s="2">
        <v>20.25</v>
      </c>
      <c r="K318" s="23">
        <f t="shared" si="53"/>
        <v>274425.25599999999</v>
      </c>
      <c r="L318" s="23">
        <f t="shared" si="49"/>
        <v>26.58386670541509</v>
      </c>
      <c r="M318" s="13" t="s">
        <v>9</v>
      </c>
      <c r="N318" s="7">
        <v>111697.52325259149</v>
      </c>
      <c r="O318" s="7">
        <v>60899.90234375</v>
      </c>
      <c r="P318" s="7">
        <f t="shared" si="45"/>
        <v>69204.434481534088</v>
      </c>
      <c r="Q318" s="7">
        <v>0</v>
      </c>
      <c r="R318" s="7">
        <v>0</v>
      </c>
      <c r="S318" s="7">
        <f t="shared" si="46"/>
        <v>0</v>
      </c>
      <c r="T318" s="7">
        <v>5972.1817791453213</v>
      </c>
      <c r="U318" s="7">
        <f t="shared" si="54"/>
        <v>378647.35689063487</v>
      </c>
      <c r="V318" s="7">
        <f t="shared" si="47"/>
        <v>63.40184724665616</v>
      </c>
      <c r="W318" s="14" t="s">
        <v>10</v>
      </c>
      <c r="X318" s="7">
        <v>120410</v>
      </c>
      <c r="Y318" s="7">
        <v>602301.81818181823</v>
      </c>
      <c r="Z318" s="7">
        <v>652363.63636363635</v>
      </c>
      <c r="AA318" s="7">
        <v>5183</v>
      </c>
      <c r="AB318" s="7">
        <v>5314</v>
      </c>
      <c r="AC318" s="7">
        <v>0</v>
      </c>
      <c r="AD318" s="7">
        <v>628796.52</v>
      </c>
      <c r="AE318" s="7">
        <v>50000</v>
      </c>
      <c r="AF318" s="7">
        <v>6272.6688775634766</v>
      </c>
      <c r="AG318" s="7">
        <f t="shared" si="51"/>
        <v>155659.4859818182</v>
      </c>
      <c r="AH318" s="1">
        <f t="shared" si="48"/>
        <v>24.81551139078806</v>
      </c>
    </row>
    <row r="319" spans="1:34" x14ac:dyDescent="0.25">
      <c r="A319" s="13" t="s">
        <v>0</v>
      </c>
      <c r="B319" s="19">
        <v>45975</v>
      </c>
      <c r="C319" s="7">
        <v>11036</v>
      </c>
      <c r="D319" s="7">
        <v>31659</v>
      </c>
      <c r="E319" s="7">
        <v>15700</v>
      </c>
      <c r="F319" s="7">
        <v>5192</v>
      </c>
      <c r="G319" s="7">
        <v>12013</v>
      </c>
      <c r="H319" s="7">
        <v>3392</v>
      </c>
      <c r="I319" s="7">
        <v>64081</v>
      </c>
      <c r="J319" s="2">
        <v>20.85000038146973</v>
      </c>
      <c r="K319" s="23">
        <f t="shared" si="53"/>
        <v>241374.486</v>
      </c>
      <c r="L319" s="23">
        <f t="shared" si="49"/>
        <v>20.092773328893699</v>
      </c>
      <c r="M319" s="13" t="s">
        <v>9</v>
      </c>
      <c r="N319" s="7">
        <v>103187.13666769862</v>
      </c>
      <c r="O319" s="7">
        <v>53000</v>
      </c>
      <c r="P319" s="7">
        <f t="shared" si="45"/>
        <v>60227.272727272728</v>
      </c>
      <c r="Q319" s="7">
        <v>0</v>
      </c>
      <c r="R319" s="7">
        <v>0</v>
      </c>
      <c r="S319" s="7">
        <f t="shared" si="46"/>
        <v>0</v>
      </c>
      <c r="T319" s="7">
        <v>4540.9676810827223</v>
      </c>
      <c r="U319" s="7">
        <f t="shared" si="54"/>
        <v>332698.27334297117</v>
      </c>
      <c r="V319" s="7">
        <f t="shared" si="47"/>
        <v>73.265941691010781</v>
      </c>
      <c r="W319" s="14" t="s">
        <v>10</v>
      </c>
      <c r="X319" s="7">
        <v>90530</v>
      </c>
      <c r="Y319" s="7">
        <v>215252.72727272726</v>
      </c>
      <c r="Z319" s="7">
        <v>233727.27272727271</v>
      </c>
      <c r="AA319" s="7">
        <v>4490</v>
      </c>
      <c r="AB319" s="7">
        <v>4470</v>
      </c>
      <c r="AC319" s="7">
        <v>0</v>
      </c>
      <c r="AD319" s="7">
        <v>224318.16</v>
      </c>
      <c r="AE319" s="7">
        <v>0</v>
      </c>
      <c r="AF319" s="7">
        <v>2228.7599769592284</v>
      </c>
      <c r="AG319" s="7">
        <f t="shared" si="51"/>
        <v>100779.64785454546</v>
      </c>
      <c r="AH319" s="1">
        <f t="shared" si="48"/>
        <v>45.217811202820727</v>
      </c>
    </row>
    <row r="320" spans="1:34" x14ac:dyDescent="0.25">
      <c r="A320" s="13" t="s">
        <v>0</v>
      </c>
      <c r="B320" s="19">
        <v>45976</v>
      </c>
      <c r="C320" s="8">
        <v>14833</v>
      </c>
      <c r="D320" s="8">
        <v>38354</v>
      </c>
      <c r="E320" s="8">
        <v>2100</v>
      </c>
      <c r="F320" s="7">
        <v>4463</v>
      </c>
      <c r="G320" s="8">
        <v>11879</v>
      </c>
      <c r="H320" s="8">
        <v>5647</v>
      </c>
      <c r="I320" s="8">
        <v>8750</v>
      </c>
      <c r="J320" s="2">
        <v>18.5</v>
      </c>
      <c r="K320" s="23">
        <f t="shared" si="53"/>
        <v>172807.36800000002</v>
      </c>
      <c r="L320" s="23">
        <f t="shared" si="49"/>
        <v>14.54729926761512</v>
      </c>
      <c r="M320" s="13" t="s">
        <v>9</v>
      </c>
      <c r="N320" s="7">
        <v>112457.54193890095</v>
      </c>
      <c r="O320" s="7">
        <v>67299.8046875</v>
      </c>
      <c r="P320" s="7">
        <f t="shared" si="45"/>
        <v>76477.05078125</v>
      </c>
      <c r="Q320" s="7">
        <v>0</v>
      </c>
      <c r="R320" s="7">
        <v>0</v>
      </c>
      <c r="S320" s="7">
        <f t="shared" si="46"/>
        <v>0</v>
      </c>
      <c r="T320" s="7">
        <v>5859.5522559898091</v>
      </c>
      <c r="U320" s="7">
        <f t="shared" si="54"/>
        <v>412620.56363386748</v>
      </c>
      <c r="V320" s="7">
        <f t="shared" si="47"/>
        <v>70.418445916592759</v>
      </c>
      <c r="W320" s="14" t="s">
        <v>10</v>
      </c>
      <c r="X320" s="8">
        <v>158410</v>
      </c>
      <c r="Y320" s="8">
        <v>1094271.8181818184</v>
      </c>
      <c r="Z320" s="8">
        <v>1188181.8181818181</v>
      </c>
      <c r="AA320" s="8">
        <v>5130</v>
      </c>
      <c r="AB320" s="8">
        <v>1558</v>
      </c>
      <c r="AC320" s="8">
        <v>0</v>
      </c>
      <c r="AD320" s="8">
        <v>1143616.32</v>
      </c>
      <c r="AE320" s="8">
        <v>75000</v>
      </c>
      <c r="AF320" s="8">
        <v>11422.64</v>
      </c>
      <c r="AG320" s="7">
        <f t="shared" si="51"/>
        <v>196875.10980000003</v>
      </c>
      <c r="AH320" s="1">
        <f t="shared" si="48"/>
        <v>17.235517340999984</v>
      </c>
    </row>
    <row r="321" spans="1:34" x14ac:dyDescent="0.25">
      <c r="A321" s="13" t="s">
        <v>0</v>
      </c>
      <c r="B321" s="19">
        <v>45977</v>
      </c>
      <c r="C321" s="7">
        <v>14438</v>
      </c>
      <c r="D321" s="7">
        <v>26507</v>
      </c>
      <c r="E321" s="7">
        <v>0</v>
      </c>
      <c r="F321" s="7">
        <v>3989</v>
      </c>
      <c r="G321" s="7">
        <v>13765</v>
      </c>
      <c r="H321" s="7">
        <v>4165</v>
      </c>
      <c r="I321" s="7">
        <v>0</v>
      </c>
      <c r="J321" s="2">
        <v>17.29999923706055</v>
      </c>
      <c r="K321" s="23">
        <f t="shared" si="53"/>
        <v>145974.83799999999</v>
      </c>
      <c r="L321" s="23">
        <f t="shared" si="49"/>
        <v>10.60478300036324</v>
      </c>
      <c r="M321" s="13" t="s">
        <v>9</v>
      </c>
      <c r="N321" s="7">
        <v>110000</v>
      </c>
      <c r="O321" s="7">
        <v>73500</v>
      </c>
      <c r="P321" s="7">
        <f t="shared" si="45"/>
        <v>83522.727272727279</v>
      </c>
      <c r="Q321" s="7">
        <v>0</v>
      </c>
      <c r="R321" s="7">
        <v>0</v>
      </c>
      <c r="S321" s="7">
        <f t="shared" si="46"/>
        <v>0</v>
      </c>
      <c r="T321" s="7">
        <v>5899.9999999999991</v>
      </c>
      <c r="U321" s="7">
        <f t="shared" si="54"/>
        <v>443840.90909090912</v>
      </c>
      <c r="V321" s="7">
        <f t="shared" si="47"/>
        <v>75.227272727272748</v>
      </c>
      <c r="W321" s="14" t="s">
        <v>10</v>
      </c>
      <c r="X321" s="7">
        <v>152720</v>
      </c>
      <c r="Y321" s="7">
        <v>1097230.9090909092</v>
      </c>
      <c r="Z321" s="7">
        <v>1184090.9090909089</v>
      </c>
      <c r="AA321" s="7">
        <v>5095</v>
      </c>
      <c r="AB321" s="7">
        <v>5786</v>
      </c>
      <c r="AC321" s="7">
        <v>0</v>
      </c>
      <c r="AD321" s="7">
        <v>1163717.28</v>
      </c>
      <c r="AE321" s="7">
        <v>137500</v>
      </c>
      <c r="AF321" s="7">
        <v>11410.885741577149</v>
      </c>
      <c r="AG321" s="7">
        <f t="shared" si="51"/>
        <v>217961.84920000003</v>
      </c>
      <c r="AH321" s="1">
        <f t="shared" si="48"/>
        <v>19.101220898727057</v>
      </c>
    </row>
    <row r="322" spans="1:34" x14ac:dyDescent="0.25">
      <c r="A322" s="13" t="s">
        <v>0</v>
      </c>
      <c r="B322" s="19">
        <v>45978</v>
      </c>
      <c r="C322" s="7">
        <v>13798</v>
      </c>
      <c r="D322" s="7">
        <v>25140</v>
      </c>
      <c r="E322" s="7">
        <v>5200</v>
      </c>
      <c r="F322" s="7">
        <v>2881</v>
      </c>
      <c r="G322" s="7">
        <v>12145</v>
      </c>
      <c r="H322" s="7">
        <v>3879</v>
      </c>
      <c r="I322" s="7">
        <v>20800</v>
      </c>
      <c r="J322" s="2">
        <v>17.89999961853027</v>
      </c>
      <c r="K322" s="23">
        <f t="shared" si="53"/>
        <v>172186.48800000001</v>
      </c>
      <c r="L322" s="23">
        <f t="shared" si="49"/>
        <v>14.177561794977358</v>
      </c>
      <c r="M322" s="13" t="s">
        <v>9</v>
      </c>
      <c r="N322" s="7">
        <v>111875.49499174953</v>
      </c>
      <c r="O322" s="7">
        <v>67900.390625</v>
      </c>
      <c r="P322" s="7">
        <f t="shared" ref="P322:P385" si="55">O322/0.88</f>
        <v>77159.534801136368</v>
      </c>
      <c r="Q322" s="7">
        <v>0</v>
      </c>
      <c r="R322" s="7">
        <v>0</v>
      </c>
      <c r="S322" s="7">
        <f t="shared" si="46"/>
        <v>0</v>
      </c>
      <c r="T322" s="7">
        <v>6089.8651662000339</v>
      </c>
      <c r="U322" s="7">
        <f t="shared" si="54"/>
        <v>415462.42498767271</v>
      </c>
      <c r="V322" s="7">
        <f t="shared" si="47"/>
        <v>68.221941479685299</v>
      </c>
      <c r="W322" s="14" t="s">
        <v>10</v>
      </c>
      <c r="X322" s="7">
        <v>149702</v>
      </c>
      <c r="Y322" s="7">
        <v>1058678.1818181819</v>
      </c>
      <c r="Z322" s="7">
        <v>1136636.3636363635</v>
      </c>
      <c r="AA322" s="7">
        <v>4855</v>
      </c>
      <c r="AB322" s="7">
        <v>3716</v>
      </c>
      <c r="AC322" s="7">
        <v>0</v>
      </c>
      <c r="AD322" s="7">
        <v>1126936.8</v>
      </c>
      <c r="AE322" s="7">
        <v>162500</v>
      </c>
      <c r="AF322" s="7">
        <v>10897.260298843385</v>
      </c>
      <c r="AG322" s="7">
        <f t="shared" si="51"/>
        <v>203248.30381818183</v>
      </c>
      <c r="AH322" s="1">
        <f t="shared" si="48"/>
        <v>18.651321363751791</v>
      </c>
    </row>
    <row r="323" spans="1:34" x14ac:dyDescent="0.25">
      <c r="A323" s="13" t="s">
        <v>0</v>
      </c>
      <c r="B323" s="19">
        <v>45979</v>
      </c>
      <c r="C323" s="7">
        <v>10976</v>
      </c>
      <c r="D323" s="7">
        <v>30929</v>
      </c>
      <c r="E323" s="7">
        <v>0</v>
      </c>
      <c r="F323" s="7">
        <v>4928</v>
      </c>
      <c r="G323" s="7">
        <v>10903</v>
      </c>
      <c r="H323" s="7">
        <v>3497</v>
      </c>
      <c r="I323" s="7">
        <v>0</v>
      </c>
      <c r="J323" s="2">
        <v>18.45000076293945</v>
      </c>
      <c r="K323" s="23">
        <f t="shared" si="53"/>
        <v>126162.226</v>
      </c>
      <c r="L323" s="23">
        <f t="shared" si="49"/>
        <v>11.571331376685315</v>
      </c>
      <c r="M323" s="13" t="s">
        <v>9</v>
      </c>
      <c r="N323" s="7">
        <v>113437.93443755805</v>
      </c>
      <c r="O323" s="7">
        <v>73299.8046875</v>
      </c>
      <c r="P323" s="7">
        <f t="shared" si="55"/>
        <v>83295.232599431823</v>
      </c>
      <c r="Q323" s="7">
        <v>0</v>
      </c>
      <c r="R323" s="7">
        <v>0</v>
      </c>
      <c r="S323" s="7">
        <f t="shared" ref="S323:S386" si="56">R323/0.75</f>
        <v>0</v>
      </c>
      <c r="T323" s="7">
        <v>5978.9048359147564</v>
      </c>
      <c r="U323" s="7">
        <f t="shared" si="54"/>
        <v>444612.89893088304</v>
      </c>
      <c r="V323" s="7">
        <f t="shared" ref="V323:V386" si="57">U323/T323</f>
        <v>74.363601885772184</v>
      </c>
      <c r="W323" s="14" t="s">
        <v>10</v>
      </c>
      <c r="X323" s="7">
        <v>151356.25</v>
      </c>
      <c r="Y323" s="7">
        <v>941075.4545454547</v>
      </c>
      <c r="Z323" s="7">
        <v>1013181.8181818181</v>
      </c>
      <c r="AA323" s="7">
        <v>4528</v>
      </c>
      <c r="AB323" s="7">
        <v>4162</v>
      </c>
      <c r="AC323" s="7">
        <v>0</v>
      </c>
      <c r="AD323" s="7">
        <v>1000450.4400000002</v>
      </c>
      <c r="AE323" s="7">
        <v>125000</v>
      </c>
      <c r="AF323" s="7">
        <v>9751.4087191772469</v>
      </c>
      <c r="AG323" s="7">
        <f t="shared" si="51"/>
        <v>194487.03773636362</v>
      </c>
      <c r="AH323" s="1">
        <f t="shared" ref="AH323:AH386" si="58">AG323/AF323</f>
        <v>19.944506823294454</v>
      </c>
    </row>
    <row r="324" spans="1:34" x14ac:dyDescent="0.25">
      <c r="A324" s="13" t="s">
        <v>0</v>
      </c>
      <c r="B324" s="19">
        <v>45980</v>
      </c>
      <c r="C324" s="7">
        <v>17192</v>
      </c>
      <c r="D324" s="7">
        <v>39366</v>
      </c>
      <c r="E324" s="7">
        <v>30000</v>
      </c>
      <c r="F324" s="7">
        <v>4297</v>
      </c>
      <c r="G324" s="7">
        <v>11062</v>
      </c>
      <c r="H324" s="7">
        <v>5258</v>
      </c>
      <c r="I324" s="7">
        <v>122449</v>
      </c>
      <c r="J324" s="2">
        <v>18.35000038146973</v>
      </c>
      <c r="K324" s="23">
        <f t="shared" si="53"/>
        <v>391690.13199999998</v>
      </c>
      <c r="L324" s="23">
        <f t="shared" si="49"/>
        <v>35.408617971433735</v>
      </c>
      <c r="M324" s="13" t="s">
        <v>9</v>
      </c>
      <c r="N324" s="7">
        <v>112271.75837421417</v>
      </c>
      <c r="O324" s="7">
        <v>71799.8046875</v>
      </c>
      <c r="P324" s="7">
        <f t="shared" si="55"/>
        <v>81590.687144886368</v>
      </c>
      <c r="Q324" s="7">
        <v>0</v>
      </c>
      <c r="R324" s="7">
        <v>0</v>
      </c>
      <c r="S324" s="7">
        <f t="shared" si="56"/>
        <v>0</v>
      </c>
      <c r="T324" s="7">
        <v>6172.1448285758379</v>
      </c>
      <c r="U324" s="7">
        <f t="shared" si="54"/>
        <v>436126.643799129</v>
      </c>
      <c r="V324" s="7">
        <f t="shared" si="57"/>
        <v>70.660468267035299</v>
      </c>
      <c r="W324" s="14" t="s">
        <v>10</v>
      </c>
      <c r="X324" s="7">
        <v>151010.9375</v>
      </c>
      <c r="Y324" s="7">
        <v>1078292.7272727273</v>
      </c>
      <c r="Z324" s="7">
        <v>1168000</v>
      </c>
      <c r="AA324" s="7">
        <v>4155</v>
      </c>
      <c r="AB324" s="7">
        <v>3219</v>
      </c>
      <c r="AC324" s="7">
        <v>0</v>
      </c>
      <c r="AD324" s="7">
        <v>1169277.1200000001</v>
      </c>
      <c r="AE324" s="7">
        <v>100000.00000000001</v>
      </c>
      <c r="AF324" s="7">
        <v>11209.480707092285</v>
      </c>
      <c r="AG324" s="7">
        <f t="shared" si="51"/>
        <v>198742.29640227271</v>
      </c>
      <c r="AH324" s="1">
        <f t="shared" si="58"/>
        <v>17.729839730802841</v>
      </c>
    </row>
    <row r="325" spans="1:34" x14ac:dyDescent="0.25">
      <c r="A325" s="13" t="s">
        <v>0</v>
      </c>
      <c r="B325" s="19">
        <v>45981</v>
      </c>
      <c r="C325" s="8">
        <v>17218</v>
      </c>
      <c r="D325" s="8">
        <v>29650</v>
      </c>
      <c r="E325" s="8">
        <v>22000</v>
      </c>
      <c r="F325" s="7">
        <v>5172</v>
      </c>
      <c r="G325" s="8">
        <v>12098</v>
      </c>
      <c r="H325" s="8">
        <v>2974</v>
      </c>
      <c r="I325" s="8">
        <v>88000</v>
      </c>
      <c r="J325" s="2">
        <v>17.60000038146973</v>
      </c>
      <c r="K325" s="23">
        <f t="shared" si="53"/>
        <v>333517.30799999996</v>
      </c>
      <c r="L325" s="23">
        <f t="shared" si="49"/>
        <v>27.567970573648534</v>
      </c>
      <c r="M325" s="13" t="s">
        <v>9</v>
      </c>
      <c r="N325" s="7">
        <v>114866.93284446001</v>
      </c>
      <c r="O325" s="7">
        <v>73500</v>
      </c>
      <c r="P325" s="7">
        <f t="shared" si="55"/>
        <v>83522.727272727279</v>
      </c>
      <c r="Q325" s="7">
        <v>0</v>
      </c>
      <c r="R325" s="7">
        <v>0</v>
      </c>
      <c r="S325" s="7">
        <f t="shared" si="56"/>
        <v>0</v>
      </c>
      <c r="T325" s="7">
        <v>6494.6331751839607</v>
      </c>
      <c r="U325" s="7">
        <f t="shared" si="54"/>
        <v>446420.38349847292</v>
      </c>
      <c r="V325" s="7">
        <f t="shared" si="57"/>
        <v>68.736812604636143</v>
      </c>
      <c r="W325" s="14" t="s">
        <v>10</v>
      </c>
      <c r="X325" s="8">
        <v>123480</v>
      </c>
      <c r="Y325" s="8">
        <v>663005.45454545459</v>
      </c>
      <c r="Z325" s="8">
        <v>722454.54545454541</v>
      </c>
      <c r="AA325" s="8">
        <v>4121</v>
      </c>
      <c r="AB325" s="8">
        <v>3335</v>
      </c>
      <c r="AC325" s="8">
        <v>0</v>
      </c>
      <c r="AD325" s="8">
        <v>691344.72</v>
      </c>
      <c r="AE325" s="8">
        <v>87500</v>
      </c>
      <c r="AF325" s="8">
        <v>6925.1915859222408</v>
      </c>
      <c r="AG325" s="7">
        <f t="shared" si="51"/>
        <v>150804.27170909088</v>
      </c>
      <c r="AH325" s="1">
        <f t="shared" si="58"/>
        <v>21.776187682034791</v>
      </c>
    </row>
    <row r="326" spans="1:34" x14ac:dyDescent="0.25">
      <c r="A326" s="13" t="s">
        <v>0</v>
      </c>
      <c r="B326" s="19">
        <v>45982</v>
      </c>
      <c r="C326" s="7">
        <v>14519</v>
      </c>
      <c r="D326" s="7">
        <v>29931</v>
      </c>
      <c r="E326" s="7">
        <v>10400</v>
      </c>
      <c r="F326" s="7">
        <v>5642</v>
      </c>
      <c r="G326" s="7">
        <v>11566</v>
      </c>
      <c r="H326" s="7">
        <v>3472</v>
      </c>
      <c r="I326" s="7">
        <v>40000</v>
      </c>
      <c r="J326" s="2">
        <v>19</v>
      </c>
      <c r="K326" s="23">
        <f t="shared" si="53"/>
        <v>231562.79399999999</v>
      </c>
      <c r="L326" s="23">
        <f t="shared" si="49"/>
        <v>20.020992045651045</v>
      </c>
      <c r="M326" s="13" t="s">
        <v>9</v>
      </c>
      <c r="N326" s="7">
        <v>113100.2667080909</v>
      </c>
      <c r="O326" s="7">
        <v>69600.09765625</v>
      </c>
      <c r="P326" s="7">
        <f t="shared" si="55"/>
        <v>79091.020063920456</v>
      </c>
      <c r="Q326" s="7">
        <v>0</v>
      </c>
      <c r="R326" s="7">
        <v>0</v>
      </c>
      <c r="S326" s="7">
        <f t="shared" si="56"/>
        <v>0</v>
      </c>
      <c r="T326" s="7">
        <v>5877.9806789956929</v>
      </c>
      <c r="U326" s="7">
        <f t="shared" si="54"/>
        <v>425027.28997034498</v>
      </c>
      <c r="V326" s="7">
        <f t="shared" si="57"/>
        <v>72.308385001865091</v>
      </c>
      <c r="W326" s="14" t="s">
        <v>10</v>
      </c>
      <c r="X326" s="7">
        <v>159023.4375</v>
      </c>
      <c r="Y326" s="7">
        <v>1144238.1818181819</v>
      </c>
      <c r="Z326" s="7">
        <v>1245636.3636363638</v>
      </c>
      <c r="AA326" s="7">
        <v>0</v>
      </c>
      <c r="AB326" s="7">
        <v>3591</v>
      </c>
      <c r="AC326" s="7">
        <v>0</v>
      </c>
      <c r="AD326" s="7">
        <v>1231397.6400000001</v>
      </c>
      <c r="AE326" s="7">
        <v>87500</v>
      </c>
      <c r="AF326" s="7">
        <v>11932.124513664246</v>
      </c>
      <c r="AG326" s="7">
        <f>X326*0.53+Y326*0.0285+Z326*0.032+AA326*3+AB326*5+AD326*0.015+AE326*0.045</f>
        <v>197117.03829318183</v>
      </c>
      <c r="AH326" s="1">
        <f t="shared" si="58"/>
        <v>16.519860991012152</v>
      </c>
    </row>
    <row r="327" spans="1:34" x14ac:dyDescent="0.25">
      <c r="A327" s="13" t="s">
        <v>0</v>
      </c>
      <c r="B327" s="19">
        <v>45983</v>
      </c>
      <c r="C327" s="7">
        <v>9231</v>
      </c>
      <c r="D327" s="7">
        <v>37362</v>
      </c>
      <c r="E327" s="7">
        <v>0</v>
      </c>
      <c r="F327" s="7">
        <v>5085</v>
      </c>
      <c r="G327" s="7">
        <v>11951</v>
      </c>
      <c r="H327" s="7">
        <v>4686</v>
      </c>
      <c r="I327" s="7">
        <v>0</v>
      </c>
      <c r="J327" s="2">
        <v>23.75</v>
      </c>
      <c r="K327" s="23">
        <f t="shared" si="53"/>
        <v>116822.496</v>
      </c>
      <c r="L327" s="23">
        <f t="shared" si="49"/>
        <v>9.7751230859342311</v>
      </c>
      <c r="M327" s="13" t="s">
        <v>9</v>
      </c>
      <c r="N327" s="7">
        <v>114035.02505095303</v>
      </c>
      <c r="O327" s="7">
        <v>73100.09765625</v>
      </c>
      <c r="P327" s="7">
        <f t="shared" si="55"/>
        <v>83068.292791193177</v>
      </c>
      <c r="Q327" s="7">
        <v>0</v>
      </c>
      <c r="R327" s="7">
        <v>0</v>
      </c>
      <c r="S327" s="7">
        <f t="shared" si="56"/>
        <v>0</v>
      </c>
      <c r="T327" s="7">
        <v>6329.3641069673758</v>
      </c>
      <c r="U327" s="7">
        <f t="shared" si="54"/>
        <v>443881.80280115275</v>
      </c>
      <c r="V327" s="7">
        <f t="shared" si="57"/>
        <v>70.130552658919854</v>
      </c>
      <c r="W327" s="14" t="s">
        <v>10</v>
      </c>
      <c r="X327" s="7">
        <v>157176.25</v>
      </c>
      <c r="Y327" s="7">
        <v>1077531.8181818181</v>
      </c>
      <c r="Z327" s="7">
        <v>1165545.4545454546</v>
      </c>
      <c r="AA327" s="7">
        <v>0</v>
      </c>
      <c r="AB327" s="7">
        <v>3756</v>
      </c>
      <c r="AC327" s="7">
        <v>1523</v>
      </c>
      <c r="AD327" s="7">
        <v>1156019.04</v>
      </c>
      <c r="AE327" s="7">
        <v>150000</v>
      </c>
      <c r="AF327" s="7">
        <v>11214.165119132995</v>
      </c>
      <c r="AG327" s="7">
        <f t="shared" si="51"/>
        <v>194180.80946363637</v>
      </c>
      <c r="AH327" s="1">
        <f t="shared" si="58"/>
        <v>17.315672401892471</v>
      </c>
    </row>
    <row r="328" spans="1:34" x14ac:dyDescent="0.25">
      <c r="A328" s="13" t="s">
        <v>0</v>
      </c>
      <c r="B328" s="19">
        <v>45984</v>
      </c>
      <c r="C328" s="7">
        <v>14370</v>
      </c>
      <c r="D328" s="7">
        <v>31566</v>
      </c>
      <c r="E328" s="7">
        <v>0</v>
      </c>
      <c r="F328" s="7">
        <v>5501</v>
      </c>
      <c r="G328" s="7">
        <v>10242</v>
      </c>
      <c r="H328" s="7">
        <v>4488</v>
      </c>
      <c r="I328" s="7">
        <v>0</v>
      </c>
      <c r="J328" s="2">
        <v>24.54999923706055</v>
      </c>
      <c r="K328" s="23">
        <f t="shared" si="53"/>
        <v>155688.70000000001</v>
      </c>
      <c r="L328" s="23">
        <f t="shared" si="49"/>
        <v>15.201005662956455</v>
      </c>
      <c r="M328" s="13" t="s">
        <v>9</v>
      </c>
      <c r="N328" s="7">
        <v>114550.45180246234</v>
      </c>
      <c r="O328" s="7">
        <v>73399.90234375</v>
      </c>
      <c r="P328" s="7">
        <f t="shared" si="55"/>
        <v>83408.979936079544</v>
      </c>
      <c r="Q328" s="7">
        <v>0</v>
      </c>
      <c r="R328" s="7">
        <v>0</v>
      </c>
      <c r="S328" s="7">
        <f t="shared" si="56"/>
        <v>0</v>
      </c>
      <c r="T328" s="7">
        <v>6686.9114987681678</v>
      </c>
      <c r="U328" s="7">
        <f t="shared" si="54"/>
        <v>445727.59084024816</v>
      </c>
      <c r="V328" s="7">
        <f t="shared" si="57"/>
        <v>66.656720508766725</v>
      </c>
      <c r="W328" s="14" t="s">
        <v>10</v>
      </c>
      <c r="X328" s="7">
        <v>159023.4375</v>
      </c>
      <c r="Y328" s="7">
        <v>977768.18181818177</v>
      </c>
      <c r="Z328" s="7">
        <v>1059909.0909090908</v>
      </c>
      <c r="AA328" s="7">
        <v>0</v>
      </c>
      <c r="AB328" s="7">
        <v>3683</v>
      </c>
      <c r="AC328" s="7">
        <v>0</v>
      </c>
      <c r="AD328" s="7">
        <v>1066740.8399999999</v>
      </c>
      <c r="AE328" s="7">
        <v>175000</v>
      </c>
      <c r="AF328" s="7">
        <v>9996.7031897735596</v>
      </c>
      <c r="AG328" s="7">
        <f t="shared" si="51"/>
        <v>188357.01856590909</v>
      </c>
      <c r="AH328" s="1">
        <f t="shared" si="58"/>
        <v>18.841913677960829</v>
      </c>
    </row>
    <row r="329" spans="1:34" x14ac:dyDescent="0.25">
      <c r="A329" s="13" t="s">
        <v>0</v>
      </c>
      <c r="B329" s="19">
        <v>45985</v>
      </c>
      <c r="C329" s="7">
        <v>14325</v>
      </c>
      <c r="D329" s="7">
        <v>38465</v>
      </c>
      <c r="E329" s="7">
        <v>0</v>
      </c>
      <c r="F329" s="7">
        <v>5563</v>
      </c>
      <c r="G329" s="7">
        <v>10168</v>
      </c>
      <c r="H329" s="7">
        <v>5853</v>
      </c>
      <c r="I329" s="7">
        <v>0</v>
      </c>
      <c r="J329" s="2">
        <v>20.25</v>
      </c>
      <c r="K329" s="23">
        <f t="shared" si="53"/>
        <v>159306.15</v>
      </c>
      <c r="L329" s="23">
        <f t="shared" ref="L329:L392" si="59">K329/G329</f>
        <v>15.667402635719904</v>
      </c>
      <c r="M329" s="13" t="s">
        <v>9</v>
      </c>
      <c r="N329" s="7">
        <v>113717.63758544624</v>
      </c>
      <c r="O329" s="7">
        <v>70200.1953125</v>
      </c>
      <c r="P329" s="7">
        <f t="shared" si="55"/>
        <v>79772.94921875</v>
      </c>
      <c r="Q329" s="7">
        <v>0</v>
      </c>
      <c r="R329" s="7">
        <v>0</v>
      </c>
      <c r="S329" s="7">
        <f t="shared" si="56"/>
        <v>0</v>
      </c>
      <c r="T329" s="7">
        <v>6916.5407660948986</v>
      </c>
      <c r="U329" s="7">
        <f t="shared" si="54"/>
        <v>428502.28151403653</v>
      </c>
      <c r="V329" s="7">
        <f t="shared" si="57"/>
        <v>61.953264790192264</v>
      </c>
      <c r="W329" s="14" t="s">
        <v>10</v>
      </c>
      <c r="X329" s="7">
        <v>67101.5625</v>
      </c>
      <c r="Y329" s="7">
        <v>784412.72727272729</v>
      </c>
      <c r="Z329" s="7">
        <v>860727.27272727271</v>
      </c>
      <c r="AA329" s="7">
        <v>4967</v>
      </c>
      <c r="AB329" s="7">
        <v>4037</v>
      </c>
      <c r="AC329" s="7">
        <v>0</v>
      </c>
      <c r="AD329" s="7">
        <v>851297.04</v>
      </c>
      <c r="AE329" s="7">
        <v>162500</v>
      </c>
      <c r="AF329" s="7">
        <v>8200.6368928527827</v>
      </c>
      <c r="AG329" s="7">
        <f t="shared" si="51"/>
        <v>140630.81917954545</v>
      </c>
      <c r="AH329" s="1">
        <f t="shared" si="58"/>
        <v>17.148767957536496</v>
      </c>
    </row>
    <row r="330" spans="1:34" x14ac:dyDescent="0.25">
      <c r="A330" s="13" t="s">
        <v>0</v>
      </c>
      <c r="B330" s="19">
        <v>45986</v>
      </c>
      <c r="C330" s="8">
        <v>13951</v>
      </c>
      <c r="D330" s="8">
        <v>39005</v>
      </c>
      <c r="E330" s="8">
        <v>0</v>
      </c>
      <c r="F330" s="7">
        <v>5668</v>
      </c>
      <c r="G330" s="8">
        <v>12272</v>
      </c>
      <c r="H330" s="8">
        <v>4720</v>
      </c>
      <c r="I330" s="8">
        <v>0</v>
      </c>
      <c r="J330" s="2">
        <v>19.35000038146973</v>
      </c>
      <c r="K330" s="23">
        <f t="shared" si="53"/>
        <v>157216.606</v>
      </c>
      <c r="L330" s="23">
        <f t="shared" si="59"/>
        <v>12.811001140808344</v>
      </c>
      <c r="M330" s="13" t="s">
        <v>9</v>
      </c>
      <c r="N330" s="7">
        <v>114974.15965597332</v>
      </c>
      <c r="O330" s="7">
        <v>72000</v>
      </c>
      <c r="P330" s="7">
        <f t="shared" si="55"/>
        <v>81818.181818181823</v>
      </c>
      <c r="Q330" s="7">
        <v>0</v>
      </c>
      <c r="R330" s="7">
        <v>0</v>
      </c>
      <c r="S330" s="7">
        <f t="shared" si="56"/>
        <v>0</v>
      </c>
      <c r="T330" s="7">
        <v>6747.7124144397094</v>
      </c>
      <c r="U330" s="7">
        <f t="shared" si="54"/>
        <v>438609.03189039318</v>
      </c>
      <c r="V330" s="7">
        <f t="shared" si="57"/>
        <v>65.001144825288577</v>
      </c>
      <c r="W330" s="14" t="s">
        <v>10</v>
      </c>
      <c r="X330" s="8">
        <v>140185.15625002328</v>
      </c>
      <c r="Y330" s="8">
        <v>766996.36363636365</v>
      </c>
      <c r="Z330" s="8">
        <v>829363.63636363624</v>
      </c>
      <c r="AA330" s="8">
        <v>5005</v>
      </c>
      <c r="AB330" s="8">
        <v>3255</v>
      </c>
      <c r="AC330" s="8">
        <v>0</v>
      </c>
      <c r="AD330" s="8">
        <v>806390.6399999999</v>
      </c>
      <c r="AE330" s="8">
        <v>87500</v>
      </c>
      <c r="AF330" s="8">
        <v>7985.2776493835445</v>
      </c>
      <c r="AG330" s="7">
        <f t="shared" si="51"/>
        <v>170020.52513978505</v>
      </c>
      <c r="AH330" s="1">
        <f t="shared" si="58"/>
        <v>21.291748716202807</v>
      </c>
    </row>
    <row r="331" spans="1:34" x14ac:dyDescent="0.25">
      <c r="A331" s="13" t="s">
        <v>0</v>
      </c>
      <c r="B331" s="19">
        <v>45987</v>
      </c>
      <c r="C331" s="9">
        <v>7848</v>
      </c>
      <c r="D331" s="9">
        <v>33424</v>
      </c>
      <c r="E331" s="9">
        <v>0</v>
      </c>
      <c r="F331" s="7">
        <v>5524</v>
      </c>
      <c r="G331" s="9">
        <v>9430</v>
      </c>
      <c r="H331" s="9">
        <v>3476</v>
      </c>
      <c r="I331" s="9">
        <v>0</v>
      </c>
      <c r="J331" s="2">
        <v>21.35000038146973</v>
      </c>
      <c r="K331" s="23">
        <f t="shared" si="53"/>
        <v>106203.808</v>
      </c>
      <c r="L331" s="23">
        <f t="shared" si="59"/>
        <v>11.262333828207847</v>
      </c>
      <c r="M331" s="13" t="s">
        <v>9</v>
      </c>
      <c r="N331" s="9">
        <v>114149.84186901152</v>
      </c>
      <c r="O331" s="9">
        <v>73600.09765625</v>
      </c>
      <c r="P331" s="7">
        <f t="shared" si="55"/>
        <v>83636.474609375</v>
      </c>
      <c r="Q331" s="9">
        <v>0</v>
      </c>
      <c r="R331" s="9">
        <v>0</v>
      </c>
      <c r="S331" s="7">
        <f t="shared" si="56"/>
        <v>0</v>
      </c>
      <c r="T331" s="9">
        <v>7146.2988337264978</v>
      </c>
      <c r="U331" s="7">
        <f t="shared" si="54"/>
        <v>446565.3829874511</v>
      </c>
      <c r="V331" s="7">
        <f t="shared" si="57"/>
        <v>62.489044102090233</v>
      </c>
      <c r="W331" s="14" t="s">
        <v>10</v>
      </c>
      <c r="X331" s="9">
        <v>157353.125</v>
      </c>
      <c r="Y331" s="9">
        <v>1221090</v>
      </c>
      <c r="Z331" s="9">
        <v>1333545.4545454546</v>
      </c>
      <c r="AA331" s="9">
        <v>4971</v>
      </c>
      <c r="AB331" s="9">
        <v>3970</v>
      </c>
      <c r="AC331" s="9">
        <v>0</v>
      </c>
      <c r="AD331" s="9">
        <v>1288920.6000000001</v>
      </c>
      <c r="AE331" s="9">
        <v>150000</v>
      </c>
      <c r="AF331" s="9">
        <v>12706.876760559082</v>
      </c>
      <c r="AG331" s="7">
        <f t="shared" si="51"/>
        <v>221718.48479545454</v>
      </c>
      <c r="AH331" s="1">
        <f t="shared" si="58"/>
        <v>17.448700335525981</v>
      </c>
    </row>
    <row r="332" spans="1:34" x14ac:dyDescent="0.25">
      <c r="A332" s="13" t="s">
        <v>0</v>
      </c>
      <c r="B332" s="19">
        <v>45988</v>
      </c>
      <c r="C332" s="10">
        <v>15819</v>
      </c>
      <c r="D332" s="10">
        <v>28933</v>
      </c>
      <c r="E332" s="10">
        <v>0</v>
      </c>
      <c r="F332" s="7">
        <v>5600</v>
      </c>
      <c r="G332" s="10">
        <v>10546</v>
      </c>
      <c r="H332" s="10">
        <v>7473</v>
      </c>
      <c r="I332" s="10">
        <v>0</v>
      </c>
      <c r="J332" s="2">
        <v>22.25</v>
      </c>
      <c r="K332" s="23">
        <f t="shared" si="53"/>
        <v>166026.65400000001</v>
      </c>
      <c r="L332" s="23">
        <f t="shared" si="59"/>
        <v>15.743092546937229</v>
      </c>
      <c r="M332" s="13" t="s">
        <v>9</v>
      </c>
      <c r="N332" s="10">
        <v>113943.58449470997</v>
      </c>
      <c r="O332" s="10">
        <v>73399.90234375</v>
      </c>
      <c r="P332" s="7">
        <f t="shared" si="55"/>
        <v>83408.979936079544</v>
      </c>
      <c r="Q332" s="10">
        <v>0</v>
      </c>
      <c r="R332" s="10">
        <v>0</v>
      </c>
      <c r="S332" s="7">
        <f t="shared" si="56"/>
        <v>0</v>
      </c>
      <c r="T332" s="10">
        <v>6037.3909308681614</v>
      </c>
      <c r="U332" s="7">
        <f t="shared" si="54"/>
        <v>445405.9511671394</v>
      </c>
      <c r="V332" s="7">
        <f t="shared" si="57"/>
        <v>73.774575187744418</v>
      </c>
      <c r="W332" s="14" t="s">
        <v>10</v>
      </c>
      <c r="X332" s="10">
        <v>93438.28125</v>
      </c>
      <c r="Y332" s="10">
        <v>551828.18181818188</v>
      </c>
      <c r="Z332" s="10">
        <v>598454.54545454541</v>
      </c>
      <c r="AA332" s="10">
        <v>4303</v>
      </c>
      <c r="AB332" s="10">
        <v>3944</v>
      </c>
      <c r="AC332" s="10">
        <v>0</v>
      </c>
      <c r="AD332" s="10">
        <v>598858.92000000004</v>
      </c>
      <c r="AE332" s="10">
        <v>50000</v>
      </c>
      <c r="AF332" s="10">
        <v>5768.9575521850584</v>
      </c>
      <c r="AG332" s="7">
        <f t="shared" si="51"/>
        <v>128261.82149886363</v>
      </c>
      <c r="AH332" s="1">
        <f t="shared" si="58"/>
        <v>22.233101966625323</v>
      </c>
    </row>
    <row r="333" spans="1:34" x14ac:dyDescent="0.25">
      <c r="A333" s="13" t="s">
        <v>0</v>
      </c>
      <c r="B333" s="19">
        <v>45989</v>
      </c>
      <c r="C333" s="7">
        <v>16118</v>
      </c>
      <c r="D333" s="7">
        <v>29570</v>
      </c>
      <c r="E333" s="7">
        <v>0</v>
      </c>
      <c r="F333" s="7">
        <v>5567</v>
      </c>
      <c r="G333" s="7">
        <v>9840</v>
      </c>
      <c r="H333" s="7">
        <v>3900</v>
      </c>
      <c r="I333" s="7">
        <v>0</v>
      </c>
      <c r="J333" s="2">
        <v>20.20000076293945</v>
      </c>
      <c r="K333" s="23">
        <f t="shared" si="53"/>
        <v>168518.30799999999</v>
      </c>
      <c r="L333" s="23">
        <f t="shared" si="59"/>
        <v>17.125844308943087</v>
      </c>
      <c r="M333" s="13" t="s">
        <v>9</v>
      </c>
      <c r="N333" s="7">
        <v>112521.60805752873</v>
      </c>
      <c r="O333" s="7">
        <v>67899.90234375</v>
      </c>
      <c r="P333" s="7">
        <f t="shared" si="55"/>
        <v>77158.979936079544</v>
      </c>
      <c r="Q333" s="7">
        <v>0</v>
      </c>
      <c r="R333" s="7">
        <v>0</v>
      </c>
      <c r="S333" s="7">
        <f t="shared" si="56"/>
        <v>0</v>
      </c>
      <c r="T333" s="7">
        <v>5929.4514544290141</v>
      </c>
      <c r="U333" s="7">
        <f t="shared" si="54"/>
        <v>415802.30365543341</v>
      </c>
      <c r="V333" s="7">
        <f t="shared" si="57"/>
        <v>70.124919117914217</v>
      </c>
      <c r="W333" s="14" t="s">
        <v>10</v>
      </c>
      <c r="X333" s="7">
        <v>144885.15625</v>
      </c>
      <c r="Y333" s="7">
        <v>1035512.7272727272</v>
      </c>
      <c r="Z333" s="7">
        <v>1110545.4545454546</v>
      </c>
      <c r="AA333" s="7">
        <v>4697</v>
      </c>
      <c r="AB333" s="7">
        <v>3454</v>
      </c>
      <c r="AC333" s="7">
        <v>0</v>
      </c>
      <c r="AD333" s="7">
        <v>1083527.28</v>
      </c>
      <c r="AE333" s="7">
        <v>75000</v>
      </c>
      <c r="AF333" s="7">
        <v>10727.070166816711</v>
      </c>
      <c r="AG333" s="7">
        <f t="shared" si="51"/>
        <v>192827.60928522726</v>
      </c>
      <c r="AH333" s="1">
        <f t="shared" si="58"/>
        <v>17.975794535373062</v>
      </c>
    </row>
    <row r="334" spans="1:34" x14ac:dyDescent="0.25">
      <c r="A334" s="13" t="s">
        <v>0</v>
      </c>
      <c r="B334" s="19">
        <v>45990</v>
      </c>
      <c r="C334" s="7">
        <v>14787</v>
      </c>
      <c r="D334" s="7">
        <v>27025</v>
      </c>
      <c r="E334" s="7">
        <v>0</v>
      </c>
      <c r="F334" s="7">
        <v>4443</v>
      </c>
      <c r="G334" s="7">
        <v>9673</v>
      </c>
      <c r="H334" s="7">
        <v>3086</v>
      </c>
      <c r="I334" s="7">
        <v>0</v>
      </c>
      <c r="J334" s="2">
        <v>18.39999961853027</v>
      </c>
      <c r="K334" s="23">
        <f t="shared" si="53"/>
        <v>151226.22200000001</v>
      </c>
      <c r="L334" s="23">
        <f t="shared" si="59"/>
        <v>15.63384906440608</v>
      </c>
      <c r="M334" s="13" t="s">
        <v>9</v>
      </c>
      <c r="N334" s="7">
        <v>113775.5454275161</v>
      </c>
      <c r="O334" s="7">
        <v>77500</v>
      </c>
      <c r="P334" s="7">
        <f t="shared" si="55"/>
        <v>88068.181818181823</v>
      </c>
      <c r="Q334" s="7">
        <v>0</v>
      </c>
      <c r="R334" s="7">
        <v>0</v>
      </c>
      <c r="S334" s="7">
        <f t="shared" si="56"/>
        <v>0</v>
      </c>
      <c r="T334" s="7">
        <v>5631.0584619204747</v>
      </c>
      <c r="U334" s="7">
        <f>N334*0.53+P334*4.616+Q334*3.73+S334*8.66</f>
        <v>466823.76634931081</v>
      </c>
      <c r="V334" s="7">
        <f t="shared" si="57"/>
        <v>82.901601804734312</v>
      </c>
      <c r="W334" s="14" t="s">
        <v>10</v>
      </c>
      <c r="X334" s="7">
        <v>158158.59375</v>
      </c>
      <c r="Y334" s="7">
        <v>1063920</v>
      </c>
      <c r="Z334" s="7">
        <v>1160727.2727272727</v>
      </c>
      <c r="AA334" s="7">
        <v>4692</v>
      </c>
      <c r="AB334" s="7">
        <v>3704</v>
      </c>
      <c r="AC334" s="7">
        <v>0</v>
      </c>
      <c r="AD334" s="7">
        <v>1154308.32</v>
      </c>
      <c r="AE334" s="7">
        <v>100000</v>
      </c>
      <c r="AF334" s="7">
        <v>11085.565720329285</v>
      </c>
      <c r="AG334" s="7">
        <f>X334*0.53+Y334*0.0285+Z334*0.032+AA334*3+AB334*5+AD334*0.015+AE334*0.045</f>
        <v>205699.67221477273</v>
      </c>
      <c r="AH334" s="1">
        <f t="shared" si="58"/>
        <v>18.555631476483875</v>
      </c>
    </row>
    <row r="335" spans="1:34" x14ac:dyDescent="0.25">
      <c r="A335" s="13" t="s">
        <v>0</v>
      </c>
      <c r="B335" s="19">
        <v>45991</v>
      </c>
      <c r="C335" s="7">
        <v>11565</v>
      </c>
      <c r="D335" s="7">
        <v>31607</v>
      </c>
      <c r="E335" s="7">
        <v>0</v>
      </c>
      <c r="F335" s="7">
        <v>5488</v>
      </c>
      <c r="G335" s="7">
        <v>9028</v>
      </c>
      <c r="H335" s="7">
        <v>5143</v>
      </c>
      <c r="I335" s="7">
        <v>0</v>
      </c>
      <c r="J335" s="2">
        <v>15.14999961853027</v>
      </c>
      <c r="K335" s="23">
        <f>C335*7.756+D335*0.53+E335*7.2+F335*5</f>
        <v>133889.85</v>
      </c>
      <c r="L335" s="23">
        <f t="shared" si="59"/>
        <v>14.830510633584405</v>
      </c>
      <c r="M335" s="13" t="s">
        <v>9</v>
      </c>
      <c r="N335" s="7">
        <v>114488.15665984154</v>
      </c>
      <c r="O335" s="7">
        <v>76299.8046875</v>
      </c>
      <c r="P335" s="7">
        <f t="shared" si="55"/>
        <v>86704.323508522721</v>
      </c>
      <c r="Q335" s="7">
        <v>0</v>
      </c>
      <c r="R335" s="7">
        <v>0</v>
      </c>
      <c r="S335" s="7">
        <f t="shared" si="56"/>
        <v>0</v>
      </c>
      <c r="T335" s="7">
        <v>6058.3149124131305</v>
      </c>
      <c r="U335" s="7">
        <f t="shared" si="54"/>
        <v>460905.88034505682</v>
      </c>
      <c r="V335" s="7">
        <f t="shared" si="57"/>
        <v>76.078230829613659</v>
      </c>
      <c r="W335" s="14" t="s">
        <v>10</v>
      </c>
      <c r="X335" s="8">
        <v>146675</v>
      </c>
      <c r="Y335" s="8">
        <v>973625.4545454547</v>
      </c>
      <c r="Z335" s="8">
        <v>1052818.1818181819</v>
      </c>
      <c r="AA335" s="8">
        <v>4685</v>
      </c>
      <c r="AB335" s="8">
        <v>3836</v>
      </c>
      <c r="AC335" s="8">
        <v>0</v>
      </c>
      <c r="AD335" s="8">
        <v>1032098.76</v>
      </c>
      <c r="AE335" s="8">
        <v>87500</v>
      </c>
      <c r="AF335" s="8">
        <v>10031.040830917358</v>
      </c>
      <c r="AG335" s="7">
        <f t="shared" si="51"/>
        <v>191830.23867272725</v>
      </c>
      <c r="AH335" s="1">
        <f t="shared" si="58"/>
        <v>19.123662430071477</v>
      </c>
    </row>
    <row r="336" spans="1:34" x14ac:dyDescent="0.25">
      <c r="A336" s="13" t="s">
        <v>0</v>
      </c>
      <c r="B336" s="19">
        <v>45992</v>
      </c>
      <c r="C336" s="7">
        <v>16648</v>
      </c>
      <c r="D336" s="7">
        <v>37486</v>
      </c>
      <c r="E336" s="7">
        <v>26000</v>
      </c>
      <c r="F336" s="7">
        <v>2301</v>
      </c>
      <c r="G336" s="7">
        <v>9147</v>
      </c>
      <c r="H336" s="7">
        <v>6718</v>
      </c>
      <c r="I336" s="7">
        <v>106122</v>
      </c>
      <c r="J336" s="2">
        <v>17.35000038146973</v>
      </c>
      <c r="K336" s="23">
        <f>C336*7.7+D336*0.52+E336*6.9+F336*5</f>
        <v>338587.32</v>
      </c>
      <c r="L336" s="23">
        <f t="shared" si="59"/>
        <v>37.01621515250902</v>
      </c>
      <c r="M336" s="13" t="s">
        <v>9</v>
      </c>
      <c r="N336" s="7">
        <v>115093.18533855677</v>
      </c>
      <c r="O336" s="7">
        <v>78800.29296875</v>
      </c>
      <c r="P336" s="7">
        <f t="shared" si="55"/>
        <v>89545.787464488632</v>
      </c>
      <c r="Q336" s="7">
        <v>0</v>
      </c>
      <c r="R336" s="7">
        <v>0</v>
      </c>
      <c r="S336" s="7">
        <f t="shared" si="56"/>
        <v>0</v>
      </c>
      <c r="T336" s="7">
        <v>6182.1285045337863</v>
      </c>
      <c r="U336" s="7">
        <f>N336*0.52+P336*4.456+Q336*3.98+S336*8.79</f>
        <v>458864.4853178109</v>
      </c>
      <c r="V336" s="7">
        <f t="shared" si="57"/>
        <v>74.224352499514296</v>
      </c>
      <c r="W336" s="14" t="s">
        <v>10</v>
      </c>
      <c r="X336" s="7">
        <v>145820</v>
      </c>
      <c r="Y336" s="7">
        <v>744676.36363636365</v>
      </c>
      <c r="Z336" s="7">
        <v>805363.63636363624</v>
      </c>
      <c r="AA336" s="7">
        <v>4675</v>
      </c>
      <c r="AB336" s="7">
        <v>4190</v>
      </c>
      <c r="AC336" s="7">
        <v>0</v>
      </c>
      <c r="AD336" s="7">
        <v>789390.3600000001</v>
      </c>
      <c r="AE336" s="7">
        <v>75000</v>
      </c>
      <c r="AF336" s="7">
        <v>7677.1812552642823</v>
      </c>
      <c r="AG336" s="7">
        <f>X336*0.52+Y336*0.0285+Z336*0.032+AA336*3+AB336*5+AD336*0.015+AE336*0.045</f>
        <v>173012.16812727274</v>
      </c>
      <c r="AH336" s="1">
        <f t="shared" si="58"/>
        <v>22.535897274619824</v>
      </c>
    </row>
    <row r="337" spans="1:34" x14ac:dyDescent="0.25">
      <c r="A337" s="13" t="s">
        <v>0</v>
      </c>
      <c r="B337" s="19">
        <v>45993</v>
      </c>
      <c r="C337" s="7">
        <v>16253</v>
      </c>
      <c r="D337" s="7">
        <v>37299</v>
      </c>
      <c r="E337" s="7">
        <v>12500</v>
      </c>
      <c r="F337" s="7">
        <v>2517</v>
      </c>
      <c r="G337" s="7">
        <v>12431</v>
      </c>
      <c r="H337" s="7">
        <v>6989</v>
      </c>
      <c r="I337" s="7">
        <v>52083</v>
      </c>
      <c r="J337" s="2">
        <v>17.04999923706055</v>
      </c>
      <c r="K337" s="23">
        <f t="shared" ref="K337:K366" si="60">C337*7.7+D337*0.52+E337*6.9+F337*5</f>
        <v>243378.58000000002</v>
      </c>
      <c r="L337" s="23">
        <f t="shared" si="59"/>
        <v>19.578358941356289</v>
      </c>
      <c r="M337" s="13" t="s">
        <v>9</v>
      </c>
      <c r="N337" s="7">
        <v>115083.70731727779</v>
      </c>
      <c r="O337" s="7">
        <v>75199.70703125</v>
      </c>
      <c r="P337" s="7">
        <f t="shared" si="55"/>
        <v>85454.212535511368</v>
      </c>
      <c r="Q337" s="7">
        <v>0</v>
      </c>
      <c r="R337" s="7">
        <v>0</v>
      </c>
      <c r="S337" s="7">
        <f t="shared" si="56"/>
        <v>0</v>
      </c>
      <c r="T337" s="7">
        <v>5868.8183057951392</v>
      </c>
      <c r="U337" s="7">
        <f t="shared" ref="U337:U366" si="61">N337*0.52+P337*4.456+Q337*3.98+S337*8.79</f>
        <v>440627.49886322313</v>
      </c>
      <c r="V337" s="7">
        <f t="shared" si="57"/>
        <v>75.079424153943805</v>
      </c>
      <c r="W337" s="14" t="s">
        <v>10</v>
      </c>
      <c r="X337" s="7">
        <v>109680</v>
      </c>
      <c r="Y337" s="7">
        <v>688453.63636363635</v>
      </c>
      <c r="Z337" s="7">
        <v>748181.81818181812</v>
      </c>
      <c r="AA337" s="7">
        <v>4256</v>
      </c>
      <c r="AB337" s="7">
        <v>3521</v>
      </c>
      <c r="AC337" s="7">
        <v>0</v>
      </c>
      <c r="AD337" s="7">
        <v>734968.08000000007</v>
      </c>
      <c r="AE337" s="7">
        <v>100000</v>
      </c>
      <c r="AF337" s="7">
        <v>7123.469378185272</v>
      </c>
      <c r="AG337" s="7">
        <f t="shared" ref="AG337:AG397" si="62">X337*0.52+Y337*0.0285+Z337*0.032+AA337*3+AB337*5+AD337*0.015+AE337*0.045</f>
        <v>146493.86801818182</v>
      </c>
      <c r="AH337" s="1">
        <f t="shared" si="58"/>
        <v>20.564960729220068</v>
      </c>
    </row>
    <row r="338" spans="1:34" x14ac:dyDescent="0.25">
      <c r="A338" s="13" t="s">
        <v>0</v>
      </c>
      <c r="B338" s="19">
        <v>45994</v>
      </c>
      <c r="C338" s="7">
        <v>16717</v>
      </c>
      <c r="D338" s="7">
        <v>40350</v>
      </c>
      <c r="E338" s="7">
        <v>0</v>
      </c>
      <c r="F338" s="7">
        <v>2440</v>
      </c>
      <c r="G338" s="7">
        <v>12844</v>
      </c>
      <c r="H338" s="7">
        <v>7189</v>
      </c>
      <c r="I338" s="7">
        <v>0</v>
      </c>
      <c r="J338" s="2">
        <v>17.20000076293945</v>
      </c>
      <c r="K338" s="23">
        <f t="shared" si="60"/>
        <v>161902.90000000002</v>
      </c>
      <c r="L338" s="23">
        <f t="shared" si="59"/>
        <v>12.605333229523515</v>
      </c>
      <c r="M338" s="13" t="s">
        <v>9</v>
      </c>
      <c r="N338" s="7">
        <v>113197.9830853492</v>
      </c>
      <c r="O338" s="7">
        <v>75200.1953125</v>
      </c>
      <c r="P338" s="7">
        <f t="shared" si="55"/>
        <v>85454.767400568177</v>
      </c>
      <c r="Q338" s="7">
        <v>0</v>
      </c>
      <c r="R338" s="7">
        <v>0</v>
      </c>
      <c r="S338" s="7">
        <f t="shared" si="56"/>
        <v>0</v>
      </c>
      <c r="T338" s="7">
        <v>6414.9510252344189</v>
      </c>
      <c r="U338" s="7">
        <f t="shared" si="61"/>
        <v>439649.39474131342</v>
      </c>
      <c r="V338" s="7">
        <f t="shared" si="57"/>
        <v>68.535113208482755</v>
      </c>
      <c r="W338" s="14" t="s">
        <v>10</v>
      </c>
      <c r="X338" s="7">
        <v>41908.85416662693</v>
      </c>
      <c r="Y338" s="7">
        <v>47768.181818181823</v>
      </c>
      <c r="Z338" s="7">
        <v>51181.818181818177</v>
      </c>
      <c r="AA338" s="7">
        <v>2817</v>
      </c>
      <c r="AB338" s="7">
        <v>3224</v>
      </c>
      <c r="AC338" s="7">
        <v>0</v>
      </c>
      <c r="AD338" s="7">
        <v>52818.48</v>
      </c>
      <c r="AE338" s="7">
        <v>0</v>
      </c>
      <c r="AF338" s="7">
        <v>502.25279846191404</v>
      </c>
      <c r="AG338" s="7">
        <f t="shared" si="62"/>
        <v>50155.092730282362</v>
      </c>
      <c r="AH338" s="1">
        <f t="shared" si="58"/>
        <v>99.860255401017213</v>
      </c>
    </row>
    <row r="339" spans="1:34" x14ac:dyDescent="0.25">
      <c r="A339" s="13" t="s">
        <v>0</v>
      </c>
      <c r="B339" s="19">
        <v>45995</v>
      </c>
      <c r="C339" s="7">
        <v>12696</v>
      </c>
      <c r="D339" s="7">
        <v>39894</v>
      </c>
      <c r="E339" s="7">
        <v>17500</v>
      </c>
      <c r="F339" s="7">
        <v>2920</v>
      </c>
      <c r="G339" s="7">
        <v>10165</v>
      </c>
      <c r="H339" s="7">
        <v>5332</v>
      </c>
      <c r="I339" s="7">
        <v>71428</v>
      </c>
      <c r="J339" s="2">
        <v>18.75</v>
      </c>
      <c r="K339" s="23">
        <f t="shared" si="60"/>
        <v>253854.08000000002</v>
      </c>
      <c r="L339" s="23">
        <f t="shared" si="59"/>
        <v>24.973347761928185</v>
      </c>
      <c r="M339" s="13" t="s">
        <v>9</v>
      </c>
      <c r="N339" s="7">
        <v>112629.25781409442</v>
      </c>
      <c r="O339" s="7">
        <v>74299.8046875</v>
      </c>
      <c r="P339" s="7">
        <f t="shared" si="55"/>
        <v>84431.596235795456</v>
      </c>
      <c r="Q339" s="7">
        <v>0</v>
      </c>
      <c r="R339" s="7">
        <v>0</v>
      </c>
      <c r="S339" s="7">
        <f t="shared" si="56"/>
        <v>0</v>
      </c>
      <c r="T339" s="7">
        <v>5564.0629576247302</v>
      </c>
      <c r="U339" s="7">
        <f t="shared" si="61"/>
        <v>434794.40689003369</v>
      </c>
      <c r="V339" s="7">
        <f t="shared" si="57"/>
        <v>78.143329829546929</v>
      </c>
      <c r="W339" s="14" t="s">
        <v>10</v>
      </c>
      <c r="X339" s="7">
        <v>154599.73958337307</v>
      </c>
      <c r="Y339" s="7">
        <v>1037880</v>
      </c>
      <c r="Z339" s="7">
        <v>1123000</v>
      </c>
      <c r="AA339" s="7">
        <v>4996</v>
      </c>
      <c r="AB339" s="7">
        <v>3730</v>
      </c>
      <c r="AC339" s="7">
        <v>0</v>
      </c>
      <c r="AD339" s="7">
        <v>1136025</v>
      </c>
      <c r="AE339" s="7">
        <v>50000</v>
      </c>
      <c r="AF339" s="7">
        <v>10744.803977966309</v>
      </c>
      <c r="AG339" s="7">
        <f t="shared" si="62"/>
        <v>198835.81958335399</v>
      </c>
      <c r="AH339" s="1">
        <f t="shared" si="58"/>
        <v>18.505299863179829</v>
      </c>
    </row>
    <row r="340" spans="1:34" x14ac:dyDescent="0.25">
      <c r="A340" s="13" t="s">
        <v>0</v>
      </c>
      <c r="B340" s="19">
        <v>45996</v>
      </c>
      <c r="C340" s="8">
        <v>16617</v>
      </c>
      <c r="D340" s="8">
        <v>38353</v>
      </c>
      <c r="E340" s="8">
        <v>31100</v>
      </c>
      <c r="F340" s="7">
        <v>3796</v>
      </c>
      <c r="G340" s="8">
        <v>9106</v>
      </c>
      <c r="H340" s="8">
        <v>6985</v>
      </c>
      <c r="I340" s="8">
        <v>120400</v>
      </c>
      <c r="J340" s="2">
        <v>20.35000038146973</v>
      </c>
      <c r="K340" s="23">
        <f t="shared" si="60"/>
        <v>381464.46</v>
      </c>
      <c r="L340" s="23">
        <f t="shared" si="59"/>
        <v>41.89155062596091</v>
      </c>
      <c r="M340" s="13" t="s">
        <v>9</v>
      </c>
      <c r="N340" s="7">
        <v>111387.21871730685</v>
      </c>
      <c r="O340" s="7">
        <v>74600.09765625</v>
      </c>
      <c r="P340" s="7">
        <f t="shared" si="55"/>
        <v>84772.838245738632</v>
      </c>
      <c r="Q340" s="7">
        <v>0</v>
      </c>
      <c r="R340" s="7">
        <v>0</v>
      </c>
      <c r="S340" s="7">
        <f t="shared" si="56"/>
        <v>0</v>
      </c>
      <c r="T340" s="7">
        <v>6691.3559193899855</v>
      </c>
      <c r="U340" s="7">
        <f t="shared" si="61"/>
        <v>435669.12095601094</v>
      </c>
      <c r="V340" s="7">
        <f t="shared" si="57"/>
        <v>65.109243358815164</v>
      </c>
      <c r="W340" s="14" t="s">
        <v>10</v>
      </c>
      <c r="X340" s="8">
        <v>131505.46875</v>
      </c>
      <c r="Y340" s="8">
        <v>814341.81818181823</v>
      </c>
      <c r="Z340" s="8">
        <v>883363.63636363635</v>
      </c>
      <c r="AA340" s="8">
        <v>4993</v>
      </c>
      <c r="AB340" s="8">
        <v>3601</v>
      </c>
      <c r="AC340" s="8">
        <v>0</v>
      </c>
      <c r="AD340" s="8">
        <v>874071</v>
      </c>
      <c r="AE340" s="8">
        <v>112500</v>
      </c>
      <c r="AF340" s="8">
        <v>8416.4200431823738</v>
      </c>
      <c r="AG340" s="7">
        <f t="shared" si="62"/>
        <v>171016.78693181818</v>
      </c>
      <c r="AH340" s="1">
        <f t="shared" si="58"/>
        <v>20.319421565746161</v>
      </c>
    </row>
    <row r="341" spans="1:34" x14ac:dyDescent="0.25">
      <c r="A341" s="13" t="s">
        <v>0</v>
      </c>
      <c r="B341" s="19">
        <v>45997</v>
      </c>
      <c r="C341" s="7">
        <v>9902</v>
      </c>
      <c r="D341" s="7">
        <v>37810</v>
      </c>
      <c r="E341" s="7">
        <v>18000</v>
      </c>
      <c r="F341" s="7">
        <v>4131</v>
      </c>
      <c r="G341" s="7">
        <v>10060</v>
      </c>
      <c r="H341" s="7">
        <v>8190</v>
      </c>
      <c r="I341" s="7">
        <v>73469</v>
      </c>
      <c r="J341" s="2">
        <v>21.89999961853027</v>
      </c>
      <c r="K341" s="23">
        <f t="shared" si="60"/>
        <v>240761.60000000001</v>
      </c>
      <c r="L341" s="23">
        <f t="shared" si="59"/>
        <v>23.932564612326043</v>
      </c>
      <c r="M341" s="13" t="s">
        <v>9</v>
      </c>
      <c r="N341" s="7">
        <v>115596.25053307414</v>
      </c>
      <c r="O341" s="7">
        <v>72200.1953125</v>
      </c>
      <c r="P341" s="7">
        <f t="shared" si="55"/>
        <v>82045.676491477279</v>
      </c>
      <c r="Q341" s="7">
        <v>0</v>
      </c>
      <c r="R341" s="7">
        <v>0</v>
      </c>
      <c r="S341" s="7">
        <f t="shared" si="56"/>
        <v>0</v>
      </c>
      <c r="T341" s="7">
        <v>5766.7535690560471</v>
      </c>
      <c r="U341" s="7">
        <f t="shared" si="61"/>
        <v>425705.58472322131</v>
      </c>
      <c r="V341" s="7">
        <f t="shared" si="57"/>
        <v>73.820665236594209</v>
      </c>
      <c r="W341" s="14" t="s">
        <v>10</v>
      </c>
      <c r="X341" s="7">
        <v>58917.96875</v>
      </c>
      <c r="Y341" s="7">
        <v>233514.54545454547</v>
      </c>
      <c r="Z341" s="7">
        <v>254181.81818181818</v>
      </c>
      <c r="AA341" s="7">
        <v>3781</v>
      </c>
      <c r="AB341" s="7">
        <v>4022</v>
      </c>
      <c r="AC341" s="7">
        <v>0</v>
      </c>
      <c r="AD341" s="7">
        <v>251582.76</v>
      </c>
      <c r="AE341" s="7">
        <v>25000</v>
      </c>
      <c r="AF341" s="7">
        <v>2418.7729875564573</v>
      </c>
      <c r="AG341" s="7">
        <f t="shared" si="62"/>
        <v>81778.067877272726</v>
      </c>
      <c r="AH341" s="1">
        <f t="shared" si="58"/>
        <v>33.809732578454273</v>
      </c>
    </row>
    <row r="342" spans="1:34" x14ac:dyDescent="0.25">
      <c r="A342" s="13" t="s">
        <v>0</v>
      </c>
      <c r="B342" s="19">
        <v>45998</v>
      </c>
      <c r="C342" s="7">
        <v>14542</v>
      </c>
      <c r="D342" s="7">
        <v>35973</v>
      </c>
      <c r="E342" s="7">
        <v>0</v>
      </c>
      <c r="F342" s="7">
        <v>3761</v>
      </c>
      <c r="G342" s="7">
        <v>7468</v>
      </c>
      <c r="H342" s="7">
        <v>7068</v>
      </c>
      <c r="I342" s="7">
        <v>0</v>
      </c>
      <c r="J342" s="2">
        <v>22.25</v>
      </c>
      <c r="K342" s="23">
        <f t="shared" si="60"/>
        <v>149484.36000000002</v>
      </c>
      <c r="L342" s="23">
        <f t="shared" si="59"/>
        <v>20.016652383502947</v>
      </c>
      <c r="M342" s="13" t="s">
        <v>9</v>
      </c>
      <c r="N342" s="7">
        <v>113286.46498692036</v>
      </c>
      <c r="O342" s="7">
        <v>74699.70703125</v>
      </c>
      <c r="P342" s="7">
        <f t="shared" si="55"/>
        <v>84886.030717329544</v>
      </c>
      <c r="Q342" s="7">
        <v>0</v>
      </c>
      <c r="R342" s="7">
        <v>0</v>
      </c>
      <c r="S342" s="7">
        <f t="shared" si="56"/>
        <v>0</v>
      </c>
      <c r="T342" s="7">
        <v>5543.5167131231865</v>
      </c>
      <c r="U342" s="7">
        <f t="shared" si="61"/>
        <v>437161.11466961907</v>
      </c>
      <c r="V342" s="7">
        <f t="shared" si="57"/>
        <v>78.859889361337366</v>
      </c>
      <c r="W342" s="14" t="s">
        <v>10</v>
      </c>
      <c r="X342" s="7">
        <v>148920</v>
      </c>
      <c r="Y342" s="7">
        <v>1053520.9090909092</v>
      </c>
      <c r="Z342" s="7">
        <v>1146454.5454545454</v>
      </c>
      <c r="AA342" s="7">
        <v>2482</v>
      </c>
      <c r="AB342" s="7">
        <v>3937</v>
      </c>
      <c r="AC342" s="7">
        <v>0</v>
      </c>
      <c r="AD342" s="7">
        <v>1129609.8</v>
      </c>
      <c r="AE342" s="7">
        <v>99999.999999999985</v>
      </c>
      <c r="AF342" s="7">
        <v>10919.39926437378</v>
      </c>
      <c r="AG342" s="7">
        <f t="shared" si="62"/>
        <v>192725.43836363638</v>
      </c>
      <c r="AH342" s="1">
        <f t="shared" si="58"/>
        <v>17.649820626344599</v>
      </c>
    </row>
    <row r="343" spans="1:34" x14ac:dyDescent="0.25">
      <c r="A343" s="13" t="s">
        <v>0</v>
      </c>
      <c r="B343" s="19">
        <v>45999</v>
      </c>
      <c r="C343" s="7">
        <v>14002</v>
      </c>
      <c r="D343" s="7">
        <v>35785</v>
      </c>
      <c r="E343" s="7">
        <v>33750</v>
      </c>
      <c r="F343" s="7">
        <v>3729</v>
      </c>
      <c r="G343" s="7">
        <v>11101</v>
      </c>
      <c r="H343" s="7">
        <v>5317</v>
      </c>
      <c r="I343" s="7">
        <v>135000</v>
      </c>
      <c r="J343" s="2">
        <v>22.79999923706055</v>
      </c>
      <c r="K343" s="23">
        <f t="shared" si="60"/>
        <v>377943.6</v>
      </c>
      <c r="L343" s="23">
        <f t="shared" si="59"/>
        <v>34.045905774254571</v>
      </c>
      <c r="M343" s="13" t="s">
        <v>9</v>
      </c>
      <c r="N343" s="7">
        <v>114098.08756567538</v>
      </c>
      <c r="O343" s="7">
        <v>78600.09765625</v>
      </c>
      <c r="P343" s="7">
        <f t="shared" si="55"/>
        <v>89318.292791193177</v>
      </c>
      <c r="Q343" s="7">
        <v>0</v>
      </c>
      <c r="R343" s="7">
        <v>0</v>
      </c>
      <c r="S343" s="7">
        <f t="shared" si="56"/>
        <v>0</v>
      </c>
      <c r="T343" s="7">
        <v>6089.7798517107731</v>
      </c>
      <c r="U343" s="7">
        <f t="shared" si="61"/>
        <v>457333.31821170804</v>
      </c>
      <c r="V343" s="7">
        <f t="shared" si="57"/>
        <v>75.098497704023174</v>
      </c>
      <c r="W343" s="14" t="s">
        <v>10</v>
      </c>
      <c r="X343" s="7">
        <v>88218</v>
      </c>
      <c r="Y343" s="7">
        <v>356359.09090909088</v>
      </c>
      <c r="Z343" s="7">
        <v>381454.54545454541</v>
      </c>
      <c r="AA343" s="7">
        <v>2531</v>
      </c>
      <c r="AB343" s="7">
        <v>3733</v>
      </c>
      <c r="AC343" s="7">
        <v>0</v>
      </c>
      <c r="AD343" s="7">
        <v>380421.36</v>
      </c>
      <c r="AE343" s="7">
        <v>37500</v>
      </c>
      <c r="AF343" s="7">
        <v>3728.1034346961974</v>
      </c>
      <c r="AG343" s="7">
        <f t="shared" si="62"/>
        <v>101887.95994545454</v>
      </c>
      <c r="AH343" s="1">
        <f t="shared" si="58"/>
        <v>27.329703086351564</v>
      </c>
    </row>
    <row r="344" spans="1:34" x14ac:dyDescent="0.25">
      <c r="A344" s="13" t="s">
        <v>0</v>
      </c>
      <c r="B344" s="19">
        <v>46000</v>
      </c>
      <c r="C344" s="7">
        <v>13195</v>
      </c>
      <c r="D344" s="7">
        <v>38115</v>
      </c>
      <c r="E344" s="7">
        <v>20000</v>
      </c>
      <c r="F344" s="7">
        <v>3865</v>
      </c>
      <c r="G344" s="7">
        <v>12368</v>
      </c>
      <c r="H344" s="7">
        <v>8208</v>
      </c>
      <c r="I344" s="7">
        <v>80000</v>
      </c>
      <c r="J344" s="2">
        <v>14.5</v>
      </c>
      <c r="K344" s="23">
        <f t="shared" si="60"/>
        <v>278746.3</v>
      </c>
      <c r="L344" s="23">
        <f t="shared" si="59"/>
        <v>22.537702134540748</v>
      </c>
      <c r="M344" s="13" t="s">
        <v>9</v>
      </c>
      <c r="N344" s="7">
        <v>115426.16257278621</v>
      </c>
      <c r="O344" s="7">
        <v>70300.29296875</v>
      </c>
      <c r="P344" s="7">
        <f t="shared" si="55"/>
        <v>79886.696555397721</v>
      </c>
      <c r="Q344" s="7">
        <v>0</v>
      </c>
      <c r="R344" s="7">
        <v>0</v>
      </c>
      <c r="S344" s="7">
        <f t="shared" si="56"/>
        <v>0</v>
      </c>
      <c r="T344" s="7">
        <v>6059.4782673773589</v>
      </c>
      <c r="U344" s="7">
        <f t="shared" si="61"/>
        <v>415996.72438870114</v>
      </c>
      <c r="V344" s="7">
        <f t="shared" si="57"/>
        <v>68.652234735838292</v>
      </c>
      <c r="W344" s="14" t="s">
        <v>10</v>
      </c>
      <c r="X344" s="7">
        <v>61499.625</v>
      </c>
      <c r="Y344" s="7">
        <v>152266.36363636365</v>
      </c>
      <c r="Z344" s="7">
        <v>166454.54545454547</v>
      </c>
      <c r="AA344" s="7">
        <v>2515</v>
      </c>
      <c r="AB344" s="7">
        <v>3823</v>
      </c>
      <c r="AC344" s="7">
        <v>0</v>
      </c>
      <c r="AD344" s="7">
        <v>165832.91999999998</v>
      </c>
      <c r="AE344" s="7">
        <v>25000</v>
      </c>
      <c r="AF344" s="7">
        <v>1587.3961852645873</v>
      </c>
      <c r="AG344" s="7">
        <f t="shared" si="62"/>
        <v>71918.435618181815</v>
      </c>
      <c r="AH344" s="1">
        <f t="shared" si="58"/>
        <v>45.305914355712304</v>
      </c>
    </row>
    <row r="345" spans="1:34" x14ac:dyDescent="0.25">
      <c r="A345" s="13" t="s">
        <v>0</v>
      </c>
      <c r="B345" s="19">
        <v>46001</v>
      </c>
      <c r="C345" s="8">
        <v>15817</v>
      </c>
      <c r="D345" s="8">
        <v>41552</v>
      </c>
      <c r="E345" s="7">
        <v>18000</v>
      </c>
      <c r="F345" s="7">
        <v>5580</v>
      </c>
      <c r="G345" s="8">
        <v>10464</v>
      </c>
      <c r="H345" s="8">
        <v>9488</v>
      </c>
      <c r="I345" s="8">
        <v>72000</v>
      </c>
      <c r="J345" s="2">
        <v>14.94999980926514</v>
      </c>
      <c r="K345" s="23">
        <f t="shared" si="60"/>
        <v>295497.94</v>
      </c>
      <c r="L345" s="23">
        <f t="shared" si="59"/>
        <v>28.239482033639145</v>
      </c>
      <c r="M345" s="13" t="s">
        <v>9</v>
      </c>
      <c r="N345" s="7">
        <v>117449.37852966785</v>
      </c>
      <c r="O345" s="7">
        <v>75799.8046875</v>
      </c>
      <c r="P345" s="7">
        <f t="shared" si="55"/>
        <v>86136.141690340912</v>
      </c>
      <c r="Q345" s="7">
        <v>0</v>
      </c>
      <c r="R345" s="7">
        <v>0</v>
      </c>
      <c r="S345" s="7">
        <f t="shared" si="56"/>
        <v>0</v>
      </c>
      <c r="T345" s="7">
        <v>6289.2905500932829</v>
      </c>
      <c r="U345" s="7">
        <f t="shared" si="61"/>
        <v>444896.32420758641</v>
      </c>
      <c r="V345" s="7">
        <f t="shared" si="57"/>
        <v>70.73871379673939</v>
      </c>
      <c r="W345" s="14" t="s">
        <v>10</v>
      </c>
      <c r="X345" s="8">
        <v>154920</v>
      </c>
      <c r="Y345" s="8">
        <v>1009810.9090909092</v>
      </c>
      <c r="Z345" s="8">
        <v>1098727.2727272727</v>
      </c>
      <c r="AA345" s="8">
        <v>2529</v>
      </c>
      <c r="AB345" s="8">
        <v>4357</v>
      </c>
      <c r="AC345" s="8">
        <v>0</v>
      </c>
      <c r="AD345" s="8">
        <v>1108867.32</v>
      </c>
      <c r="AE345" s="8">
        <v>100000</v>
      </c>
      <c r="AF345" s="8">
        <v>10458.940810794831</v>
      </c>
      <c r="AG345" s="7">
        <f t="shared" si="62"/>
        <v>195002.29343636366</v>
      </c>
      <c r="AH345" s="1">
        <f t="shared" si="58"/>
        <v>18.644554641240425</v>
      </c>
    </row>
    <row r="346" spans="1:34" x14ac:dyDescent="0.25">
      <c r="A346" s="13" t="s">
        <v>0</v>
      </c>
      <c r="B346" s="19">
        <v>46002</v>
      </c>
      <c r="C346" s="7">
        <v>11440</v>
      </c>
      <c r="D346" s="7">
        <v>36650</v>
      </c>
      <c r="E346" s="7">
        <v>0</v>
      </c>
      <c r="F346" s="7">
        <v>4026</v>
      </c>
      <c r="G346" s="7">
        <v>7597</v>
      </c>
      <c r="H346" s="7">
        <v>5999</v>
      </c>
      <c r="I346" s="7">
        <v>0</v>
      </c>
      <c r="J346" s="2">
        <v>13.35000038146973</v>
      </c>
      <c r="K346" s="23">
        <f t="shared" si="60"/>
        <v>127276</v>
      </c>
      <c r="L346" s="23">
        <f t="shared" si="59"/>
        <v>16.753455311307096</v>
      </c>
      <c r="M346" s="13" t="s">
        <v>9</v>
      </c>
      <c r="N346" s="7">
        <v>113248.36006988585</v>
      </c>
      <c r="O346" s="7">
        <v>65799.8046875</v>
      </c>
      <c r="P346" s="7">
        <f t="shared" si="55"/>
        <v>74772.505326704544</v>
      </c>
      <c r="Q346" s="7">
        <v>0</v>
      </c>
      <c r="R346" s="7">
        <v>0</v>
      </c>
      <c r="S346" s="7">
        <f t="shared" si="56"/>
        <v>0</v>
      </c>
      <c r="T346" s="7">
        <v>5158.0398229268612</v>
      </c>
      <c r="U346" s="7">
        <f t="shared" si="61"/>
        <v>392075.43097213609</v>
      </c>
      <c r="V346" s="7">
        <f t="shared" si="57"/>
        <v>76.012486221879939</v>
      </c>
      <c r="W346" s="14" t="s">
        <v>10</v>
      </c>
      <c r="X346" s="7">
        <v>159540</v>
      </c>
      <c r="Y346" s="7">
        <v>1104417.2727272727</v>
      </c>
      <c r="Z346" s="7">
        <v>1198181.8181818181</v>
      </c>
      <c r="AA346" s="7">
        <v>2602</v>
      </c>
      <c r="AB346" s="7">
        <v>5318</v>
      </c>
      <c r="AC346" s="7">
        <v>0</v>
      </c>
      <c r="AD346" s="7">
        <v>1205736.8400000001</v>
      </c>
      <c r="AE346" s="7">
        <v>112500.00000000001</v>
      </c>
      <c r="AF346" s="7">
        <v>11446.020552520751</v>
      </c>
      <c r="AG346" s="7">
        <f t="shared" si="62"/>
        <v>210323.06305454546</v>
      </c>
      <c r="AH346" s="1">
        <f t="shared" si="58"/>
        <v>18.375212772811782</v>
      </c>
    </row>
    <row r="347" spans="1:34" x14ac:dyDescent="0.25">
      <c r="A347" s="13" t="s">
        <v>0</v>
      </c>
      <c r="B347" s="19">
        <v>46003</v>
      </c>
      <c r="C347" s="7">
        <v>9736</v>
      </c>
      <c r="D347" s="7">
        <v>40673</v>
      </c>
      <c r="E347" s="7">
        <v>30000</v>
      </c>
      <c r="F347" s="7">
        <v>4792</v>
      </c>
      <c r="G347" s="7">
        <v>12393</v>
      </c>
      <c r="H347" s="7">
        <v>5936</v>
      </c>
      <c r="I347" s="7">
        <v>122449</v>
      </c>
      <c r="J347" s="2">
        <v>14.80000019073486</v>
      </c>
      <c r="K347" s="23">
        <f t="shared" si="60"/>
        <v>327077.16000000003</v>
      </c>
      <c r="L347" s="23">
        <f t="shared" si="59"/>
        <v>26.392089082546601</v>
      </c>
      <c r="M347" s="13" t="s">
        <v>9</v>
      </c>
      <c r="N347" s="7">
        <v>114620.79667721689</v>
      </c>
      <c r="O347" s="7">
        <v>73100.09765625</v>
      </c>
      <c r="P347" s="7">
        <f t="shared" si="55"/>
        <v>83068.292791193177</v>
      </c>
      <c r="Q347" s="7">
        <v>0</v>
      </c>
      <c r="R347" s="7">
        <v>0</v>
      </c>
      <c r="S347" s="7">
        <f t="shared" si="56"/>
        <v>0</v>
      </c>
      <c r="T347" s="7">
        <v>5129.541429067729</v>
      </c>
      <c r="U347" s="7">
        <f t="shared" si="61"/>
        <v>429755.12694970961</v>
      </c>
      <c r="V347" s="7">
        <f t="shared" si="57"/>
        <v>83.780418365353896</v>
      </c>
      <c r="W347" s="14" t="s">
        <v>10</v>
      </c>
      <c r="X347" s="7">
        <v>163816.40625</v>
      </c>
      <c r="Y347" s="7">
        <v>1136544.5454545454</v>
      </c>
      <c r="Z347" s="7">
        <v>1233545.4545454546</v>
      </c>
      <c r="AA347" s="7">
        <v>2574</v>
      </c>
      <c r="AB347" s="7">
        <v>3886</v>
      </c>
      <c r="AC347" s="7">
        <v>0</v>
      </c>
      <c r="AD347" s="7">
        <v>1222523.28</v>
      </c>
      <c r="AE347" s="7">
        <v>112500</v>
      </c>
      <c r="AF347" s="7">
        <v>11718.431927490234</v>
      </c>
      <c r="AG347" s="7">
        <f t="shared" si="62"/>
        <v>207601.85454090909</v>
      </c>
      <c r="AH347" s="1">
        <f t="shared" si="58"/>
        <v>17.715839100784169</v>
      </c>
    </row>
    <row r="348" spans="1:34" x14ac:dyDescent="0.25">
      <c r="A348" s="13" t="s">
        <v>0</v>
      </c>
      <c r="B348" s="19">
        <v>46004</v>
      </c>
      <c r="C348" s="7">
        <v>13896</v>
      </c>
      <c r="D348" s="7">
        <v>34932</v>
      </c>
      <c r="E348" s="7">
        <v>26500</v>
      </c>
      <c r="F348" s="7">
        <v>4478</v>
      </c>
      <c r="G348" s="7">
        <v>12839</v>
      </c>
      <c r="H348" s="7">
        <v>8503</v>
      </c>
      <c r="I348" s="7">
        <v>106000</v>
      </c>
      <c r="J348" s="2">
        <v>15.25</v>
      </c>
      <c r="K348" s="23">
        <f t="shared" si="60"/>
        <v>330403.83999999997</v>
      </c>
      <c r="L348" s="23">
        <f t="shared" si="59"/>
        <v>25.734390528857386</v>
      </c>
      <c r="M348" s="13" t="s">
        <v>9</v>
      </c>
      <c r="N348" s="7">
        <v>114454.60056175292</v>
      </c>
      <c r="O348" s="7">
        <v>76700.1953125</v>
      </c>
      <c r="P348" s="7">
        <f t="shared" si="55"/>
        <v>87159.312855113632</v>
      </c>
      <c r="Q348" s="7">
        <v>0</v>
      </c>
      <c r="R348" s="7">
        <v>0</v>
      </c>
      <c r="S348" s="7">
        <f t="shared" si="56"/>
        <v>0</v>
      </c>
      <c r="T348" s="7">
        <v>5892.772089349106</v>
      </c>
      <c r="U348" s="7">
        <f t="shared" si="61"/>
        <v>447898.29037449788</v>
      </c>
      <c r="V348" s="7">
        <f t="shared" si="57"/>
        <v>76.008079658137788</v>
      </c>
      <c r="W348" s="14" t="s">
        <v>10</v>
      </c>
      <c r="X348" s="7">
        <v>161680</v>
      </c>
      <c r="Y348" s="7">
        <v>1174759.0909090908</v>
      </c>
      <c r="Z348" s="7">
        <v>1281545.4545454546</v>
      </c>
      <c r="AA348" s="7">
        <v>1304.2916666666667</v>
      </c>
      <c r="AB348" s="7">
        <v>5044</v>
      </c>
      <c r="AC348" s="7">
        <v>0</v>
      </c>
      <c r="AD348" s="7">
        <v>1256630.76</v>
      </c>
      <c r="AE348" s="7">
        <v>137500</v>
      </c>
      <c r="AF348" s="7">
        <v>12224.23187362671</v>
      </c>
      <c r="AG348" s="7">
        <f t="shared" si="62"/>
        <v>212733.52503636366</v>
      </c>
      <c r="AH348" s="1">
        <f t="shared" si="58"/>
        <v>17.402608788477558</v>
      </c>
    </row>
    <row r="349" spans="1:34" x14ac:dyDescent="0.25">
      <c r="A349" s="13" t="s">
        <v>0</v>
      </c>
      <c r="B349" s="19">
        <v>46005</v>
      </c>
      <c r="C349" s="7">
        <v>6189</v>
      </c>
      <c r="D349" s="7">
        <v>29806</v>
      </c>
      <c r="E349" s="7">
        <v>0</v>
      </c>
      <c r="F349" s="7">
        <v>4620</v>
      </c>
      <c r="G349" s="7">
        <v>7192</v>
      </c>
      <c r="H349" s="7">
        <v>3845</v>
      </c>
      <c r="I349" s="7">
        <v>0</v>
      </c>
      <c r="J349" s="2">
        <v>14.85000038146973</v>
      </c>
      <c r="K349" s="23">
        <f t="shared" si="60"/>
        <v>86254.420000000013</v>
      </c>
      <c r="L349" s="23">
        <f t="shared" si="59"/>
        <v>11.993106229143494</v>
      </c>
      <c r="M349" s="13" t="s">
        <v>9</v>
      </c>
      <c r="N349" s="7">
        <v>113889.5469931066</v>
      </c>
      <c r="O349" s="7">
        <v>73834.498619384249</v>
      </c>
      <c r="P349" s="7">
        <f t="shared" si="55"/>
        <v>83902.839340209379</v>
      </c>
      <c r="Q349" s="7">
        <v>0</v>
      </c>
      <c r="R349" s="7">
        <v>0</v>
      </c>
      <c r="S349" s="7">
        <f t="shared" si="56"/>
        <v>0</v>
      </c>
      <c r="T349" s="7">
        <v>5750.2147749043652</v>
      </c>
      <c r="U349" s="7">
        <f t="shared" si="61"/>
        <v>433093.61653638846</v>
      </c>
      <c r="V349" s="7">
        <f t="shared" si="57"/>
        <v>75.31781567995283</v>
      </c>
      <c r="W349" s="14" t="s">
        <v>10</v>
      </c>
      <c r="X349" s="7">
        <v>165273</v>
      </c>
      <c r="Y349" s="7">
        <v>1241972.7272727273</v>
      </c>
      <c r="Z349" s="7">
        <v>1336272.7272727271</v>
      </c>
      <c r="AA349" s="7">
        <v>0</v>
      </c>
      <c r="AB349" s="7">
        <v>4705</v>
      </c>
      <c r="AC349" s="7">
        <v>0</v>
      </c>
      <c r="AD349" s="7">
        <v>1280794.6800000002</v>
      </c>
      <c r="AE349" s="7">
        <v>125000</v>
      </c>
      <c r="AF349" s="7">
        <v>12825.425758056641</v>
      </c>
      <c r="AG349" s="7">
        <f t="shared" si="62"/>
        <v>212460.8302</v>
      </c>
      <c r="AH349" s="1">
        <f t="shared" si="58"/>
        <v>16.565596667739232</v>
      </c>
    </row>
    <row r="350" spans="1:34" x14ac:dyDescent="0.25">
      <c r="A350" s="13" t="s">
        <v>0</v>
      </c>
      <c r="B350" s="19">
        <v>46006</v>
      </c>
      <c r="C350" s="8">
        <v>14275</v>
      </c>
      <c r="D350" s="8">
        <v>35404</v>
      </c>
      <c r="E350" s="8">
        <v>7375</v>
      </c>
      <c r="F350" s="7">
        <v>5138</v>
      </c>
      <c r="G350" s="8">
        <v>10771</v>
      </c>
      <c r="H350" s="8">
        <v>3523</v>
      </c>
      <c r="I350" s="8">
        <v>33600</v>
      </c>
      <c r="J350" s="2">
        <v>12.44999980926514</v>
      </c>
      <c r="K350" s="23">
        <f t="shared" si="60"/>
        <v>204905.08000000002</v>
      </c>
      <c r="L350" s="23">
        <f t="shared" si="59"/>
        <v>19.023774951258009</v>
      </c>
      <c r="M350" s="13" t="s">
        <v>9</v>
      </c>
      <c r="N350" s="7">
        <v>114035.55066682398</v>
      </c>
      <c r="O350" s="7">
        <v>69765.599036865751</v>
      </c>
      <c r="P350" s="7">
        <f t="shared" si="55"/>
        <v>79279.089814620165</v>
      </c>
      <c r="Q350" s="7">
        <v>0</v>
      </c>
      <c r="R350" s="7">
        <v>0</v>
      </c>
      <c r="S350" s="7">
        <f t="shared" si="56"/>
        <v>0</v>
      </c>
      <c r="T350" s="7">
        <v>5760.1693222525646</v>
      </c>
      <c r="U350" s="7">
        <f t="shared" si="61"/>
        <v>412566.11056069599</v>
      </c>
      <c r="V350" s="7">
        <f t="shared" si="57"/>
        <v>71.623955387366706</v>
      </c>
      <c r="W350" s="14" t="s">
        <v>10</v>
      </c>
      <c r="X350" s="8">
        <v>146317</v>
      </c>
      <c r="Y350" s="8">
        <v>927548.18181818188</v>
      </c>
      <c r="Z350" s="8">
        <v>994727.27272727271</v>
      </c>
      <c r="AA350" s="8">
        <v>1480.7291666666667</v>
      </c>
      <c r="AB350" s="8">
        <v>4414</v>
      </c>
      <c r="AC350" s="8">
        <v>0</v>
      </c>
      <c r="AD350" s="8">
        <v>954688.68</v>
      </c>
      <c r="AE350" s="8">
        <v>150000</v>
      </c>
      <c r="AF350" s="8">
        <v>9460.2937877464301</v>
      </c>
      <c r="AG350" s="7">
        <f t="shared" si="62"/>
        <v>181933.7536090909</v>
      </c>
      <c r="AH350" s="1">
        <f t="shared" si="58"/>
        <v>19.231300601334706</v>
      </c>
    </row>
    <row r="351" spans="1:34" x14ac:dyDescent="0.25">
      <c r="A351" s="13" t="s">
        <v>0</v>
      </c>
      <c r="B351" s="19">
        <v>46007</v>
      </c>
      <c r="C351" s="7">
        <v>10370</v>
      </c>
      <c r="D351" s="7">
        <v>35449</v>
      </c>
      <c r="E351" s="7">
        <v>12000</v>
      </c>
      <c r="F351" s="7">
        <v>6633</v>
      </c>
      <c r="G351" s="7">
        <v>5844</v>
      </c>
      <c r="H351" s="7">
        <v>7514</v>
      </c>
      <c r="I351" s="7">
        <v>50000</v>
      </c>
      <c r="J351" s="2">
        <v>12.75</v>
      </c>
      <c r="K351" s="23">
        <f t="shared" si="60"/>
        <v>214247.47999999998</v>
      </c>
      <c r="L351" s="23">
        <f t="shared" si="59"/>
        <v>36.661101984941816</v>
      </c>
      <c r="M351" s="13" t="s">
        <v>9</v>
      </c>
      <c r="N351" s="7">
        <v>114108.91854806244</v>
      </c>
      <c r="O351" s="7">
        <v>71299.8046875</v>
      </c>
      <c r="P351" s="7">
        <f t="shared" si="55"/>
        <v>81022.505326704544</v>
      </c>
      <c r="Q351" s="7">
        <v>0</v>
      </c>
      <c r="R351" s="7">
        <v>0</v>
      </c>
      <c r="S351" s="7">
        <f t="shared" si="56"/>
        <v>0</v>
      </c>
      <c r="T351" s="7">
        <v>5758.2309495865484</v>
      </c>
      <c r="U351" s="7">
        <f t="shared" si="61"/>
        <v>420372.92138078797</v>
      </c>
      <c r="V351" s="7">
        <f t="shared" si="57"/>
        <v>73.003831395642706</v>
      </c>
      <c r="W351" s="14" t="s">
        <v>10</v>
      </c>
      <c r="X351" s="7">
        <v>50290</v>
      </c>
      <c r="Y351" s="7">
        <v>118194.54545454546</v>
      </c>
      <c r="Z351" s="7">
        <v>126000</v>
      </c>
      <c r="AA351" s="7">
        <v>2077</v>
      </c>
      <c r="AB351" s="7">
        <v>6553</v>
      </c>
      <c r="AC351" s="7">
        <v>0</v>
      </c>
      <c r="AD351" s="7">
        <v>121674.95999999999</v>
      </c>
      <c r="AE351" s="7">
        <v>0</v>
      </c>
      <c r="AF351" s="7">
        <v>1216.0599937438965</v>
      </c>
      <c r="AG351" s="7">
        <f t="shared" si="62"/>
        <v>74372.468945454544</v>
      </c>
      <c r="AH351" s="1">
        <f t="shared" si="58"/>
        <v>61.158552479375011</v>
      </c>
    </row>
    <row r="352" spans="1:34" x14ac:dyDescent="0.25">
      <c r="A352" s="13" t="s">
        <v>0</v>
      </c>
      <c r="B352" s="19">
        <v>46008</v>
      </c>
      <c r="C352" s="7">
        <v>12613</v>
      </c>
      <c r="D352" s="7">
        <v>40222</v>
      </c>
      <c r="E352" s="7">
        <v>26250</v>
      </c>
      <c r="F352" s="7">
        <v>6522</v>
      </c>
      <c r="G352" s="7">
        <v>7476.5</v>
      </c>
      <c r="H352" s="7">
        <v>7801</v>
      </c>
      <c r="I352" s="7">
        <v>105000</v>
      </c>
      <c r="J352" s="2">
        <v>14.30000019073486</v>
      </c>
      <c r="K352" s="23">
        <f t="shared" si="60"/>
        <v>331770.54000000004</v>
      </c>
      <c r="L352" s="23">
        <f t="shared" si="59"/>
        <v>44.375114023941691</v>
      </c>
      <c r="M352" s="13" t="s">
        <v>9</v>
      </c>
      <c r="N352" s="7">
        <v>110334.85451795161</v>
      </c>
      <c r="O352" s="7">
        <v>59700.1953125</v>
      </c>
      <c r="P352" s="7">
        <f t="shared" si="55"/>
        <v>67841.131036931823</v>
      </c>
      <c r="Q352" s="7">
        <v>0</v>
      </c>
      <c r="R352" s="7">
        <v>0</v>
      </c>
      <c r="S352" s="7">
        <f t="shared" si="56"/>
        <v>0</v>
      </c>
      <c r="T352" s="7">
        <v>4734.8975736405118</v>
      </c>
      <c r="U352" s="7">
        <f t="shared" si="61"/>
        <v>359674.20424990309</v>
      </c>
      <c r="V352" s="7">
        <f t="shared" si="57"/>
        <v>75.96240439333539</v>
      </c>
      <c r="W352" s="14" t="s">
        <v>10</v>
      </c>
      <c r="X352" s="7">
        <v>88070</v>
      </c>
      <c r="Y352" s="7">
        <v>387725.45454545459</v>
      </c>
      <c r="Z352" s="7">
        <v>413818.18181818182</v>
      </c>
      <c r="AA352" s="7">
        <v>1789</v>
      </c>
      <c r="AB352" s="7">
        <v>6318</v>
      </c>
      <c r="AC352" s="7">
        <v>0</v>
      </c>
      <c r="AD352" s="7">
        <v>406830.60000000003</v>
      </c>
      <c r="AE352" s="7">
        <v>50000</v>
      </c>
      <c r="AF352" s="7">
        <v>4045.545650024414</v>
      </c>
      <c r="AG352" s="7">
        <f t="shared" si="62"/>
        <v>115398.21627272728</v>
      </c>
      <c r="AH352" s="1">
        <f t="shared" si="58"/>
        <v>28.524759391117211</v>
      </c>
    </row>
    <row r="353" spans="1:34" x14ac:dyDescent="0.25">
      <c r="A353" s="13" t="s">
        <v>0</v>
      </c>
      <c r="B353" s="19">
        <v>46009</v>
      </c>
      <c r="C353" s="7">
        <v>3033</v>
      </c>
      <c r="D353" s="7">
        <v>41426</v>
      </c>
      <c r="E353" s="7">
        <v>0</v>
      </c>
      <c r="F353" s="7">
        <v>5180</v>
      </c>
      <c r="G353" s="7">
        <v>9109</v>
      </c>
      <c r="H353" s="7">
        <v>5523</v>
      </c>
      <c r="I353" s="7">
        <v>0</v>
      </c>
      <c r="J353" s="2">
        <v>14.44999980926514</v>
      </c>
      <c r="K353" s="23">
        <f t="shared" si="60"/>
        <v>70795.62</v>
      </c>
      <c r="L353" s="23">
        <f t="shared" si="59"/>
        <v>7.7720518168843995</v>
      </c>
      <c r="M353" s="13" t="s">
        <v>9</v>
      </c>
      <c r="N353" s="7">
        <v>109952.63380660117</v>
      </c>
      <c r="O353" s="7">
        <v>59199.70703125</v>
      </c>
      <c r="P353" s="7">
        <f t="shared" si="55"/>
        <v>67272.394353693177</v>
      </c>
      <c r="Q353" s="7">
        <v>0</v>
      </c>
      <c r="R353" s="7">
        <v>0</v>
      </c>
      <c r="S353" s="7">
        <f t="shared" si="56"/>
        <v>0</v>
      </c>
      <c r="T353" s="7">
        <v>4960.3394587115617</v>
      </c>
      <c r="U353" s="7">
        <f t="shared" si="61"/>
        <v>356941.15881948941</v>
      </c>
      <c r="V353" s="7">
        <f t="shared" si="57"/>
        <v>71.959018488666942</v>
      </c>
      <c r="W353" s="14" t="s">
        <v>10</v>
      </c>
      <c r="X353" s="7">
        <v>36200</v>
      </c>
      <c r="Y353" s="7">
        <v>79726.363636363632</v>
      </c>
      <c r="Z353" s="7">
        <v>85818.181818181809</v>
      </c>
      <c r="AA353" s="7">
        <v>1790</v>
      </c>
      <c r="AB353" s="7">
        <v>5687</v>
      </c>
      <c r="AC353" s="7">
        <v>0</v>
      </c>
      <c r="AD353" s="7">
        <v>83290.680000000008</v>
      </c>
      <c r="AE353" s="7">
        <v>0</v>
      </c>
      <c r="AF353" s="7">
        <v>823.99200424194339</v>
      </c>
      <c r="AG353" s="7">
        <f t="shared" si="62"/>
        <v>58896.743381818182</v>
      </c>
      <c r="AH353" s="1">
        <f t="shared" si="58"/>
        <v>71.477323904377002</v>
      </c>
    </row>
    <row r="354" spans="1:34" x14ac:dyDescent="0.25">
      <c r="A354" s="13" t="s">
        <v>0</v>
      </c>
      <c r="B354" s="19">
        <v>46010</v>
      </c>
      <c r="C354" s="7">
        <v>13732</v>
      </c>
      <c r="D354" s="7">
        <v>40630</v>
      </c>
      <c r="E354" s="7">
        <v>0</v>
      </c>
      <c r="F354" s="7">
        <v>4235</v>
      </c>
      <c r="G354" s="7">
        <v>9092</v>
      </c>
      <c r="H354" s="7">
        <v>4490</v>
      </c>
      <c r="I354" s="7">
        <v>0</v>
      </c>
      <c r="J354" s="2">
        <v>14.69999980926514</v>
      </c>
      <c r="K354" s="23">
        <f t="shared" si="60"/>
        <v>148039</v>
      </c>
      <c r="L354" s="23">
        <f t="shared" si="59"/>
        <v>16.28233611966564</v>
      </c>
      <c r="M354" s="13" t="s">
        <v>9</v>
      </c>
      <c r="N354" s="7">
        <v>114797.4443012476</v>
      </c>
      <c r="O354" s="7">
        <v>65300.29296875</v>
      </c>
      <c r="P354" s="7">
        <f t="shared" si="55"/>
        <v>74204.878373579544</v>
      </c>
      <c r="Q354" s="7">
        <v>0</v>
      </c>
      <c r="R354" s="7">
        <v>0</v>
      </c>
      <c r="S354" s="7">
        <f t="shared" si="56"/>
        <v>0</v>
      </c>
      <c r="T354" s="7">
        <v>4653.3011215998558</v>
      </c>
      <c r="U354" s="7">
        <f t="shared" si="61"/>
        <v>390351.60906931921</v>
      </c>
      <c r="V354" s="7">
        <f t="shared" si="57"/>
        <v>83.887029630936937</v>
      </c>
      <c r="W354" s="14" t="s">
        <v>10</v>
      </c>
      <c r="X354" s="7">
        <v>158900</v>
      </c>
      <c r="Y354" s="7">
        <v>1176111.8181818184</v>
      </c>
      <c r="Z354" s="7">
        <v>1278272.7272727273</v>
      </c>
      <c r="AA354" s="7">
        <v>1822</v>
      </c>
      <c r="AB354" s="7">
        <v>4354</v>
      </c>
      <c r="AC354" s="7">
        <v>0</v>
      </c>
      <c r="AD354" s="7">
        <v>1233108.3600000001</v>
      </c>
      <c r="AE354" s="7">
        <v>87500</v>
      </c>
      <c r="AF354" s="7">
        <v>12165.897700195312</v>
      </c>
      <c r="AG354" s="7">
        <f t="shared" si="62"/>
        <v>206722.03949090908</v>
      </c>
      <c r="AH354" s="1">
        <f t="shared" si="58"/>
        <v>16.991926496931693</v>
      </c>
    </row>
    <row r="355" spans="1:34" x14ac:dyDescent="0.25">
      <c r="A355" s="13" t="s">
        <v>0</v>
      </c>
      <c r="B355" s="19">
        <v>46011</v>
      </c>
      <c r="C355" s="8">
        <v>9396</v>
      </c>
      <c r="D355" s="8">
        <v>38834</v>
      </c>
      <c r="E355" s="8">
        <v>0</v>
      </c>
      <c r="F355" s="7">
        <v>4278</v>
      </c>
      <c r="G355" s="8">
        <v>9104</v>
      </c>
      <c r="H355" s="8">
        <v>5450</v>
      </c>
      <c r="I355" s="8">
        <v>0</v>
      </c>
      <c r="J355" s="2">
        <v>14.64999961853027</v>
      </c>
      <c r="K355" s="23">
        <f t="shared" si="60"/>
        <v>113932.88</v>
      </c>
      <c r="L355" s="23">
        <f t="shared" si="59"/>
        <v>12.514595782073814</v>
      </c>
      <c r="M355" s="13" t="s">
        <v>9</v>
      </c>
      <c r="N355" s="7">
        <v>114125.3947969377</v>
      </c>
      <c r="O355" s="7">
        <v>70000</v>
      </c>
      <c r="P355" s="7">
        <f t="shared" si="55"/>
        <v>79545.454545454544</v>
      </c>
      <c r="Q355" s="7">
        <v>0</v>
      </c>
      <c r="R355" s="7">
        <v>0</v>
      </c>
      <c r="S355" s="7">
        <f t="shared" si="56"/>
        <v>0</v>
      </c>
      <c r="T355" s="7">
        <v>5027.194382321497</v>
      </c>
      <c r="U355" s="7">
        <f t="shared" si="61"/>
        <v>413799.75074895308</v>
      </c>
      <c r="V355" s="7">
        <f t="shared" si="57"/>
        <v>82.312263914860878</v>
      </c>
      <c r="W355" s="14" t="s">
        <v>10</v>
      </c>
      <c r="X355" s="8">
        <v>165530</v>
      </c>
      <c r="Y355" s="8">
        <v>1245692.7272727273</v>
      </c>
      <c r="Z355" s="8">
        <v>1352727.2727272727</v>
      </c>
      <c r="AA355" s="8">
        <v>1843</v>
      </c>
      <c r="AB355" s="8">
        <v>4576</v>
      </c>
      <c r="AC355" s="8">
        <v>0</v>
      </c>
      <c r="AD355" s="8">
        <v>1291486.6800000002</v>
      </c>
      <c r="AE355" s="8">
        <v>137500</v>
      </c>
      <c r="AF355" s="8">
        <v>12892.229413261413</v>
      </c>
      <c r="AG355" s="7">
        <f t="shared" si="62"/>
        <v>218833.91565454548</v>
      </c>
      <c r="AH355" s="1">
        <f t="shared" si="58"/>
        <v>16.97409413374579</v>
      </c>
    </row>
    <row r="356" spans="1:34" x14ac:dyDescent="0.25">
      <c r="A356" s="13" t="s">
        <v>0</v>
      </c>
      <c r="B356" s="19">
        <v>46012</v>
      </c>
      <c r="C356" s="7">
        <v>10510</v>
      </c>
      <c r="D356" s="7">
        <v>34314</v>
      </c>
      <c r="E356" s="7">
        <v>0</v>
      </c>
      <c r="F356" s="7">
        <v>5235</v>
      </c>
      <c r="G356" s="7">
        <v>10564</v>
      </c>
      <c r="H356" s="7">
        <v>5171</v>
      </c>
      <c r="I356" s="7">
        <v>0</v>
      </c>
      <c r="J356" s="2">
        <v>13.55000019073486</v>
      </c>
      <c r="K356" s="23">
        <f t="shared" si="60"/>
        <v>124945.28</v>
      </c>
      <c r="L356" s="23">
        <f t="shared" si="59"/>
        <v>11.827459295721317</v>
      </c>
      <c r="M356" s="13" t="s">
        <v>9</v>
      </c>
      <c r="N356" s="7">
        <v>115683.18991181254</v>
      </c>
      <c r="O356" s="7">
        <v>70599.609375</v>
      </c>
      <c r="P356" s="7">
        <f t="shared" si="55"/>
        <v>80226.828835227279</v>
      </c>
      <c r="Q356" s="7">
        <v>0</v>
      </c>
      <c r="R356" s="7">
        <v>0</v>
      </c>
      <c r="S356" s="7">
        <f t="shared" si="56"/>
        <v>0</v>
      </c>
      <c r="T356" s="7">
        <v>5256.0744808748132</v>
      </c>
      <c r="U356" s="7">
        <f t="shared" si="61"/>
        <v>417646.00804391527</v>
      </c>
      <c r="V356" s="7">
        <f t="shared" si="57"/>
        <v>79.459682233118372</v>
      </c>
      <c r="W356" s="14" t="s">
        <v>10</v>
      </c>
      <c r="X356" s="7">
        <v>160951</v>
      </c>
      <c r="Y356" s="7">
        <v>1185158.1818181819</v>
      </c>
      <c r="Z356" s="7">
        <v>1277454.5454545454</v>
      </c>
      <c r="AA356" s="7">
        <v>1707</v>
      </c>
      <c r="AB356" s="7">
        <v>4377</v>
      </c>
      <c r="AC356" s="7">
        <v>0</v>
      </c>
      <c r="AD356" s="7">
        <v>1247114.8800000001</v>
      </c>
      <c r="AE356" s="7">
        <v>125000</v>
      </c>
      <c r="AF356" s="7">
        <v>12262.793311271667</v>
      </c>
      <c r="AG356" s="7">
        <f t="shared" si="62"/>
        <v>209687.79683636368</v>
      </c>
      <c r="AH356" s="1">
        <f t="shared" si="58"/>
        <v>17.099513260459478</v>
      </c>
    </row>
    <row r="357" spans="1:34" x14ac:dyDescent="0.25">
      <c r="A357" s="13" t="s">
        <v>0</v>
      </c>
      <c r="B357" s="19">
        <v>46013</v>
      </c>
      <c r="C357" s="7">
        <v>9586</v>
      </c>
      <c r="D357" s="7">
        <v>32366</v>
      </c>
      <c r="E357" s="7">
        <v>0</v>
      </c>
      <c r="F357" s="7">
        <v>4506</v>
      </c>
      <c r="G357" s="7">
        <v>9341</v>
      </c>
      <c r="H357" s="7">
        <v>3558</v>
      </c>
      <c r="I357" s="7">
        <v>0</v>
      </c>
      <c r="J357" s="2">
        <v>14.89999961853027</v>
      </c>
      <c r="K357" s="23">
        <f t="shared" si="60"/>
        <v>113172.51999999999</v>
      </c>
      <c r="L357" s="23">
        <f t="shared" si="59"/>
        <v>12.115674981265387</v>
      </c>
      <c r="M357" s="13" t="s">
        <v>9</v>
      </c>
      <c r="N357" s="7">
        <v>113907.80848909914</v>
      </c>
      <c r="O357" s="7">
        <v>76100.09765625</v>
      </c>
      <c r="P357" s="7">
        <f t="shared" si="55"/>
        <v>86477.383700284088</v>
      </c>
      <c r="Q357" s="7">
        <v>0</v>
      </c>
      <c r="R357" s="7">
        <v>0</v>
      </c>
      <c r="S357" s="7">
        <f t="shared" si="56"/>
        <v>0</v>
      </c>
      <c r="T357" s="7">
        <v>5464.5513841111097</v>
      </c>
      <c r="U357" s="7">
        <f t="shared" si="61"/>
        <v>444575.2821827975</v>
      </c>
      <c r="V357" s="7">
        <f t="shared" si="57"/>
        <v>81.356226876273439</v>
      </c>
      <c r="W357" s="14" t="s">
        <v>10</v>
      </c>
      <c r="X357" s="7">
        <v>161088.28125</v>
      </c>
      <c r="Y357" s="7">
        <v>961112.72727272729</v>
      </c>
      <c r="Z357" s="7">
        <v>1057727.2727272727</v>
      </c>
      <c r="AA357" s="7">
        <v>1541</v>
      </c>
      <c r="AB357" s="7">
        <v>5371</v>
      </c>
      <c r="AC357" s="7">
        <v>0</v>
      </c>
      <c r="AD357" s="7">
        <v>1024828.2</v>
      </c>
      <c r="AE357" s="7">
        <v>150000</v>
      </c>
      <c r="AF357" s="7">
        <v>10021.704103393555</v>
      </c>
      <c r="AG357" s="7">
        <f t="shared" si="62"/>
        <v>198605.31470454548</v>
      </c>
      <c r="AH357" s="1">
        <f t="shared" si="58"/>
        <v>19.81751932161853</v>
      </c>
    </row>
    <row r="358" spans="1:34" x14ac:dyDescent="0.25">
      <c r="A358" s="13" t="s">
        <v>0</v>
      </c>
      <c r="B358" s="19">
        <v>46014</v>
      </c>
      <c r="C358" s="7">
        <v>11469</v>
      </c>
      <c r="D358" s="7">
        <v>31314</v>
      </c>
      <c r="E358" s="7">
        <v>0</v>
      </c>
      <c r="F358" s="7">
        <v>4527</v>
      </c>
      <c r="G358" s="7">
        <v>10134</v>
      </c>
      <c r="H358" s="7">
        <v>2618</v>
      </c>
      <c r="I358" s="7">
        <v>0</v>
      </c>
      <c r="J358" s="2">
        <v>14.69999980926514</v>
      </c>
      <c r="K358" s="23">
        <f t="shared" si="60"/>
        <v>127229.58</v>
      </c>
      <c r="L358" s="23">
        <f t="shared" si="59"/>
        <v>12.554724689165187</v>
      </c>
      <c r="M358" s="13" t="s">
        <v>9</v>
      </c>
      <c r="N358" s="7">
        <v>112820.26946274936</v>
      </c>
      <c r="O358" s="7">
        <v>72899.90234375</v>
      </c>
      <c r="P358" s="7">
        <f t="shared" si="55"/>
        <v>82840.798117897721</v>
      </c>
      <c r="Q358" s="7">
        <v>0</v>
      </c>
      <c r="R358" s="7">
        <v>0</v>
      </c>
      <c r="S358" s="7">
        <f t="shared" si="56"/>
        <v>0</v>
      </c>
      <c r="T358" s="7">
        <v>4853.1589925350272</v>
      </c>
      <c r="U358" s="7">
        <f t="shared" si="61"/>
        <v>427805.13653398195</v>
      </c>
      <c r="V358" s="7">
        <f t="shared" si="57"/>
        <v>88.149829253897934</v>
      </c>
      <c r="W358" s="14" t="s">
        <v>10</v>
      </c>
      <c r="X358" s="7">
        <v>167614.84375</v>
      </c>
      <c r="Y358" s="7">
        <v>1280271.8181818184</v>
      </c>
      <c r="Z358" s="7">
        <v>1398818.1818181819</v>
      </c>
      <c r="AA358" s="7">
        <v>1748</v>
      </c>
      <c r="AB358" s="7">
        <v>4380</v>
      </c>
      <c r="AC358" s="7">
        <v>0</v>
      </c>
      <c r="AD358" s="7">
        <v>1383437.8800000001</v>
      </c>
      <c r="AE358" s="7">
        <v>150000</v>
      </c>
      <c r="AF358" s="7">
        <v>13286.642236633301</v>
      </c>
      <c r="AG358" s="7">
        <f t="shared" si="62"/>
        <v>223055.21558636366</v>
      </c>
      <c r="AH358" s="1">
        <f t="shared" si="58"/>
        <v>16.787929682592519</v>
      </c>
    </row>
    <row r="359" spans="1:34" x14ac:dyDescent="0.25">
      <c r="A359" s="13" t="s">
        <v>0</v>
      </c>
      <c r="B359" s="19">
        <v>46015</v>
      </c>
      <c r="C359" s="7">
        <v>8740</v>
      </c>
      <c r="D359" s="7">
        <v>22254</v>
      </c>
      <c r="E359" s="7">
        <v>0</v>
      </c>
      <c r="F359" s="7">
        <v>6561</v>
      </c>
      <c r="G359" s="7">
        <v>6187</v>
      </c>
      <c r="H359" s="7">
        <v>2767</v>
      </c>
      <c r="I359" s="7">
        <v>0</v>
      </c>
      <c r="J359" s="2">
        <v>13.14999961853027</v>
      </c>
      <c r="K359" s="23">
        <f t="shared" si="60"/>
        <v>111675.08</v>
      </c>
      <c r="L359" s="23">
        <f t="shared" si="59"/>
        <v>18.04995636010991</v>
      </c>
      <c r="M359" s="13" t="s">
        <v>9</v>
      </c>
      <c r="N359" s="7">
        <v>112404.11597630382</v>
      </c>
      <c r="O359" s="7">
        <v>71700.1953125</v>
      </c>
      <c r="P359" s="7">
        <f t="shared" si="55"/>
        <v>81477.494673295456</v>
      </c>
      <c r="Q359" s="7">
        <v>0</v>
      </c>
      <c r="R359" s="7">
        <v>0</v>
      </c>
      <c r="S359" s="7">
        <f t="shared" si="56"/>
        <v>0</v>
      </c>
      <c r="T359" s="7">
        <v>4669.7727463938645</v>
      </c>
      <c r="U359" s="7">
        <f t="shared" si="61"/>
        <v>421513.85657188256</v>
      </c>
      <c r="V359" s="7">
        <f t="shared" si="57"/>
        <v>90.264318943012356</v>
      </c>
      <c r="W359" s="14" t="s">
        <v>10</v>
      </c>
      <c r="X359" s="7">
        <v>134036.71875</v>
      </c>
      <c r="Y359" s="7">
        <v>772660.90909090918</v>
      </c>
      <c r="Z359" s="7">
        <v>834545.45454545459</v>
      </c>
      <c r="AA359" s="7">
        <v>1589</v>
      </c>
      <c r="AB359" s="7">
        <v>6316</v>
      </c>
      <c r="AC359" s="7">
        <v>0</v>
      </c>
      <c r="AD359" s="7">
        <v>836328.24</v>
      </c>
      <c r="AE359" s="7">
        <v>125000</v>
      </c>
      <c r="AF359" s="7">
        <v>7968.3560325622557</v>
      </c>
      <c r="AG359" s="7">
        <f t="shared" si="62"/>
        <v>172942.30780454547</v>
      </c>
      <c r="AH359" s="1">
        <f t="shared" si="58"/>
        <v>21.703637123871736</v>
      </c>
    </row>
    <row r="360" spans="1:34" x14ac:dyDescent="0.25">
      <c r="A360" s="13" t="s">
        <v>0</v>
      </c>
      <c r="B360" s="19">
        <v>46016</v>
      </c>
      <c r="C360" s="8">
        <v>4354</v>
      </c>
      <c r="D360" s="8">
        <v>22893</v>
      </c>
      <c r="E360" s="8">
        <v>0</v>
      </c>
      <c r="F360" s="7">
        <v>3588</v>
      </c>
      <c r="G360" s="8">
        <v>2700</v>
      </c>
      <c r="H360" s="8">
        <v>3470</v>
      </c>
      <c r="I360" s="8">
        <v>0</v>
      </c>
      <c r="J360" s="2">
        <v>13.25</v>
      </c>
      <c r="K360" s="23">
        <f t="shared" si="60"/>
        <v>63370.16</v>
      </c>
      <c r="L360" s="23">
        <f t="shared" si="59"/>
        <v>23.470429629629631</v>
      </c>
      <c r="M360" s="13" t="s">
        <v>9</v>
      </c>
      <c r="N360" s="7">
        <v>113889.22417192161</v>
      </c>
      <c r="O360" s="7">
        <v>75899.90234375</v>
      </c>
      <c r="P360" s="7">
        <f t="shared" si="55"/>
        <v>86249.889026988632</v>
      </c>
      <c r="Q360" s="7">
        <v>0</v>
      </c>
      <c r="R360" s="7">
        <v>0</v>
      </c>
      <c r="S360" s="7">
        <f t="shared" si="56"/>
        <v>0</v>
      </c>
      <c r="T360" s="7">
        <v>4679.6074334522709</v>
      </c>
      <c r="U360" s="7">
        <f t="shared" si="61"/>
        <v>443551.90207366057</v>
      </c>
      <c r="V360" s="7">
        <f t="shared" si="57"/>
        <v>94.78399809841325</v>
      </c>
      <c r="W360" s="14" t="s">
        <v>10</v>
      </c>
      <c r="X360" s="8">
        <v>154267.1875</v>
      </c>
      <c r="Y360" s="8">
        <v>972188.18181818188</v>
      </c>
      <c r="Z360" s="8">
        <v>1059181.8181818181</v>
      </c>
      <c r="AA360" s="8">
        <v>1625</v>
      </c>
      <c r="AB360" s="8">
        <v>4430</v>
      </c>
      <c r="AC360" s="8">
        <v>0</v>
      </c>
      <c r="AD360" s="8">
        <v>1036054.8</v>
      </c>
      <c r="AE360" s="8">
        <v>87500</v>
      </c>
      <c r="AF360" s="8">
        <v>10099.219999999999</v>
      </c>
      <c r="AG360" s="7">
        <f t="shared" si="62"/>
        <v>188323.44086363638</v>
      </c>
      <c r="AH360" s="1">
        <f t="shared" si="58"/>
        <v>18.647325324494009</v>
      </c>
    </row>
    <row r="361" spans="1:34" x14ac:dyDescent="0.25">
      <c r="A361" s="13" t="s">
        <v>0</v>
      </c>
      <c r="B361" s="19">
        <v>46017</v>
      </c>
      <c r="C361" s="9">
        <v>11570</v>
      </c>
      <c r="D361" s="9">
        <v>23400</v>
      </c>
      <c r="E361" s="9">
        <v>0</v>
      </c>
      <c r="F361" s="7">
        <v>3883</v>
      </c>
      <c r="G361" s="9">
        <v>9114</v>
      </c>
      <c r="H361" s="9">
        <v>6987</v>
      </c>
      <c r="I361" s="9">
        <v>0</v>
      </c>
      <c r="J361" s="2">
        <v>13.80000019073486</v>
      </c>
      <c r="K361" s="23">
        <f t="shared" si="60"/>
        <v>120672</v>
      </c>
      <c r="L361" s="23">
        <f t="shared" si="59"/>
        <v>13.240289664252797</v>
      </c>
      <c r="M361" s="13" t="s">
        <v>9</v>
      </c>
      <c r="N361" s="9">
        <v>109999.74047665298</v>
      </c>
      <c r="O361" s="9">
        <v>69300.29296875</v>
      </c>
      <c r="P361" s="7">
        <f t="shared" si="55"/>
        <v>78750.332919034088</v>
      </c>
      <c r="Q361" s="9">
        <v>0</v>
      </c>
      <c r="R361" s="9">
        <v>0</v>
      </c>
      <c r="S361" s="7">
        <f t="shared" si="56"/>
        <v>0</v>
      </c>
      <c r="T361" s="9">
        <v>4030.1393971761572</v>
      </c>
      <c r="U361" s="7">
        <f t="shared" si="61"/>
        <v>408111.34853507549</v>
      </c>
      <c r="V361" s="7">
        <f t="shared" si="57"/>
        <v>101.26482196150124</v>
      </c>
      <c r="W361" s="14" t="s">
        <v>10</v>
      </c>
      <c r="X361" s="9">
        <v>162412.5</v>
      </c>
      <c r="Y361" s="9">
        <v>1093172.7272727273</v>
      </c>
      <c r="Z361" s="9">
        <v>1194727.2727272727</v>
      </c>
      <c r="AA361" s="9">
        <v>1596</v>
      </c>
      <c r="AB361" s="9">
        <v>3704</v>
      </c>
      <c r="AC361" s="9">
        <v>0</v>
      </c>
      <c r="AD361" s="9">
        <v>1189591.92</v>
      </c>
      <c r="AE361" s="9">
        <v>112500</v>
      </c>
      <c r="AF361" s="9">
        <v>11386.58</v>
      </c>
      <c r="AG361" s="7">
        <f t="shared" si="62"/>
        <v>200055.57425454547</v>
      </c>
      <c r="AH361" s="1">
        <f t="shared" si="58"/>
        <v>17.569417178340245</v>
      </c>
    </row>
    <row r="362" spans="1:34" x14ac:dyDescent="0.25">
      <c r="A362" s="13" t="s">
        <v>0</v>
      </c>
      <c r="B362" s="19">
        <v>46018</v>
      </c>
      <c r="C362" s="10">
        <v>6298</v>
      </c>
      <c r="D362" s="10">
        <v>24123</v>
      </c>
      <c r="E362" s="10">
        <v>0</v>
      </c>
      <c r="F362" s="7">
        <v>6846</v>
      </c>
      <c r="G362" s="10">
        <v>9185</v>
      </c>
      <c r="H362" s="10">
        <v>4780</v>
      </c>
      <c r="I362" s="10">
        <v>0</v>
      </c>
      <c r="J362" s="2">
        <v>12.85000038146973</v>
      </c>
      <c r="K362" s="23">
        <f t="shared" si="60"/>
        <v>95268.56</v>
      </c>
      <c r="L362" s="23">
        <f t="shared" si="59"/>
        <v>10.372189439303211</v>
      </c>
      <c r="M362" s="13" t="s">
        <v>9</v>
      </c>
      <c r="N362" s="10">
        <v>113016.49102133512</v>
      </c>
      <c r="O362" s="10">
        <v>71599.609375</v>
      </c>
      <c r="P362" s="7">
        <f t="shared" si="55"/>
        <v>81363.192471590912</v>
      </c>
      <c r="Q362" s="10">
        <v>0</v>
      </c>
      <c r="R362" s="10">
        <v>0</v>
      </c>
      <c r="S362" s="7">
        <f t="shared" si="56"/>
        <v>0</v>
      </c>
      <c r="T362" s="10">
        <v>4180.8744737599627</v>
      </c>
      <c r="U362" s="7">
        <f t="shared" si="61"/>
        <v>421322.96098450338</v>
      </c>
      <c r="V362" s="7">
        <f t="shared" si="57"/>
        <v>100.77388441791636</v>
      </c>
      <c r="W362" s="14" t="s">
        <v>10</v>
      </c>
      <c r="X362" s="10">
        <v>160680</v>
      </c>
      <c r="Y362" s="10">
        <v>1085563.6363636365</v>
      </c>
      <c r="Z362" s="10">
        <v>1191545.4545454546</v>
      </c>
      <c r="AA362" s="10">
        <v>1655</v>
      </c>
      <c r="AB362" s="10">
        <v>5222</v>
      </c>
      <c r="AC362" s="10">
        <v>0</v>
      </c>
      <c r="AD362" s="10">
        <v>1173660.8399999999</v>
      </c>
      <c r="AE362" s="10">
        <v>200000</v>
      </c>
      <c r="AF362" s="10">
        <v>11310.645669479371</v>
      </c>
      <c r="AG362" s="7">
        <f t="shared" si="62"/>
        <v>210301.5307818182</v>
      </c>
      <c r="AH362" s="1">
        <f t="shared" si="58"/>
        <v>18.593238346179966</v>
      </c>
    </row>
    <row r="363" spans="1:34" x14ac:dyDescent="0.25">
      <c r="A363" s="13" t="s">
        <v>0</v>
      </c>
      <c r="B363" s="19">
        <v>46019</v>
      </c>
      <c r="C363" s="7">
        <v>5178</v>
      </c>
      <c r="D363" s="7">
        <v>24541</v>
      </c>
      <c r="E363" s="7">
        <v>0</v>
      </c>
      <c r="F363" s="7">
        <v>7041</v>
      </c>
      <c r="G363" s="7">
        <v>8802</v>
      </c>
      <c r="H363" s="7">
        <v>1228</v>
      </c>
      <c r="I363" s="7">
        <v>0</v>
      </c>
      <c r="J363" s="2">
        <v>14.55000019073486</v>
      </c>
      <c r="K363" s="23">
        <f t="shared" si="60"/>
        <v>87836.92</v>
      </c>
      <c r="L363" s="23">
        <f t="shared" si="59"/>
        <v>9.9792001817768679</v>
      </c>
      <c r="M363" s="13" t="s">
        <v>9</v>
      </c>
      <c r="N363" s="7">
        <v>111615.17108783126</v>
      </c>
      <c r="O363" s="7">
        <v>68600.5859375</v>
      </c>
      <c r="P363" s="7">
        <f t="shared" si="55"/>
        <v>77955.211292613632</v>
      </c>
      <c r="Q363" s="7">
        <v>0</v>
      </c>
      <c r="R363" s="7">
        <v>0</v>
      </c>
      <c r="S363" s="7">
        <f t="shared" si="56"/>
        <v>0</v>
      </c>
      <c r="T363" s="7">
        <v>3558.9154494406539</v>
      </c>
      <c r="U363" s="7">
        <f t="shared" si="61"/>
        <v>405408.31048555858</v>
      </c>
      <c r="V363" s="7">
        <f t="shared" si="57"/>
        <v>113.91344252060712</v>
      </c>
      <c r="W363" s="14" t="s">
        <v>10</v>
      </c>
      <c r="X363" s="7">
        <v>161330</v>
      </c>
      <c r="Y363" s="7">
        <v>924420</v>
      </c>
      <c r="Z363" s="7">
        <v>1001272.7272727273</v>
      </c>
      <c r="AA363" s="7">
        <v>1648</v>
      </c>
      <c r="AB363" s="7">
        <v>7520</v>
      </c>
      <c r="AC363" s="7">
        <v>0</v>
      </c>
      <c r="AD363" s="7">
        <v>954902.52</v>
      </c>
      <c r="AE363" s="7">
        <v>212500</v>
      </c>
      <c r="AF363" s="7">
        <v>9544.1388590240476</v>
      </c>
      <c r="AG363" s="7">
        <f t="shared" si="62"/>
        <v>208708.33507272726</v>
      </c>
      <c r="AH363" s="1">
        <f t="shared" si="58"/>
        <v>21.867696830017525</v>
      </c>
    </row>
    <row r="364" spans="1:34" x14ac:dyDescent="0.25">
      <c r="A364" s="13" t="s">
        <v>0</v>
      </c>
      <c r="B364" s="19">
        <v>46020</v>
      </c>
      <c r="C364" s="7">
        <v>7963</v>
      </c>
      <c r="D364" s="7">
        <v>25704</v>
      </c>
      <c r="E364" s="7">
        <v>0</v>
      </c>
      <c r="F364" s="7">
        <v>5470</v>
      </c>
      <c r="G364" s="7">
        <v>9243</v>
      </c>
      <c r="H364" s="7">
        <v>4365</v>
      </c>
      <c r="I364" s="7">
        <v>0</v>
      </c>
      <c r="J364" s="2">
        <v>15.94999980926514</v>
      </c>
      <c r="K364" s="23">
        <f t="shared" si="60"/>
        <v>102031.18</v>
      </c>
      <c r="L364" s="23">
        <f t="shared" si="59"/>
        <v>11.038751487612247</v>
      </c>
      <c r="M364" s="13" t="s">
        <v>9</v>
      </c>
      <c r="N364" s="7">
        <v>113353.62889996171</v>
      </c>
      <c r="O364" s="7">
        <v>75872.110797825371</v>
      </c>
      <c r="P364" s="7">
        <f t="shared" si="55"/>
        <v>86218.307724801562</v>
      </c>
      <c r="Q364" s="7">
        <v>0</v>
      </c>
      <c r="R364" s="7">
        <v>0</v>
      </c>
      <c r="S364" s="7">
        <f t="shared" si="56"/>
        <v>0</v>
      </c>
      <c r="T364" s="7">
        <v>4423.6113507171394</v>
      </c>
      <c r="U364" s="7">
        <f t="shared" si="61"/>
        <v>443132.66624969593</v>
      </c>
      <c r="V364" s="7">
        <f t="shared" si="57"/>
        <v>100.17441206218464</v>
      </c>
      <c r="W364" s="14" t="s">
        <v>10</v>
      </c>
      <c r="X364" s="7">
        <v>136180</v>
      </c>
      <c r="Y364" s="7">
        <v>754230</v>
      </c>
      <c r="Z364" s="7">
        <v>817090.90909090906</v>
      </c>
      <c r="AA364" s="7">
        <v>1607</v>
      </c>
      <c r="AB364" s="7">
        <v>5685</v>
      </c>
      <c r="AC364" s="7">
        <v>0</v>
      </c>
      <c r="AD364" s="7">
        <v>776346.12</v>
      </c>
      <c r="AE364" s="7">
        <v>112500</v>
      </c>
      <c r="AF364" s="7">
        <v>7710.4952553176881</v>
      </c>
      <c r="AG364" s="7">
        <f t="shared" si="62"/>
        <v>168409.75589090909</v>
      </c>
      <c r="AH364" s="1">
        <f t="shared" si="58"/>
        <v>21.841626291743339</v>
      </c>
    </row>
    <row r="365" spans="1:34" x14ac:dyDescent="0.25">
      <c r="A365" s="13" t="s">
        <v>0</v>
      </c>
      <c r="B365" s="19">
        <v>46021</v>
      </c>
      <c r="C365" s="7">
        <v>12341</v>
      </c>
      <c r="D365" s="7">
        <v>28602</v>
      </c>
      <c r="E365" s="7">
        <v>0</v>
      </c>
      <c r="F365" s="7">
        <v>4290</v>
      </c>
      <c r="G365" s="7">
        <v>8795</v>
      </c>
      <c r="H365" s="7">
        <v>9526</v>
      </c>
      <c r="I365" s="7">
        <v>0</v>
      </c>
      <c r="J365" s="2">
        <v>17.60000038146973</v>
      </c>
      <c r="K365" s="23">
        <f t="shared" si="60"/>
        <v>131348.74</v>
      </c>
      <c r="L365" s="23">
        <f t="shared" si="59"/>
        <v>14.934478681068788</v>
      </c>
      <c r="M365" s="13" t="s">
        <v>9</v>
      </c>
      <c r="N365" s="7">
        <v>111860.27045379579</v>
      </c>
      <c r="O365" s="7">
        <v>72127.889202174629</v>
      </c>
      <c r="P365" s="7">
        <f t="shared" si="55"/>
        <v>81963.51045701663</v>
      </c>
      <c r="Q365" s="7">
        <v>0</v>
      </c>
      <c r="R365" s="7">
        <v>0</v>
      </c>
      <c r="S365" s="7">
        <f t="shared" si="56"/>
        <v>0</v>
      </c>
      <c r="T365" s="7">
        <v>4147.5200124957482</v>
      </c>
      <c r="U365" s="7">
        <f t="shared" si="61"/>
        <v>423396.74323243997</v>
      </c>
      <c r="V365" s="7">
        <f t="shared" si="57"/>
        <v>102.08431591814387</v>
      </c>
      <c r="W365" s="14" t="s">
        <v>10</v>
      </c>
      <c r="X365" s="8">
        <v>137560</v>
      </c>
      <c r="Y365" s="8">
        <v>860503.63636363635</v>
      </c>
      <c r="Z365" s="8">
        <v>931545.45454545459</v>
      </c>
      <c r="AA365" s="8">
        <v>1589</v>
      </c>
      <c r="AB365" s="8">
        <v>4695</v>
      </c>
      <c r="AC365" s="8">
        <v>0</v>
      </c>
      <c r="AD365" s="8">
        <v>886580.64</v>
      </c>
      <c r="AE365" s="8">
        <v>112500</v>
      </c>
      <c r="AF365" s="8">
        <v>8890.9407275390622</v>
      </c>
      <c r="AG365" s="7">
        <f t="shared" si="62"/>
        <v>172468.21778181818</v>
      </c>
      <c r="AH365" s="1">
        <f t="shared" si="58"/>
        <v>19.398196778841413</v>
      </c>
    </row>
    <row r="366" spans="1:34" x14ac:dyDescent="0.25">
      <c r="A366" s="13" t="s">
        <v>0</v>
      </c>
      <c r="B366" s="19">
        <v>46022</v>
      </c>
      <c r="C366" s="7">
        <v>0</v>
      </c>
      <c r="D366" s="7">
        <v>0</v>
      </c>
      <c r="E366" s="7">
        <v>0</v>
      </c>
      <c r="F366" s="7">
        <v>4440</v>
      </c>
      <c r="G366" s="7">
        <v>9144.5</v>
      </c>
      <c r="H366" s="7">
        <v>0</v>
      </c>
      <c r="I366" s="7">
        <v>0</v>
      </c>
      <c r="J366" s="2">
        <v>19.64999961853027</v>
      </c>
      <c r="K366" s="23">
        <f t="shared" si="60"/>
        <v>22200</v>
      </c>
      <c r="L366" s="23">
        <f t="shared" si="59"/>
        <v>2.4276887746733009</v>
      </c>
      <c r="M366" s="13" t="s">
        <v>9</v>
      </c>
      <c r="N366" s="7">
        <v>108570.48528388143</v>
      </c>
      <c r="O366" s="7">
        <v>71199.803038458413</v>
      </c>
      <c r="P366" s="7">
        <f t="shared" si="55"/>
        <v>80908.867089157284</v>
      </c>
      <c r="Q366" s="7">
        <v>0</v>
      </c>
      <c r="R366" s="7">
        <v>0</v>
      </c>
      <c r="S366" s="7">
        <f t="shared" si="56"/>
        <v>0</v>
      </c>
      <c r="T366" s="7">
        <v>3861.3806175873033</v>
      </c>
      <c r="U366" s="7">
        <f t="shared" si="61"/>
        <v>416986.56409690325</v>
      </c>
      <c r="V366" s="7">
        <f t="shared" si="57"/>
        <v>107.98898254102905</v>
      </c>
      <c r="W366" s="14" t="s">
        <v>10</v>
      </c>
      <c r="X366" s="7">
        <v>165210</v>
      </c>
      <c r="Y366" s="7">
        <v>1147112.7272727273</v>
      </c>
      <c r="Z366" s="7">
        <v>1236181.8181818181</v>
      </c>
      <c r="AA366" s="7">
        <v>1670</v>
      </c>
      <c r="AB366" s="7">
        <v>4568</v>
      </c>
      <c r="AC366" s="7">
        <v>0</v>
      </c>
      <c r="AD366" s="7">
        <v>1170025.56</v>
      </c>
      <c r="AE366" s="7">
        <v>237500</v>
      </c>
      <c r="AF366" s="7">
        <v>11729.064895629883</v>
      </c>
      <c r="AG366" s="7">
        <f t="shared" si="62"/>
        <v>214247.61430909089</v>
      </c>
      <c r="AH366" s="1">
        <f t="shared" si="58"/>
        <v>18.26638493482265</v>
      </c>
    </row>
    <row r="367" spans="1:34" x14ac:dyDescent="0.25">
      <c r="A367" s="13" t="s">
        <v>0</v>
      </c>
      <c r="B367" s="19">
        <v>46023</v>
      </c>
      <c r="C367" s="7">
        <v>12235</v>
      </c>
      <c r="D367" s="7">
        <v>31976</v>
      </c>
      <c r="E367" s="7">
        <v>0</v>
      </c>
      <c r="F367" s="7">
        <v>0</v>
      </c>
      <c r="G367" s="7">
        <v>10760</v>
      </c>
      <c r="H367" s="7">
        <v>8763</v>
      </c>
      <c r="I367" s="7">
        <v>0</v>
      </c>
      <c r="J367" s="2">
        <v>20.35000038146973</v>
      </c>
      <c r="K367" s="23">
        <f>C367*8.601+D367*0.52+E367*7.2+F367*5</f>
        <v>121860.75500000002</v>
      </c>
      <c r="L367" s="23">
        <f t="shared" si="59"/>
        <v>11.325348977695169</v>
      </c>
      <c r="M367" s="13" t="s">
        <v>9</v>
      </c>
      <c r="N367" s="7">
        <v>108797.17127354443</v>
      </c>
      <c r="O367" s="7">
        <v>69199.611024041587</v>
      </c>
      <c r="P367" s="7">
        <f t="shared" si="55"/>
        <v>78635.921618229069</v>
      </c>
      <c r="Q367" s="7">
        <v>0</v>
      </c>
      <c r="R367" s="7">
        <v>0</v>
      </c>
      <c r="S367" s="7">
        <f t="shared" si="56"/>
        <v>0</v>
      </c>
      <c r="T367" s="7">
        <v>3713.658042601659</v>
      </c>
      <c r="U367" s="7">
        <f>N367*0.52+P367*4.615+Q367*4.35+S367*8.89</f>
        <v>419479.3073303703</v>
      </c>
      <c r="V367" s="7">
        <f t="shared" si="57"/>
        <v>112.95582482777488</v>
      </c>
      <c r="W367" s="14" t="s">
        <v>10</v>
      </c>
      <c r="X367" s="7">
        <v>156570</v>
      </c>
      <c r="Y367" s="7">
        <v>1022830.9090909092</v>
      </c>
      <c r="Z367" s="7">
        <v>1089363.6363636362</v>
      </c>
      <c r="AA367" s="7">
        <v>1627</v>
      </c>
      <c r="AB367" s="7">
        <v>4333</v>
      </c>
      <c r="AC367" s="7">
        <v>0</v>
      </c>
      <c r="AD367" s="7">
        <v>1043966.8800000001</v>
      </c>
      <c r="AE367" s="7">
        <v>237500</v>
      </c>
      <c r="AF367" s="7">
        <v>10410.312717475892</v>
      </c>
      <c r="AG367" s="7">
        <f t="shared" si="62"/>
        <v>198319.72047272729</v>
      </c>
      <c r="AH367" s="1">
        <f t="shared" si="58"/>
        <v>19.050313458865272</v>
      </c>
    </row>
    <row r="368" spans="1:34" x14ac:dyDescent="0.25">
      <c r="A368" s="13" t="s">
        <v>0</v>
      </c>
      <c r="B368" s="19">
        <v>46024</v>
      </c>
      <c r="C368" s="7">
        <v>7247</v>
      </c>
      <c r="D368" s="7">
        <v>31500</v>
      </c>
      <c r="E368" s="7">
        <v>20000</v>
      </c>
      <c r="F368" s="7">
        <v>0</v>
      </c>
      <c r="G368" s="7">
        <v>10404</v>
      </c>
      <c r="H368" s="7">
        <v>8743</v>
      </c>
      <c r="I368" s="7">
        <v>80000</v>
      </c>
      <c r="J368" s="2">
        <v>17.39999961853027</v>
      </c>
      <c r="K368" s="23">
        <f t="shared" ref="K368:K397" si="63">C368*8.601+D368*0.52+E368*7.2+F368*5</f>
        <v>222711.44700000001</v>
      </c>
      <c r="L368" s="23">
        <f t="shared" si="59"/>
        <v>21.406329008073818</v>
      </c>
      <c r="M368" s="13" t="s">
        <v>9</v>
      </c>
      <c r="N368" s="7">
        <v>108006.04473182559</v>
      </c>
      <c r="O368" s="7">
        <v>77000</v>
      </c>
      <c r="P368" s="7">
        <f t="shared" si="55"/>
        <v>87500</v>
      </c>
      <c r="Q368" s="7">
        <v>0</v>
      </c>
      <c r="R368" s="7">
        <v>0</v>
      </c>
      <c r="S368" s="7">
        <f t="shared" si="56"/>
        <v>0</v>
      </c>
      <c r="T368" s="7">
        <v>4658.1417459046352</v>
      </c>
      <c r="U368" s="7">
        <f t="shared" ref="U368:U397" si="64">N368*0.52+P368*4.615+Q368*4.35+S368*8.89</f>
        <v>459975.64326054929</v>
      </c>
      <c r="V368" s="7">
        <f t="shared" si="57"/>
        <v>98.746596465200454</v>
      </c>
      <c r="W368" s="14" t="s">
        <v>10</v>
      </c>
      <c r="X368" s="7">
        <v>161140</v>
      </c>
      <c r="Y368" s="7">
        <v>1093003.6363636362</v>
      </c>
      <c r="Z368" s="7">
        <v>1169363.6363636362</v>
      </c>
      <c r="AA368" s="7">
        <v>1620</v>
      </c>
      <c r="AB368" s="7">
        <v>4101</v>
      </c>
      <c r="AC368" s="7">
        <v>0</v>
      </c>
      <c r="AD368" s="7">
        <v>1127150.6400000001</v>
      </c>
      <c r="AE368" s="7">
        <v>237500</v>
      </c>
      <c r="AF368" s="7">
        <v>11275.323411598205</v>
      </c>
      <c r="AG368" s="7">
        <f t="shared" si="62"/>
        <v>205322.7996</v>
      </c>
      <c r="AH368" s="1">
        <f t="shared" si="58"/>
        <v>18.20992552539979</v>
      </c>
    </row>
    <row r="369" spans="1:34" x14ac:dyDescent="0.25">
      <c r="A369" s="13" t="s">
        <v>0</v>
      </c>
      <c r="B369" s="19">
        <v>46025</v>
      </c>
      <c r="C369" s="7">
        <v>11083</v>
      </c>
      <c r="D369" s="7">
        <v>30700</v>
      </c>
      <c r="E369" s="7">
        <v>0</v>
      </c>
      <c r="F369" s="7">
        <v>0</v>
      </c>
      <c r="G369" s="7">
        <v>3038</v>
      </c>
      <c r="H369" s="7">
        <v>4772</v>
      </c>
      <c r="I369" s="7">
        <v>0</v>
      </c>
      <c r="J369" s="2">
        <v>15.69999980926514</v>
      </c>
      <c r="K369" s="23">
        <f t="shared" si="63"/>
        <v>111288.88300000002</v>
      </c>
      <c r="L369" s="23">
        <f t="shared" si="59"/>
        <v>36.632285385121797</v>
      </c>
      <c r="M369" s="13" t="s">
        <v>9</v>
      </c>
      <c r="N369" s="7">
        <v>32958.369606241584</v>
      </c>
      <c r="O369" s="7">
        <v>10799.8046875</v>
      </c>
      <c r="P369" s="7">
        <f t="shared" si="55"/>
        <v>12272.505326704546</v>
      </c>
      <c r="Q369" s="7">
        <v>0</v>
      </c>
      <c r="R369" s="7">
        <v>0</v>
      </c>
      <c r="S369" s="7">
        <f t="shared" si="56"/>
        <v>0</v>
      </c>
      <c r="T369" s="7">
        <v>505.41334390640259</v>
      </c>
      <c r="U369" s="7">
        <f t="shared" si="64"/>
        <v>73775.964277987106</v>
      </c>
      <c r="V369" s="7">
        <f t="shared" si="57"/>
        <v>145.9715402600246</v>
      </c>
      <c r="W369" s="14" t="s">
        <v>10</v>
      </c>
      <c r="X369" s="7">
        <v>60220</v>
      </c>
      <c r="Y369" s="7">
        <v>122083.63636363637</v>
      </c>
      <c r="Z369" s="7">
        <v>130727.27272727274</v>
      </c>
      <c r="AA369" s="7">
        <v>1668</v>
      </c>
      <c r="AB369" s="7">
        <v>6580</v>
      </c>
      <c r="AC369" s="7">
        <v>0</v>
      </c>
      <c r="AD369" s="7">
        <v>125844.84</v>
      </c>
      <c r="AE369" s="7">
        <v>50000</v>
      </c>
      <c r="AF369" s="7">
        <v>1250.0623948669434</v>
      </c>
      <c r="AG369" s="7">
        <f t="shared" si="62"/>
        <v>81018.728963636371</v>
      </c>
      <c r="AH369" s="1">
        <f t="shared" si="58"/>
        <v>64.811748034593109</v>
      </c>
    </row>
    <row r="370" spans="1:34" x14ac:dyDescent="0.25">
      <c r="A370" s="13" t="s">
        <v>0</v>
      </c>
      <c r="B370" s="19">
        <v>46026</v>
      </c>
      <c r="C370" s="7">
        <v>6493</v>
      </c>
      <c r="D370" s="7">
        <v>25278</v>
      </c>
      <c r="E370" s="7">
        <v>0</v>
      </c>
      <c r="F370" s="7">
        <v>0</v>
      </c>
      <c r="G370" s="24">
        <v>3359.75</v>
      </c>
      <c r="H370" s="7">
        <v>2562</v>
      </c>
      <c r="I370" s="7">
        <v>0</v>
      </c>
      <c r="J370" s="2">
        <v>14.75</v>
      </c>
      <c r="K370" s="23">
        <f t="shared" si="63"/>
        <v>68990.853000000003</v>
      </c>
      <c r="L370" s="23">
        <f t="shared" si="59"/>
        <v>20.534519830344522</v>
      </c>
      <c r="M370" s="13" t="s">
        <v>9</v>
      </c>
      <c r="N370" s="7">
        <v>101445.7388278693</v>
      </c>
      <c r="O370" s="7">
        <v>59200.1953125</v>
      </c>
      <c r="P370" s="7">
        <f t="shared" si="55"/>
        <v>67272.94921875</v>
      </c>
      <c r="Q370" s="7">
        <v>0</v>
      </c>
      <c r="R370" s="7">
        <v>0</v>
      </c>
      <c r="S370" s="7">
        <f t="shared" si="56"/>
        <v>0</v>
      </c>
      <c r="T370" s="7">
        <v>3509.718081518251</v>
      </c>
      <c r="U370" s="7">
        <f t="shared" si="64"/>
        <v>363216.44483502326</v>
      </c>
      <c r="V370" s="7">
        <f t="shared" si="57"/>
        <v>103.48878069371922</v>
      </c>
      <c r="W370" s="14" t="s">
        <v>10</v>
      </c>
      <c r="X370" s="7">
        <v>31400</v>
      </c>
      <c r="Y370" s="5">
        <v>166681.36363649368</v>
      </c>
      <c r="Z370" s="5">
        <v>179636.363636255</v>
      </c>
      <c r="AA370" s="7">
        <v>1648</v>
      </c>
      <c r="AB370" s="7">
        <v>7348</v>
      </c>
      <c r="AC370" s="7">
        <v>0</v>
      </c>
      <c r="AD370" s="7">
        <v>1069385</v>
      </c>
      <c r="AE370" s="7">
        <v>96849</v>
      </c>
      <c r="AF370" s="7">
        <v>1711.09539409541</v>
      </c>
      <c r="AG370" s="7">
        <f t="shared" si="62"/>
        <v>88909.76250000023</v>
      </c>
      <c r="AH370" s="1">
        <f t="shared" si="58"/>
        <v>51.96072808494899</v>
      </c>
    </row>
    <row r="371" spans="1:34" x14ac:dyDescent="0.25">
      <c r="A371" s="13" t="s">
        <v>0</v>
      </c>
      <c r="B371" s="19">
        <v>46027</v>
      </c>
      <c r="C371" s="8">
        <v>7438</v>
      </c>
      <c r="D371" s="8">
        <v>31803</v>
      </c>
      <c r="E371" s="8">
        <v>0</v>
      </c>
      <c r="F371" s="7">
        <v>0</v>
      </c>
      <c r="G371" s="24">
        <v>3681.5</v>
      </c>
      <c r="H371" s="8">
        <v>3115</v>
      </c>
      <c r="I371" s="8">
        <v>0</v>
      </c>
      <c r="J371" s="2">
        <v>11.25</v>
      </c>
      <c r="K371" s="23">
        <f t="shared" si="63"/>
        <v>80511.79800000001</v>
      </c>
      <c r="L371" s="23">
        <f t="shared" si="59"/>
        <v>21.869291864729053</v>
      </c>
      <c r="M371" s="13" t="s">
        <v>9</v>
      </c>
      <c r="N371" s="7">
        <v>109235.25412160158</v>
      </c>
      <c r="O371" s="7">
        <v>72653.463489650676</v>
      </c>
      <c r="P371" s="7">
        <f t="shared" si="55"/>
        <v>82560.753965512136</v>
      </c>
      <c r="Q371" s="7">
        <v>0</v>
      </c>
      <c r="R371" s="7">
        <v>0</v>
      </c>
      <c r="S371" s="7">
        <f t="shared" si="56"/>
        <v>0</v>
      </c>
      <c r="T371" s="7">
        <v>5324.4818444824195</v>
      </c>
      <c r="U371" s="7">
        <f t="shared" si="64"/>
        <v>437820.21169407136</v>
      </c>
      <c r="V371" s="7">
        <f t="shared" si="57"/>
        <v>82.227759335449633</v>
      </c>
      <c r="W371" s="14" t="s">
        <v>10</v>
      </c>
      <c r="X371" s="8">
        <v>63631.25</v>
      </c>
      <c r="Y371" s="8">
        <v>211279.09090909091</v>
      </c>
      <c r="Z371" s="8">
        <v>228545.45454545453</v>
      </c>
      <c r="AA371" s="8">
        <v>1650</v>
      </c>
      <c r="AB371" s="8">
        <v>5099</v>
      </c>
      <c r="AC371" s="8">
        <v>0</v>
      </c>
      <c r="AD371" s="8">
        <v>231054.12</v>
      </c>
      <c r="AE371" s="8">
        <v>25000</v>
      </c>
      <c r="AF371" s="8">
        <v>2172.1283933258055</v>
      </c>
      <c r="AG371" s="7">
        <f t="shared" si="62"/>
        <v>81458.970436363627</v>
      </c>
      <c r="AH371" s="1">
        <f t="shared" si="58"/>
        <v>37.501913186466645</v>
      </c>
    </row>
    <row r="372" spans="1:34" x14ac:dyDescent="0.25">
      <c r="A372" s="13" t="s">
        <v>0</v>
      </c>
      <c r="B372" s="19">
        <v>46028</v>
      </c>
      <c r="C372" s="7">
        <v>4641</v>
      </c>
      <c r="D372" s="7">
        <v>28243</v>
      </c>
      <c r="E372" s="7">
        <v>35000</v>
      </c>
      <c r="F372" s="7">
        <v>0</v>
      </c>
      <c r="G372" s="24">
        <v>4003.25</v>
      </c>
      <c r="H372" s="7">
        <v>6470</v>
      </c>
      <c r="I372" s="7">
        <v>140000</v>
      </c>
      <c r="J372" s="2">
        <v>11.35000038146973</v>
      </c>
      <c r="K372" s="23">
        <f t="shared" si="63"/>
        <v>306603.60100000002</v>
      </c>
      <c r="L372" s="23">
        <f t="shared" si="59"/>
        <v>76.588671954037352</v>
      </c>
      <c r="M372" s="13" t="s">
        <v>9</v>
      </c>
      <c r="N372" s="7">
        <v>112360.27315227687</v>
      </c>
      <c r="O372" s="7">
        <v>74646.341197849324</v>
      </c>
      <c r="P372" s="7">
        <f t="shared" si="55"/>
        <v>84825.387724828775</v>
      </c>
      <c r="Q372" s="7">
        <v>0</v>
      </c>
      <c r="R372" s="7">
        <v>0</v>
      </c>
      <c r="S372" s="7">
        <f t="shared" si="56"/>
        <v>0</v>
      </c>
      <c r="T372" s="7">
        <v>5902.2260968341143</v>
      </c>
      <c r="U372" s="7">
        <f t="shared" si="64"/>
        <v>449896.50638926879</v>
      </c>
      <c r="V372" s="7">
        <f t="shared" si="57"/>
        <v>76.224885154871998</v>
      </c>
      <c r="W372" s="14" t="s">
        <v>10</v>
      </c>
      <c r="X372" s="7">
        <v>153177.34375</v>
      </c>
      <c r="Y372" s="7">
        <v>885951.81818181823</v>
      </c>
      <c r="Z372" s="7">
        <v>970090.90909090894</v>
      </c>
      <c r="AA372" s="7">
        <v>1830</v>
      </c>
      <c r="AB372" s="7">
        <v>4016</v>
      </c>
      <c r="AC372" s="7">
        <v>0</v>
      </c>
      <c r="AD372" s="7">
        <v>964953.00000000012</v>
      </c>
      <c r="AE372" s="7">
        <v>175000</v>
      </c>
      <c r="AF372" s="7">
        <v>9196.3868951797485</v>
      </c>
      <c r="AG372" s="7">
        <f t="shared" si="62"/>
        <v>183864.0496590909</v>
      </c>
      <c r="AH372" s="1">
        <f t="shared" si="58"/>
        <v>19.993074644941544</v>
      </c>
    </row>
    <row r="373" spans="1:34" x14ac:dyDescent="0.25">
      <c r="A373" s="13" t="s">
        <v>0</v>
      </c>
      <c r="B373" s="19">
        <v>46029</v>
      </c>
      <c r="C373" s="7">
        <v>13019</v>
      </c>
      <c r="D373" s="7">
        <v>33043</v>
      </c>
      <c r="E373" s="7">
        <v>4000</v>
      </c>
      <c r="F373" s="7">
        <v>0</v>
      </c>
      <c r="G373" s="7">
        <v>4325</v>
      </c>
      <c r="H373" s="7">
        <v>7592</v>
      </c>
      <c r="I373" s="7">
        <v>16666</v>
      </c>
      <c r="J373" s="2">
        <v>14.64999961853027</v>
      </c>
      <c r="K373" s="23">
        <f t="shared" si="63"/>
        <v>157958.77900000001</v>
      </c>
      <c r="L373" s="23">
        <f t="shared" si="59"/>
        <v>36.522261040462432</v>
      </c>
      <c r="M373" s="13" t="s">
        <v>9</v>
      </c>
      <c r="N373" s="7">
        <v>113986</v>
      </c>
      <c r="O373" s="7">
        <v>72100</v>
      </c>
      <c r="P373" s="7">
        <f t="shared" si="55"/>
        <v>81931.818181818177</v>
      </c>
      <c r="Q373" s="7">
        <v>0</v>
      </c>
      <c r="R373" s="7">
        <v>0</v>
      </c>
      <c r="S373" s="7">
        <f t="shared" si="56"/>
        <v>0</v>
      </c>
      <c r="T373" s="7">
        <v>5140</v>
      </c>
      <c r="U373" s="7">
        <f t="shared" si="64"/>
        <v>437388.06090909091</v>
      </c>
      <c r="V373" s="7">
        <f t="shared" si="57"/>
        <v>85.094953484258937</v>
      </c>
      <c r="W373" s="14" t="s">
        <v>10</v>
      </c>
      <c r="X373" s="7">
        <v>152791.40625</v>
      </c>
      <c r="Y373" s="7">
        <v>944119.09090909082</v>
      </c>
      <c r="Z373" s="7">
        <v>1028545.4545454545</v>
      </c>
      <c r="AA373" s="7">
        <v>1627</v>
      </c>
      <c r="AB373" s="7">
        <v>4584</v>
      </c>
      <c r="AC373" s="7">
        <v>0</v>
      </c>
      <c r="AD373" s="7">
        <v>1041614.6400000002</v>
      </c>
      <c r="AE373" s="7">
        <v>125000</v>
      </c>
      <c r="AF373" s="7">
        <v>9911.2230764770502</v>
      </c>
      <c r="AG373" s="7">
        <f t="shared" si="62"/>
        <v>188322.59948636364</v>
      </c>
      <c r="AH373" s="1">
        <f t="shared" si="58"/>
        <v>19.00094448820569</v>
      </c>
    </row>
    <row r="374" spans="1:34" x14ac:dyDescent="0.25">
      <c r="A374" s="13" t="s">
        <v>0</v>
      </c>
      <c r="B374" s="19">
        <v>46030</v>
      </c>
      <c r="C374" s="7">
        <v>8382</v>
      </c>
      <c r="D374" s="7">
        <v>40682</v>
      </c>
      <c r="E374" s="7">
        <v>5000</v>
      </c>
      <c r="F374" s="7">
        <v>0</v>
      </c>
      <c r="G374" s="7">
        <v>5413</v>
      </c>
      <c r="H374" s="7">
        <v>7920</v>
      </c>
      <c r="I374" s="7">
        <v>20000</v>
      </c>
      <c r="J374" s="2">
        <v>14.5</v>
      </c>
      <c r="K374" s="23">
        <f t="shared" si="63"/>
        <v>129248.22200000001</v>
      </c>
      <c r="L374" s="23">
        <f t="shared" si="59"/>
        <v>23.877373360428599</v>
      </c>
      <c r="M374" s="13" t="s">
        <v>9</v>
      </c>
      <c r="N374" s="7">
        <v>117396</v>
      </c>
      <c r="O374" s="7">
        <v>74800</v>
      </c>
      <c r="P374" s="7">
        <f t="shared" si="55"/>
        <v>85000</v>
      </c>
      <c r="Q374" s="7">
        <v>0</v>
      </c>
      <c r="R374" s="7">
        <v>0</v>
      </c>
      <c r="S374" s="7">
        <f t="shared" si="56"/>
        <v>0</v>
      </c>
      <c r="T374" s="7">
        <v>5145</v>
      </c>
      <c r="U374" s="7">
        <f t="shared" si="64"/>
        <v>453320.92</v>
      </c>
      <c r="V374" s="7">
        <f t="shared" si="57"/>
        <v>88.109022351797861</v>
      </c>
      <c r="W374" s="14" t="s">
        <v>10</v>
      </c>
      <c r="X374" s="7">
        <v>149078.90625</v>
      </c>
      <c r="Y374" s="7">
        <v>1089875.4545454546</v>
      </c>
      <c r="Z374" s="7">
        <v>1201636.3636363635</v>
      </c>
      <c r="AA374" s="7">
        <v>2110</v>
      </c>
      <c r="AB374" s="7">
        <v>4052</v>
      </c>
      <c r="AC374" s="7">
        <v>0</v>
      </c>
      <c r="AD374" s="7">
        <v>1171843.2</v>
      </c>
      <c r="AE374" s="7">
        <v>112500</v>
      </c>
      <c r="AF374" s="7">
        <v>11294.656058540344</v>
      </c>
      <c r="AG374" s="7">
        <f t="shared" si="62"/>
        <v>196264.99334090907</v>
      </c>
      <c r="AH374" s="1">
        <f t="shared" si="58"/>
        <v>17.376801234465677</v>
      </c>
    </row>
    <row r="375" spans="1:34" x14ac:dyDescent="0.25">
      <c r="A375" s="13" t="s">
        <v>0</v>
      </c>
      <c r="B375" s="19">
        <v>46031</v>
      </c>
      <c r="C375" s="7">
        <v>9051</v>
      </c>
      <c r="D375" s="7">
        <v>34682</v>
      </c>
      <c r="E375" s="7">
        <v>18750</v>
      </c>
      <c r="F375" s="7">
        <v>0</v>
      </c>
      <c r="G375" s="7">
        <v>5896</v>
      </c>
      <c r="H375" s="7">
        <v>5212</v>
      </c>
      <c r="I375" s="7">
        <v>75000</v>
      </c>
      <c r="J375" s="2">
        <v>15.89999961853027</v>
      </c>
      <c r="K375" s="23">
        <f t="shared" si="63"/>
        <v>230882.29100000003</v>
      </c>
      <c r="L375" s="23">
        <f t="shared" si="59"/>
        <v>39.159140264586163</v>
      </c>
      <c r="M375" s="13" t="s">
        <v>9</v>
      </c>
      <c r="N375" s="7">
        <v>113504.92305615544</v>
      </c>
      <c r="O375" s="7">
        <v>73599.609375</v>
      </c>
      <c r="P375" s="7">
        <f t="shared" si="55"/>
        <v>83635.919744318177</v>
      </c>
      <c r="Q375" s="7">
        <v>0</v>
      </c>
      <c r="R375" s="7">
        <v>0</v>
      </c>
      <c r="S375" s="7">
        <f t="shared" si="56"/>
        <v>0</v>
      </c>
      <c r="T375" s="7">
        <v>4724.1706378998933</v>
      </c>
      <c r="U375" s="7">
        <f t="shared" si="64"/>
        <v>445002.32960922923</v>
      </c>
      <c r="V375" s="7">
        <f t="shared" si="57"/>
        <v>94.196921262575898</v>
      </c>
      <c r="W375" s="14" t="s">
        <v>10</v>
      </c>
      <c r="X375" s="7">
        <v>49740</v>
      </c>
      <c r="Y375" s="7">
        <v>207220.90909090909</v>
      </c>
      <c r="Z375" s="7">
        <v>225181.81818181818</v>
      </c>
      <c r="AA375" s="7">
        <v>2124</v>
      </c>
      <c r="AB375" s="7">
        <v>4454</v>
      </c>
      <c r="AC375" s="7">
        <v>0</v>
      </c>
      <c r="AD375" s="7">
        <v>221645.16</v>
      </c>
      <c r="AE375" s="7">
        <v>50000</v>
      </c>
      <c r="AF375" s="7">
        <v>2165.5949954986572</v>
      </c>
      <c r="AG375" s="7">
        <f t="shared" si="62"/>
        <v>73193.091490909093</v>
      </c>
      <c r="AH375" s="1">
        <f t="shared" si="58"/>
        <v>33.798143994166097</v>
      </c>
    </row>
    <row r="376" spans="1:34" x14ac:dyDescent="0.25">
      <c r="A376" s="13" t="s">
        <v>0</v>
      </c>
      <c r="B376" s="19">
        <v>46032</v>
      </c>
      <c r="C376" s="8">
        <v>9962</v>
      </c>
      <c r="D376" s="8">
        <v>34682</v>
      </c>
      <c r="E376" s="8">
        <v>0</v>
      </c>
      <c r="F376" s="7">
        <v>0</v>
      </c>
      <c r="G376" s="8">
        <v>4330</v>
      </c>
      <c r="H376" s="8">
        <v>5375</v>
      </c>
      <c r="I376" s="8">
        <v>0</v>
      </c>
      <c r="J376" s="2">
        <v>16</v>
      </c>
      <c r="K376" s="23">
        <f t="shared" si="63"/>
        <v>103717.80200000001</v>
      </c>
      <c r="L376" s="23">
        <f t="shared" si="59"/>
        <v>23.953303002309472</v>
      </c>
      <c r="M376" s="13" t="s">
        <v>9</v>
      </c>
      <c r="N376" s="7">
        <v>109950.85760682821</v>
      </c>
      <c r="O376" s="7">
        <v>56300.78125</v>
      </c>
      <c r="P376" s="7">
        <f t="shared" si="55"/>
        <v>63978.16051136364</v>
      </c>
      <c r="Q376" s="7">
        <v>0</v>
      </c>
      <c r="R376" s="7">
        <v>0</v>
      </c>
      <c r="S376" s="7">
        <f t="shared" si="56"/>
        <v>0</v>
      </c>
      <c r="T376" s="7">
        <v>3718.9156030970407</v>
      </c>
      <c r="U376" s="7">
        <f t="shared" si="64"/>
        <v>352433.65671549388</v>
      </c>
      <c r="V376" s="7">
        <f t="shared" si="57"/>
        <v>94.76785556036657</v>
      </c>
      <c r="W376" s="14" t="s">
        <v>10</v>
      </c>
      <c r="X376" s="8">
        <v>40479.6875</v>
      </c>
      <c r="Y376" s="8">
        <v>62563.636363636375</v>
      </c>
      <c r="Z376" s="8">
        <v>68090.909090909088</v>
      </c>
      <c r="AA376" s="8">
        <v>2110</v>
      </c>
      <c r="AB376" s="8">
        <v>3811</v>
      </c>
      <c r="AC376" s="8">
        <v>0</v>
      </c>
      <c r="AD376" s="8">
        <v>68963.399999999994</v>
      </c>
      <c r="AE376" s="8">
        <v>0</v>
      </c>
      <c r="AF376" s="8">
        <v>794.7720016479492</v>
      </c>
      <c r="AG376" s="7">
        <f>X376*0.52+Y376*0.0285+Z376*0.032+AA376*3+AB376*5+AD376*0.015+AE376*0.045</f>
        <v>51430.861227272733</v>
      </c>
      <c r="AH376" s="1">
        <f t="shared" si="58"/>
        <v>64.711465829988384</v>
      </c>
    </row>
    <row r="377" spans="1:34" x14ac:dyDescent="0.25">
      <c r="A377" s="13" t="s">
        <v>0</v>
      </c>
      <c r="B377" s="19">
        <v>46033</v>
      </c>
      <c r="C377" s="7">
        <v>7813</v>
      </c>
      <c r="D377" s="7">
        <v>34682</v>
      </c>
      <c r="E377" s="7">
        <v>0</v>
      </c>
      <c r="F377" s="7">
        <v>0</v>
      </c>
      <c r="G377" s="7">
        <v>3731</v>
      </c>
      <c r="H377" s="7">
        <v>5682</v>
      </c>
      <c r="I377" s="7">
        <v>0</v>
      </c>
      <c r="J377" s="2">
        <v>18.14999961853027</v>
      </c>
      <c r="K377" s="23">
        <f t="shared" si="63"/>
        <v>85234.253000000012</v>
      </c>
      <c r="L377" s="23">
        <f t="shared" si="59"/>
        <v>22.844881533101049</v>
      </c>
      <c r="M377" s="13" t="s">
        <v>9</v>
      </c>
      <c r="N377" s="7">
        <v>116191.87183456123</v>
      </c>
      <c r="O377" s="7">
        <v>68399.4140625</v>
      </c>
      <c r="P377" s="7">
        <f t="shared" si="55"/>
        <v>77726.606889204544</v>
      </c>
      <c r="Q377" s="7">
        <v>0</v>
      </c>
      <c r="R377" s="7">
        <v>0</v>
      </c>
      <c r="S377" s="7">
        <f t="shared" si="56"/>
        <v>0</v>
      </c>
      <c r="T377" s="7">
        <v>4838.6787639483737</v>
      </c>
      <c r="U377" s="7">
        <f t="shared" si="64"/>
        <v>419128.06414765085</v>
      </c>
      <c r="V377" s="7">
        <f t="shared" si="57"/>
        <v>86.620353322575468</v>
      </c>
      <c r="W377" s="14" t="s">
        <v>10</v>
      </c>
      <c r="X377" s="7">
        <v>163250</v>
      </c>
      <c r="Y377" s="7">
        <v>1217285.4545454546</v>
      </c>
      <c r="Z377" s="7">
        <v>1303090.9090909092</v>
      </c>
      <c r="AA377" s="7">
        <v>2091</v>
      </c>
      <c r="AB377" s="7">
        <v>4379</v>
      </c>
      <c r="AC377" s="7">
        <v>0</v>
      </c>
      <c r="AD377" s="7">
        <v>1252460.8799999999</v>
      </c>
      <c r="AE377" s="7">
        <v>100000</v>
      </c>
      <c r="AF377" s="7">
        <v>12418.616064147949</v>
      </c>
      <c r="AG377" s="7">
        <f t="shared" si="62"/>
        <v>212736.45774545457</v>
      </c>
      <c r="AH377" s="1">
        <f t="shared" si="58"/>
        <v>17.130448082666494</v>
      </c>
    </row>
    <row r="378" spans="1:34" x14ac:dyDescent="0.25">
      <c r="A378" s="13" t="s">
        <v>0</v>
      </c>
      <c r="B378" s="19">
        <v>46034</v>
      </c>
      <c r="C378" s="7">
        <v>10349</v>
      </c>
      <c r="D378" s="7">
        <v>36521</v>
      </c>
      <c r="E378" s="7">
        <v>16000</v>
      </c>
      <c r="F378" s="7">
        <v>0</v>
      </c>
      <c r="G378" s="7">
        <v>5698</v>
      </c>
      <c r="H378" s="7">
        <v>8956</v>
      </c>
      <c r="I378" s="7">
        <v>64000</v>
      </c>
      <c r="J378" s="2">
        <v>17.04999923706055</v>
      </c>
      <c r="K378" s="23">
        <f t="shared" si="63"/>
        <v>223202.66899999999</v>
      </c>
      <c r="L378" s="23">
        <f t="shared" si="59"/>
        <v>39.172107581607584</v>
      </c>
      <c r="M378" s="13" t="s">
        <v>9</v>
      </c>
      <c r="N378" s="7">
        <v>114767.61213187873</v>
      </c>
      <c r="O378" s="7">
        <v>68400.390625</v>
      </c>
      <c r="P378" s="7">
        <f t="shared" si="55"/>
        <v>77727.716619318177</v>
      </c>
      <c r="Q378" s="7">
        <v>0</v>
      </c>
      <c r="R378" s="7">
        <v>0</v>
      </c>
      <c r="S378" s="7">
        <f t="shared" si="56"/>
        <v>0</v>
      </c>
      <c r="T378" s="7">
        <v>4844.5826065138681</v>
      </c>
      <c r="U378" s="7">
        <f t="shared" si="64"/>
        <v>418392.57050673035</v>
      </c>
      <c r="V378" s="7">
        <f t="shared" si="57"/>
        <v>86.362975820491386</v>
      </c>
      <c r="W378" s="14" t="s">
        <v>10</v>
      </c>
      <c r="X378" s="7">
        <v>162570</v>
      </c>
      <c r="Y378" s="7">
        <v>1223964.5454545454</v>
      </c>
      <c r="Z378" s="7">
        <v>1311272.7272727273</v>
      </c>
      <c r="AA378" s="7">
        <v>2071</v>
      </c>
      <c r="AB378" s="7">
        <v>4281</v>
      </c>
      <c r="AC378" s="7">
        <v>0</v>
      </c>
      <c r="AD378" s="7">
        <v>1258876.08</v>
      </c>
      <c r="AE378" s="7">
        <v>125000</v>
      </c>
      <c r="AF378" s="7">
        <v>12582.357755584717</v>
      </c>
      <c r="AG378" s="7">
        <f t="shared" si="62"/>
        <v>213506.25801818183</v>
      </c>
      <c r="AH378" s="1">
        <f t="shared" si="58"/>
        <v>16.968700315599946</v>
      </c>
    </row>
    <row r="379" spans="1:34" x14ac:dyDescent="0.25">
      <c r="A379" s="13" t="s">
        <v>0</v>
      </c>
      <c r="B379" s="19">
        <v>46035</v>
      </c>
      <c r="C379" s="7">
        <v>8462</v>
      </c>
      <c r="D379" s="7">
        <v>28870</v>
      </c>
      <c r="E379" s="7">
        <v>28000</v>
      </c>
      <c r="F379" s="7">
        <v>0</v>
      </c>
      <c r="G379" s="7">
        <v>7831</v>
      </c>
      <c r="H379" s="7">
        <v>7652</v>
      </c>
      <c r="I379" s="7">
        <v>112000</v>
      </c>
      <c r="J379" s="2">
        <v>14.30000019073486</v>
      </c>
      <c r="K379" s="23">
        <f t="shared" si="63"/>
        <v>289394.06200000003</v>
      </c>
      <c r="L379" s="23">
        <f t="shared" si="59"/>
        <v>36.954930660196659</v>
      </c>
      <c r="M379" s="13" t="s">
        <v>9</v>
      </c>
      <c r="N379" s="7">
        <v>113498.22926437855</v>
      </c>
      <c r="O379" s="7">
        <v>65500</v>
      </c>
      <c r="P379" s="7">
        <f t="shared" si="55"/>
        <v>74431.818181818177</v>
      </c>
      <c r="Q379" s="7">
        <v>0</v>
      </c>
      <c r="R379" s="7">
        <v>0</v>
      </c>
      <c r="S379" s="7">
        <f t="shared" si="56"/>
        <v>0</v>
      </c>
      <c r="T379" s="7">
        <v>5061.8184892578283</v>
      </c>
      <c r="U379" s="7">
        <f t="shared" si="64"/>
        <v>402521.92012656771</v>
      </c>
      <c r="V379" s="7">
        <f t="shared" si="57"/>
        <v>79.521207838803022</v>
      </c>
      <c r="W379" s="14" t="s">
        <v>10</v>
      </c>
      <c r="X379" s="7">
        <v>160960</v>
      </c>
      <c r="Y379" s="7">
        <v>1253978.1818181816</v>
      </c>
      <c r="Z379" s="7">
        <v>1343454.5454545454</v>
      </c>
      <c r="AA379" s="7">
        <v>2089</v>
      </c>
      <c r="AB379" s="7">
        <v>4431</v>
      </c>
      <c r="AC379" s="7">
        <v>0</v>
      </c>
      <c r="AD379" s="7">
        <v>1312870.68</v>
      </c>
      <c r="AE379" s="7">
        <v>150000</v>
      </c>
      <c r="AF379" s="7">
        <v>12812.58</v>
      </c>
      <c r="AG379" s="7">
        <f t="shared" si="62"/>
        <v>217293.18383636366</v>
      </c>
      <c r="AH379" s="1">
        <f t="shared" si="58"/>
        <v>16.959362114138109</v>
      </c>
    </row>
    <row r="380" spans="1:34" x14ac:dyDescent="0.25">
      <c r="A380" s="13" t="s">
        <v>0</v>
      </c>
      <c r="B380" s="19">
        <v>46036</v>
      </c>
      <c r="C380" s="7">
        <v>5461</v>
      </c>
      <c r="D380" s="7">
        <v>30797</v>
      </c>
      <c r="E380" s="7">
        <v>0</v>
      </c>
      <c r="F380" s="7">
        <v>0</v>
      </c>
      <c r="G380" s="7">
        <v>5475</v>
      </c>
      <c r="H380" s="7">
        <v>9754</v>
      </c>
      <c r="I380" s="7">
        <v>0</v>
      </c>
      <c r="J380" s="2">
        <v>14.60000038146973</v>
      </c>
      <c r="K380" s="23">
        <f t="shared" si="63"/>
        <v>62984.501000000004</v>
      </c>
      <c r="L380" s="23">
        <f t="shared" si="59"/>
        <v>11.504018447488585</v>
      </c>
      <c r="M380" s="13" t="s">
        <v>9</v>
      </c>
      <c r="N380" s="7">
        <v>112057.49846440554</v>
      </c>
      <c r="O380" s="7">
        <v>66099.609375</v>
      </c>
      <c r="P380" s="7">
        <f t="shared" si="55"/>
        <v>75113.192471590912</v>
      </c>
      <c r="Q380" s="7">
        <v>0</v>
      </c>
      <c r="R380" s="7">
        <v>0</v>
      </c>
      <c r="S380" s="7">
        <f t="shared" si="56"/>
        <v>0</v>
      </c>
      <c r="T380" s="7">
        <v>5048.2687342860299</v>
      </c>
      <c r="U380" s="7">
        <f t="shared" si="64"/>
        <v>404917.28245788295</v>
      </c>
      <c r="V380" s="7">
        <f t="shared" si="57"/>
        <v>80.209137779815492</v>
      </c>
      <c r="W380" s="14" t="s">
        <v>10</v>
      </c>
      <c r="X380" s="7">
        <v>150350</v>
      </c>
      <c r="Y380" s="7">
        <v>1085563.6363636365</v>
      </c>
      <c r="Z380" s="7">
        <v>1167636.3636363638</v>
      </c>
      <c r="AA380" s="7">
        <v>1877</v>
      </c>
      <c r="AB380" s="7">
        <v>4454</v>
      </c>
      <c r="AC380" s="7">
        <v>0</v>
      </c>
      <c r="AD380" s="7">
        <v>1115710.2</v>
      </c>
      <c r="AE380" s="7">
        <v>137500</v>
      </c>
      <c r="AF380" s="7">
        <v>11189.36011505127</v>
      </c>
      <c r="AG380" s="7">
        <f t="shared" si="62"/>
        <v>197309.08027272727</v>
      </c>
      <c r="AH380" s="1">
        <f t="shared" si="58"/>
        <v>17.633633938308829</v>
      </c>
    </row>
    <row r="381" spans="1:34" x14ac:dyDescent="0.25">
      <c r="A381" s="13" t="s">
        <v>0</v>
      </c>
      <c r="B381" s="19">
        <v>46037</v>
      </c>
      <c r="C381" s="8">
        <v>4735</v>
      </c>
      <c r="D381" s="8">
        <v>30691</v>
      </c>
      <c r="E381" s="8">
        <v>7500</v>
      </c>
      <c r="F381" s="7">
        <v>0</v>
      </c>
      <c r="G381" s="8">
        <v>3268</v>
      </c>
      <c r="H381" s="8">
        <v>4259</v>
      </c>
      <c r="I381" s="8">
        <v>30600</v>
      </c>
      <c r="J381" s="2">
        <v>14.19999980926514</v>
      </c>
      <c r="K381" s="23">
        <f t="shared" si="63"/>
        <v>110685.05499999999</v>
      </c>
      <c r="L381" s="23">
        <f t="shared" si="59"/>
        <v>33.869355875152998</v>
      </c>
      <c r="M381" s="13" t="s">
        <v>9</v>
      </c>
      <c r="N381" s="7">
        <v>114390.25674079359</v>
      </c>
      <c r="O381" s="7">
        <v>71299.8046875</v>
      </c>
      <c r="P381" s="7">
        <f t="shared" si="55"/>
        <v>81022.505326704544</v>
      </c>
      <c r="Q381" s="7">
        <v>0</v>
      </c>
      <c r="R381" s="7">
        <v>0</v>
      </c>
      <c r="S381" s="7">
        <f t="shared" si="56"/>
        <v>0</v>
      </c>
      <c r="T381" s="7">
        <v>5305.8931648349535</v>
      </c>
      <c r="U381" s="7">
        <f t="shared" si="64"/>
        <v>433401.79558795417</v>
      </c>
      <c r="V381" s="7">
        <f t="shared" si="57"/>
        <v>81.683098796701017</v>
      </c>
      <c r="W381" s="14" t="s">
        <v>10</v>
      </c>
      <c r="X381" s="8">
        <v>79160</v>
      </c>
      <c r="Y381" s="8">
        <v>490617.27272727271</v>
      </c>
      <c r="Z381" s="8">
        <v>527909.09090909082</v>
      </c>
      <c r="AA381" s="8">
        <v>1919</v>
      </c>
      <c r="AB381" s="8">
        <v>4359</v>
      </c>
      <c r="AC381" s="8">
        <v>0</v>
      </c>
      <c r="AD381" s="8">
        <v>508511.52</v>
      </c>
      <c r="AE381" s="8">
        <v>50000</v>
      </c>
      <c r="AF381" s="8">
        <v>5019.8256051635744</v>
      </c>
      <c r="AG381" s="7">
        <f t="shared" si="62"/>
        <v>109468.55598181818</v>
      </c>
      <c r="AH381" s="1">
        <f t="shared" si="58"/>
        <v>21.807242839116732</v>
      </c>
    </row>
    <row r="382" spans="1:34" x14ac:dyDescent="0.25">
      <c r="A382" s="13" t="s">
        <v>0</v>
      </c>
      <c r="B382" s="19">
        <v>46038</v>
      </c>
      <c r="C382" s="7">
        <v>10788</v>
      </c>
      <c r="D382" s="7">
        <v>34933</v>
      </c>
      <c r="E382" s="7">
        <v>13200</v>
      </c>
      <c r="F382" s="7">
        <v>0</v>
      </c>
      <c r="G382" s="7">
        <v>3888</v>
      </c>
      <c r="H382" s="7">
        <v>3887</v>
      </c>
      <c r="I382" s="7">
        <v>52800</v>
      </c>
      <c r="J382" s="2">
        <v>11.75</v>
      </c>
      <c r="K382" s="23">
        <f t="shared" si="63"/>
        <v>205992.74800000002</v>
      </c>
      <c r="L382" s="23">
        <f t="shared" si="59"/>
        <v>52.981673868312761</v>
      </c>
      <c r="M382" s="13" t="s">
        <v>9</v>
      </c>
      <c r="N382" s="7">
        <v>114683.45603260398</v>
      </c>
      <c r="O382" s="7">
        <v>66374.911238215645</v>
      </c>
      <c r="P382" s="7">
        <f t="shared" si="55"/>
        <v>75426.03549797232</v>
      </c>
      <c r="Q382" s="7">
        <v>0</v>
      </c>
      <c r="R382" s="7">
        <v>0</v>
      </c>
      <c r="S382" s="7">
        <f t="shared" si="56"/>
        <v>0</v>
      </c>
      <c r="T382" s="7">
        <v>4798.5166478630417</v>
      </c>
      <c r="U382" s="7">
        <f t="shared" si="64"/>
        <v>407726.55096009636</v>
      </c>
      <c r="V382" s="7">
        <f t="shared" si="57"/>
        <v>84.969289653641653</v>
      </c>
      <c r="W382" s="14" t="s">
        <v>10</v>
      </c>
      <c r="X382" s="7">
        <v>19240</v>
      </c>
      <c r="Y382" s="24">
        <v>592860.90909099579</v>
      </c>
      <c r="Z382" s="24">
        <v>641939.39393949509</v>
      </c>
      <c r="AA382" s="7">
        <v>1910</v>
      </c>
      <c r="AB382" s="7">
        <v>4346</v>
      </c>
      <c r="AC382" s="7">
        <v>0</v>
      </c>
      <c r="AD382" s="7">
        <v>0</v>
      </c>
      <c r="AE382" s="7">
        <v>0</v>
      </c>
      <c r="AF382" s="24">
        <v>6122.3979110084474</v>
      </c>
      <c r="AG382" s="7">
        <f t="shared" si="62"/>
        <v>74903.396515157219</v>
      </c>
      <c r="AH382" s="1">
        <f t="shared" si="58"/>
        <v>12.234323479771923</v>
      </c>
    </row>
    <row r="383" spans="1:34" x14ac:dyDescent="0.25">
      <c r="A383" s="13" t="s">
        <v>0</v>
      </c>
      <c r="B383" s="19">
        <v>46039</v>
      </c>
      <c r="C383" s="7">
        <v>5593</v>
      </c>
      <c r="D383" s="7">
        <v>37256</v>
      </c>
      <c r="E383" s="7">
        <v>11600</v>
      </c>
      <c r="F383" s="7">
        <v>0</v>
      </c>
      <c r="G383" s="26">
        <v>1858.6666666641831</v>
      </c>
      <c r="H383" s="7">
        <v>3551</v>
      </c>
      <c r="I383" s="7">
        <v>47346</v>
      </c>
      <c r="J383" s="2">
        <v>10.05000019073486</v>
      </c>
      <c r="K383" s="23">
        <f t="shared" si="63"/>
        <v>150998.51300000001</v>
      </c>
      <c r="L383" s="23">
        <f t="shared" si="59"/>
        <v>81.240232962805834</v>
      </c>
      <c r="M383" s="13" t="s">
        <v>9</v>
      </c>
      <c r="N383" s="7">
        <v>113862.23473167419</v>
      </c>
      <c r="O383" s="7">
        <v>74925.870011784355</v>
      </c>
      <c r="P383" s="7">
        <f t="shared" si="55"/>
        <v>85143.034104300401</v>
      </c>
      <c r="Q383" s="7">
        <v>0</v>
      </c>
      <c r="R383" s="7">
        <v>0</v>
      </c>
      <c r="S383" s="7">
        <f t="shared" si="56"/>
        <v>0</v>
      </c>
      <c r="T383" s="7">
        <v>5027.6819142310924</v>
      </c>
      <c r="U383" s="7">
        <f t="shared" si="64"/>
        <v>452143.46445181692</v>
      </c>
      <c r="V383" s="7">
        <f t="shared" si="57"/>
        <v>89.930801543352089</v>
      </c>
      <c r="W383" s="14" t="s">
        <v>10</v>
      </c>
      <c r="X383" s="7">
        <v>24540</v>
      </c>
      <c r="Y383" s="24">
        <v>695104.54545497894</v>
      </c>
      <c r="Z383" s="24">
        <v>755969.69696950912</v>
      </c>
      <c r="AA383" s="7">
        <v>1912</v>
      </c>
      <c r="AB383" s="7">
        <v>6372</v>
      </c>
      <c r="AC383" s="7">
        <v>0</v>
      </c>
      <c r="AD383" s="7">
        <v>0</v>
      </c>
      <c r="AE383" s="7">
        <v>0</v>
      </c>
      <c r="AF383" s="24">
        <v>7224.9702168516815</v>
      </c>
      <c r="AG383" s="7">
        <f t="shared" si="62"/>
        <v>94358.30984849119</v>
      </c>
      <c r="AH383" s="1">
        <f t="shared" si="58"/>
        <v>13.060027517955405</v>
      </c>
    </row>
    <row r="384" spans="1:34" x14ac:dyDescent="0.25">
      <c r="A384" s="13" t="s">
        <v>0</v>
      </c>
      <c r="B384" s="19">
        <v>46040</v>
      </c>
      <c r="C384" s="7">
        <v>7846</v>
      </c>
      <c r="D384" s="7">
        <v>13381</v>
      </c>
      <c r="E384" s="7">
        <v>0</v>
      </c>
      <c r="F384" s="7">
        <v>0</v>
      </c>
      <c r="G384" s="26">
        <v>3329.3333333358169</v>
      </c>
      <c r="H384" s="7">
        <v>0</v>
      </c>
      <c r="I384" s="7">
        <v>0</v>
      </c>
      <c r="J384" s="2">
        <v>11.35000038146973</v>
      </c>
      <c r="K384" s="23">
        <f t="shared" si="63"/>
        <v>74441.566000000006</v>
      </c>
      <c r="L384" s="23">
        <f t="shared" si="59"/>
        <v>22.359300961136707</v>
      </c>
      <c r="M384" s="13" t="s">
        <v>9</v>
      </c>
      <c r="N384" s="7">
        <v>110231.01743385196</v>
      </c>
      <c r="O384" s="7">
        <v>62399</v>
      </c>
      <c r="P384" s="7">
        <f t="shared" si="55"/>
        <v>70907.954545454544</v>
      </c>
      <c r="Q384" s="7">
        <v>0</v>
      </c>
      <c r="R384" s="7">
        <v>0</v>
      </c>
      <c r="S384" s="7">
        <f t="shared" si="56"/>
        <v>0</v>
      </c>
      <c r="T384" s="7">
        <v>3403</v>
      </c>
      <c r="U384" s="7">
        <f t="shared" si="64"/>
        <v>384560.33929287578</v>
      </c>
      <c r="V384" s="7">
        <f t="shared" si="57"/>
        <v>113.0062707296138</v>
      </c>
      <c r="W384" s="14" t="s">
        <v>10</v>
      </c>
      <c r="X384" s="7">
        <v>125570</v>
      </c>
      <c r="Y384" s="7">
        <v>797348.18181818188</v>
      </c>
      <c r="Z384" s="7">
        <v>870000</v>
      </c>
      <c r="AA384" s="7">
        <v>1926</v>
      </c>
      <c r="AB384" s="7">
        <v>6022</v>
      </c>
      <c r="AC384" s="7">
        <v>0</v>
      </c>
      <c r="AD384" s="7">
        <v>857712.24</v>
      </c>
      <c r="AE384" s="7">
        <v>37500</v>
      </c>
      <c r="AF384" s="7">
        <v>8327.5425226974494</v>
      </c>
      <c r="AG384" s="7">
        <f t="shared" si="62"/>
        <v>166302.00678181817</v>
      </c>
      <c r="AH384" s="1">
        <f t="shared" si="58"/>
        <v>19.970117994420015</v>
      </c>
    </row>
    <row r="385" spans="1:34" x14ac:dyDescent="0.25">
      <c r="A385" s="13" t="s">
        <v>0</v>
      </c>
      <c r="B385" s="19">
        <v>46041</v>
      </c>
      <c r="C385" s="7">
        <v>10099</v>
      </c>
      <c r="D385" s="7">
        <v>26469</v>
      </c>
      <c r="E385" s="7">
        <v>0</v>
      </c>
      <c r="F385" s="7">
        <v>0</v>
      </c>
      <c r="G385" s="7">
        <v>4800</v>
      </c>
      <c r="H385" s="7">
        <v>7049</v>
      </c>
      <c r="I385" s="7">
        <v>0</v>
      </c>
      <c r="J385" s="2">
        <v>12.80000019073486</v>
      </c>
      <c r="K385" s="23">
        <f t="shared" si="63"/>
        <v>100625.37900000002</v>
      </c>
      <c r="L385" s="23">
        <f t="shared" si="59"/>
        <v>20.963620625000004</v>
      </c>
      <c r="M385" s="13" t="s">
        <v>9</v>
      </c>
      <c r="N385" s="7">
        <v>111596</v>
      </c>
      <c r="O385" s="7">
        <v>65300</v>
      </c>
      <c r="P385" s="7">
        <f t="shared" si="55"/>
        <v>74204.545454545456</v>
      </c>
      <c r="Q385" s="7">
        <v>0</v>
      </c>
      <c r="R385" s="7">
        <v>0</v>
      </c>
      <c r="S385" s="7">
        <f t="shared" si="56"/>
        <v>0</v>
      </c>
      <c r="T385" s="7">
        <v>4205</v>
      </c>
      <c r="U385" s="7">
        <f t="shared" si="64"/>
        <v>400483.89727272728</v>
      </c>
      <c r="V385" s="7">
        <f t="shared" si="57"/>
        <v>95.23992800778295</v>
      </c>
      <c r="W385" s="14" t="s">
        <v>10</v>
      </c>
      <c r="X385" s="7">
        <v>147399.53125</v>
      </c>
      <c r="Y385" s="7">
        <v>1036780.9090909091</v>
      </c>
      <c r="Z385" s="7">
        <v>1135545.4545454546</v>
      </c>
      <c r="AA385" s="7">
        <v>1912</v>
      </c>
      <c r="AB385" s="7">
        <v>5725</v>
      </c>
      <c r="AC385" s="7">
        <v>0</v>
      </c>
      <c r="AD385" s="7">
        <v>1128861.3600000001</v>
      </c>
      <c r="AE385" s="7">
        <v>162500</v>
      </c>
      <c r="AF385" s="7">
        <v>10826.264665985107</v>
      </c>
      <c r="AG385" s="7">
        <f t="shared" si="62"/>
        <v>201139.88710454546</v>
      </c>
      <c r="AH385" s="1">
        <f t="shared" si="58"/>
        <v>18.578881388010412</v>
      </c>
    </row>
    <row r="386" spans="1:34" x14ac:dyDescent="0.25">
      <c r="A386" s="13" t="s">
        <v>0</v>
      </c>
      <c r="B386" s="19">
        <v>46042</v>
      </c>
      <c r="C386" s="8">
        <v>8724</v>
      </c>
      <c r="D386" s="8">
        <v>36593</v>
      </c>
      <c r="E386" s="8">
        <v>0</v>
      </c>
      <c r="F386" s="7">
        <v>0</v>
      </c>
      <c r="G386" s="8">
        <v>5220</v>
      </c>
      <c r="H386" s="8">
        <v>6335</v>
      </c>
      <c r="I386" s="8">
        <v>0</v>
      </c>
      <c r="J386" s="2">
        <v>14</v>
      </c>
      <c r="K386" s="23">
        <f t="shared" si="63"/>
        <v>94063.484000000011</v>
      </c>
      <c r="L386" s="23">
        <f t="shared" si="59"/>
        <v>18.019824521072799</v>
      </c>
      <c r="M386" s="13" t="s">
        <v>9</v>
      </c>
      <c r="N386" s="7">
        <v>111933.47184227407</v>
      </c>
      <c r="O386" s="7">
        <v>57900.390625</v>
      </c>
      <c r="P386" s="7">
        <f t="shared" ref="P386:P449" si="65">O386/0.88</f>
        <v>65795.8984375</v>
      </c>
      <c r="Q386" s="7">
        <v>0</v>
      </c>
      <c r="R386" s="7">
        <v>0</v>
      </c>
      <c r="S386" s="7">
        <f t="shared" si="56"/>
        <v>0</v>
      </c>
      <c r="T386" s="7">
        <v>4699.4518532099901</v>
      </c>
      <c r="U386" s="7">
        <f t="shared" si="64"/>
        <v>361853.476647045</v>
      </c>
      <c r="V386" s="7">
        <f t="shared" si="57"/>
        <v>76.99908158435089</v>
      </c>
      <c r="W386" s="14" t="s">
        <v>10</v>
      </c>
      <c r="X386" s="8">
        <v>47530</v>
      </c>
      <c r="Y386" s="8">
        <v>286186.36363636365</v>
      </c>
      <c r="Z386" s="8">
        <v>310636.36363636365</v>
      </c>
      <c r="AA386" s="8">
        <v>1942</v>
      </c>
      <c r="AB386" s="8">
        <v>2771</v>
      </c>
      <c r="AC386" s="8">
        <v>0</v>
      </c>
      <c r="AD386" s="8">
        <v>302583.59999999998</v>
      </c>
      <c r="AE386" s="8">
        <v>37500</v>
      </c>
      <c r="AF386" s="8">
        <v>2996.8591629028319</v>
      </c>
      <c r="AG386" s="7">
        <f t="shared" si="62"/>
        <v>68719.52900000001</v>
      </c>
      <c r="AH386" s="1">
        <f t="shared" si="58"/>
        <v>22.930516672474049</v>
      </c>
    </row>
    <row r="387" spans="1:34" x14ac:dyDescent="0.25">
      <c r="A387" s="13" t="s">
        <v>0</v>
      </c>
      <c r="B387" s="19">
        <v>46043</v>
      </c>
      <c r="C387" s="7">
        <v>10185</v>
      </c>
      <c r="D387" s="7">
        <v>32545</v>
      </c>
      <c r="E387" s="7">
        <v>22500</v>
      </c>
      <c r="F387" s="7">
        <v>0</v>
      </c>
      <c r="G387" s="7">
        <v>1846</v>
      </c>
      <c r="H387" s="7">
        <v>8716</v>
      </c>
      <c r="I387" s="7">
        <v>90000</v>
      </c>
      <c r="J387" s="2">
        <v>16.85000038146973</v>
      </c>
      <c r="K387" s="23">
        <f t="shared" si="63"/>
        <v>266524.58500000002</v>
      </c>
      <c r="L387" s="23">
        <f t="shared" si="59"/>
        <v>144.37951516793066</v>
      </c>
      <c r="M387" s="13" t="s">
        <v>9</v>
      </c>
      <c r="N387" s="7">
        <v>116503.29624992609</v>
      </c>
      <c r="O387" s="7">
        <v>51200.1953125</v>
      </c>
      <c r="P387" s="7">
        <f t="shared" si="65"/>
        <v>58182.040127840912</v>
      </c>
      <c r="Q387" s="7">
        <v>4477</v>
      </c>
      <c r="R387" s="7">
        <v>0</v>
      </c>
      <c r="S387" s="7">
        <f t="shared" ref="S387:S450" si="66">R387/0.75</f>
        <v>0</v>
      </c>
      <c r="T387" s="7">
        <v>4733.2612638252322</v>
      </c>
      <c r="U387" s="7">
        <f t="shared" si="64"/>
        <v>348566.77923994744</v>
      </c>
      <c r="V387" s="7">
        <f t="shared" ref="V387:V450" si="67">U387/T387</f>
        <v>73.641990122947433</v>
      </c>
      <c r="W387" s="14" t="s">
        <v>10</v>
      </c>
      <c r="X387" s="7">
        <v>57144.25</v>
      </c>
      <c r="Y387" s="24">
        <v>228949.09090900421</v>
      </c>
      <c r="Z387" s="24">
        <v>248509.09090900421</v>
      </c>
      <c r="AA387" s="7">
        <v>0</v>
      </c>
      <c r="AB387" s="7">
        <v>2663</v>
      </c>
      <c r="AC387" s="7">
        <v>0</v>
      </c>
      <c r="AD387" s="7">
        <v>1069385</v>
      </c>
      <c r="AE387" s="7">
        <v>96849</v>
      </c>
      <c r="AF387" s="24">
        <v>3156.5842824880965</v>
      </c>
      <c r="AG387" s="7">
        <f t="shared" si="62"/>
        <v>77906.329999994763</v>
      </c>
      <c r="AH387" s="1">
        <f t="shared" ref="AH387:AH450" si="68">AG387/AF387</f>
        <v>24.680579711493429</v>
      </c>
    </row>
    <row r="388" spans="1:34" x14ac:dyDescent="0.25">
      <c r="A388" s="13" t="s">
        <v>0</v>
      </c>
      <c r="B388" s="19">
        <v>46044</v>
      </c>
      <c r="C388" s="7">
        <v>13201</v>
      </c>
      <c r="D388" s="7">
        <v>38127</v>
      </c>
      <c r="E388" s="7">
        <v>0</v>
      </c>
      <c r="F388" s="7">
        <v>0</v>
      </c>
      <c r="G388" s="7">
        <v>2682</v>
      </c>
      <c r="H388" s="7">
        <v>9700</v>
      </c>
      <c r="I388" s="7">
        <v>0</v>
      </c>
      <c r="J388" s="2">
        <v>15.05000019073486</v>
      </c>
      <c r="K388" s="23">
        <f t="shared" si="63"/>
        <v>133367.84100000001</v>
      </c>
      <c r="L388" s="23">
        <f t="shared" si="59"/>
        <v>49.727010067114101</v>
      </c>
      <c r="M388" s="13" t="s">
        <v>9</v>
      </c>
      <c r="N388" s="7">
        <v>117528.88745717704</v>
      </c>
      <c r="O388" s="7">
        <v>59500</v>
      </c>
      <c r="P388" s="7">
        <f t="shared" si="65"/>
        <v>67613.636363636368</v>
      </c>
      <c r="Q388" s="7">
        <v>4895</v>
      </c>
      <c r="R388" s="7">
        <v>0</v>
      </c>
      <c r="S388" s="7">
        <f t="shared" si="66"/>
        <v>0</v>
      </c>
      <c r="T388" s="7">
        <v>5947.268970158766</v>
      </c>
      <c r="U388" s="7">
        <f t="shared" si="64"/>
        <v>394445.20329591387</v>
      </c>
      <c r="V388" s="7">
        <f t="shared" si="67"/>
        <v>66.32375385661831</v>
      </c>
      <c r="W388" s="14" t="s">
        <v>10</v>
      </c>
      <c r="X388" s="7">
        <v>66290</v>
      </c>
      <c r="Y388" s="24">
        <v>171711.81818175316</v>
      </c>
      <c r="Z388" s="24">
        <v>186381.81818175316</v>
      </c>
      <c r="AA388" s="7">
        <v>1295</v>
      </c>
      <c r="AB388" s="7">
        <v>3805</v>
      </c>
      <c r="AC388" s="7">
        <v>0</v>
      </c>
      <c r="AD388" s="7">
        <v>1069385</v>
      </c>
      <c r="AE388" s="7">
        <v>96849</v>
      </c>
      <c r="AF388" s="24">
        <v>3316.3094020732678</v>
      </c>
      <c r="AG388" s="7">
        <f t="shared" si="62"/>
        <v>88637.78499999606</v>
      </c>
      <c r="AH388" s="1">
        <f t="shared" si="68"/>
        <v>26.727839370048553</v>
      </c>
    </row>
    <row r="389" spans="1:34" x14ac:dyDescent="0.25">
      <c r="A389" s="13" t="s">
        <v>0</v>
      </c>
      <c r="B389" s="19">
        <v>46045</v>
      </c>
      <c r="C389" s="7">
        <v>6381</v>
      </c>
      <c r="D389" s="7">
        <v>28368</v>
      </c>
      <c r="E389" s="7">
        <v>0</v>
      </c>
      <c r="F389" s="7">
        <v>0</v>
      </c>
      <c r="G389" s="7">
        <v>4712</v>
      </c>
      <c r="H389" s="7">
        <v>10818</v>
      </c>
      <c r="I389" s="7">
        <v>0</v>
      </c>
      <c r="J389" s="2">
        <v>11.85000038146973</v>
      </c>
      <c r="K389" s="23">
        <f t="shared" si="63"/>
        <v>69634.341000000015</v>
      </c>
      <c r="L389" s="23">
        <f t="shared" si="59"/>
        <v>14.778085950764011</v>
      </c>
      <c r="M389" s="13" t="s">
        <v>9</v>
      </c>
      <c r="N389" s="7">
        <v>120460</v>
      </c>
      <c r="O389" s="7">
        <v>65600</v>
      </c>
      <c r="P389" s="7">
        <f t="shared" si="65"/>
        <v>74545.454545454544</v>
      </c>
      <c r="Q389" s="7">
        <v>5269</v>
      </c>
      <c r="R389" s="7">
        <v>0</v>
      </c>
      <c r="S389" s="7">
        <f t="shared" si="66"/>
        <v>0</v>
      </c>
      <c r="T389" s="7">
        <v>7520</v>
      </c>
      <c r="U389" s="7">
        <f t="shared" si="64"/>
        <v>429586.6227272728</v>
      </c>
      <c r="V389" s="7">
        <f t="shared" si="67"/>
        <v>57.125880681818188</v>
      </c>
      <c r="W389" s="14" t="s">
        <v>10</v>
      </c>
      <c r="X389" s="7">
        <v>55980</v>
      </c>
      <c r="Y389" s="24">
        <v>114474.54545450211</v>
      </c>
      <c r="Z389" s="24">
        <v>124254.54545450211</v>
      </c>
      <c r="AA389" s="7">
        <v>0</v>
      </c>
      <c r="AB389" s="7">
        <v>4334</v>
      </c>
      <c r="AC389" s="7">
        <v>0</v>
      </c>
      <c r="AD389" s="7">
        <v>1069385</v>
      </c>
      <c r="AE389" s="7">
        <v>96849</v>
      </c>
      <c r="AF389" s="24">
        <v>3476.0345216589049</v>
      </c>
      <c r="AG389" s="7">
        <f t="shared" si="62"/>
        <v>78417.249999997381</v>
      </c>
      <c r="AH389" s="1">
        <f t="shared" si="68"/>
        <v>22.559399082887555</v>
      </c>
    </row>
    <row r="390" spans="1:34" x14ac:dyDescent="0.25">
      <c r="A390" s="13" t="s">
        <v>0</v>
      </c>
      <c r="B390" s="19">
        <v>46046</v>
      </c>
      <c r="C390" s="7">
        <v>10891</v>
      </c>
      <c r="D390" s="7">
        <v>40491</v>
      </c>
      <c r="E390" s="7">
        <v>0</v>
      </c>
      <c r="F390" s="7">
        <v>0</v>
      </c>
      <c r="G390" s="7">
        <v>1682</v>
      </c>
      <c r="H390" s="7">
        <v>383</v>
      </c>
      <c r="I390" s="7">
        <v>0</v>
      </c>
      <c r="J390" s="2">
        <v>14.60000038146973</v>
      </c>
      <c r="K390" s="23">
        <f t="shared" si="63"/>
        <v>114728.81100000002</v>
      </c>
      <c r="L390" s="23">
        <f t="shared" si="59"/>
        <v>68.209756837098695</v>
      </c>
      <c r="M390" s="13" t="s">
        <v>9</v>
      </c>
      <c r="N390" s="7">
        <v>119795.23813325167</v>
      </c>
      <c r="O390" s="7">
        <v>63500</v>
      </c>
      <c r="P390" s="7">
        <f t="shared" si="65"/>
        <v>72159.090909090912</v>
      </c>
      <c r="Q390" s="7">
        <v>4457.3435673323365</v>
      </c>
      <c r="R390" s="7">
        <v>0</v>
      </c>
      <c r="S390" s="7">
        <f t="shared" si="66"/>
        <v>0</v>
      </c>
      <c r="T390" s="7">
        <v>6524.6010089720367</v>
      </c>
      <c r="U390" s="7">
        <f t="shared" si="64"/>
        <v>414697.1728926411</v>
      </c>
      <c r="V390" s="7">
        <f t="shared" si="67"/>
        <v>63.559008791861345</v>
      </c>
      <c r="W390" s="14" t="s">
        <v>10</v>
      </c>
      <c r="X390" s="7">
        <v>52360</v>
      </c>
      <c r="Y390" s="24">
        <v>57237.272727251053</v>
      </c>
      <c r="Z390" s="24">
        <v>62127.272727251053</v>
      </c>
      <c r="AA390" s="7">
        <v>0</v>
      </c>
      <c r="AB390" s="7">
        <v>5211</v>
      </c>
      <c r="AC390" s="7">
        <v>0</v>
      </c>
      <c r="AD390" s="7">
        <v>1069385</v>
      </c>
      <c r="AE390" s="7">
        <v>96849</v>
      </c>
      <c r="AF390" s="24">
        <v>3635.7596412440762</v>
      </c>
      <c r="AG390" s="7">
        <f t="shared" si="62"/>
        <v>77300.51499999869</v>
      </c>
      <c r="AH390" s="1">
        <f t="shared" si="68"/>
        <v>21.261173077312716</v>
      </c>
    </row>
    <row r="391" spans="1:34" x14ac:dyDescent="0.25">
      <c r="A391" s="13" t="s">
        <v>0</v>
      </c>
      <c r="B391" s="19">
        <v>46047</v>
      </c>
      <c r="C391" s="8">
        <v>313</v>
      </c>
      <c r="D391" s="8">
        <v>28982</v>
      </c>
      <c r="E391" s="8">
        <v>0</v>
      </c>
      <c r="F391" s="7">
        <v>0</v>
      </c>
      <c r="G391" s="8">
        <v>1860</v>
      </c>
      <c r="H391" s="8">
        <v>6377</v>
      </c>
      <c r="I391" s="8">
        <v>0</v>
      </c>
      <c r="J391" s="2">
        <v>15.80000019073486</v>
      </c>
      <c r="K391" s="23">
        <f t="shared" si="63"/>
        <v>17762.753000000001</v>
      </c>
      <c r="L391" s="23">
        <f t="shared" si="59"/>
        <v>9.5498672043010764</v>
      </c>
      <c r="M391" s="13" t="s">
        <v>9</v>
      </c>
      <c r="N391" s="7">
        <v>116229.13658261299</v>
      </c>
      <c r="O391" s="7">
        <v>61268.214148773041</v>
      </c>
      <c r="P391" s="7">
        <f t="shared" si="65"/>
        <v>69622.970623605725</v>
      </c>
      <c r="Q391" s="7">
        <v>2838</v>
      </c>
      <c r="R391" s="7">
        <v>0</v>
      </c>
      <c r="S391" s="7">
        <f t="shared" si="66"/>
        <v>0</v>
      </c>
      <c r="T391" s="7">
        <v>5831.3923139037797</v>
      </c>
      <c r="U391" s="7">
        <f t="shared" si="64"/>
        <v>394094.46045089915</v>
      </c>
      <c r="V391" s="7">
        <f t="shared" si="67"/>
        <v>67.581537862108902</v>
      </c>
      <c r="W391" s="14" t="s">
        <v>10</v>
      </c>
      <c r="X391" s="8">
        <v>46000</v>
      </c>
      <c r="Y391" s="24">
        <v>172923.63636302948</v>
      </c>
      <c r="Z391" s="24">
        <v>185903.03030347824</v>
      </c>
      <c r="AA391" s="8">
        <v>0</v>
      </c>
      <c r="AB391" s="8">
        <v>4056</v>
      </c>
      <c r="AC391" s="8">
        <v>0</v>
      </c>
      <c r="AD391" s="8">
        <v>0</v>
      </c>
      <c r="AE391" s="8">
        <v>0</v>
      </c>
      <c r="AF391" s="24">
        <v>3795.4847608292475</v>
      </c>
      <c r="AG391" s="7">
        <f t="shared" si="62"/>
        <v>55077.220606057643</v>
      </c>
      <c r="AH391" s="1">
        <f t="shared" si="68"/>
        <v>14.511247989841547</v>
      </c>
    </row>
    <row r="392" spans="1:34" x14ac:dyDescent="0.25">
      <c r="A392" s="13" t="s">
        <v>0</v>
      </c>
      <c r="B392" s="19">
        <v>46048</v>
      </c>
      <c r="C392" s="7">
        <v>7228</v>
      </c>
      <c r="D392" s="7">
        <v>34210</v>
      </c>
      <c r="E392" s="7">
        <v>0</v>
      </c>
      <c r="F392" s="7">
        <v>0</v>
      </c>
      <c r="G392" s="7">
        <v>3038</v>
      </c>
      <c r="H392" s="7">
        <v>8011</v>
      </c>
      <c r="I392" s="7">
        <v>0</v>
      </c>
      <c r="J392" s="2">
        <v>16.14999961853027</v>
      </c>
      <c r="K392" s="23">
        <f t="shared" si="63"/>
        <v>79957.228000000003</v>
      </c>
      <c r="L392" s="23">
        <f t="shared" si="59"/>
        <v>26.319034891375907</v>
      </c>
      <c r="M392" s="13" t="s">
        <v>9</v>
      </c>
      <c r="N392" s="7">
        <v>63224.631551340222</v>
      </c>
      <c r="O392" s="7">
        <v>31331.395226226959</v>
      </c>
      <c r="P392" s="7">
        <f t="shared" si="65"/>
        <v>35603.858211621548</v>
      </c>
      <c r="Q392" s="7">
        <v>2013</v>
      </c>
      <c r="R392" s="7">
        <v>0</v>
      </c>
      <c r="S392" s="7">
        <f t="shared" si="66"/>
        <v>0</v>
      </c>
      <c r="T392" s="7">
        <v>2702.242638063035</v>
      </c>
      <c r="U392" s="7">
        <f t="shared" si="64"/>
        <v>205945.16405333034</v>
      </c>
      <c r="V392" s="7">
        <f t="shared" si="67"/>
        <v>76.212683921289781</v>
      </c>
      <c r="W392" s="14" t="s">
        <v>10</v>
      </c>
      <c r="X392" s="7">
        <v>17700</v>
      </c>
      <c r="Y392" s="24">
        <v>288609.9523</v>
      </c>
      <c r="Z392" s="24">
        <v>309678.78787946701</v>
      </c>
      <c r="AA392" s="7">
        <v>0</v>
      </c>
      <c r="AB392" s="7">
        <v>3644</v>
      </c>
      <c r="AC392" s="7">
        <v>0</v>
      </c>
      <c r="AD392" s="7">
        <v>0</v>
      </c>
      <c r="AE392" s="7">
        <v>0</v>
      </c>
      <c r="AF392" s="24">
        <v>3955.2098804144189</v>
      </c>
      <c r="AG392" s="7">
        <f t="shared" si="62"/>
        <v>45559.104852692944</v>
      </c>
      <c r="AH392" s="1">
        <f t="shared" si="68"/>
        <v>11.518757848551733</v>
      </c>
    </row>
    <row r="393" spans="1:34" x14ac:dyDescent="0.25">
      <c r="A393" s="13" t="s">
        <v>0</v>
      </c>
      <c r="B393" s="19">
        <v>46049</v>
      </c>
      <c r="C393" s="7">
        <v>11038</v>
      </c>
      <c r="D393" s="7">
        <v>37005</v>
      </c>
      <c r="E393" s="7">
        <v>0</v>
      </c>
      <c r="F393" s="7">
        <v>0</v>
      </c>
      <c r="G393" s="7">
        <v>4604</v>
      </c>
      <c r="H393" s="7">
        <v>14755</v>
      </c>
      <c r="I393" s="7">
        <v>0</v>
      </c>
      <c r="J393" s="2">
        <v>16.95000076293945</v>
      </c>
      <c r="K393" s="23">
        <f t="shared" si="63"/>
        <v>114180.43800000001</v>
      </c>
      <c r="L393" s="23">
        <f t="shared" ref="L393:L456" si="69">K393/G393</f>
        <v>24.800268896611644</v>
      </c>
      <c r="M393" s="13" t="s">
        <v>9</v>
      </c>
      <c r="N393" s="7">
        <v>109173.08523090184</v>
      </c>
      <c r="O393" s="7">
        <v>56100.5859375</v>
      </c>
      <c r="P393" s="7">
        <f t="shared" si="65"/>
        <v>63750.665838068184</v>
      </c>
      <c r="Q393" s="7">
        <v>4928</v>
      </c>
      <c r="R393" s="7">
        <v>0</v>
      </c>
      <c r="S393" s="7">
        <f t="shared" si="66"/>
        <v>0</v>
      </c>
      <c r="T393" s="7">
        <v>6241.625</v>
      </c>
      <c r="U393" s="7">
        <f t="shared" si="64"/>
        <v>372416.12716275366</v>
      </c>
      <c r="V393" s="7">
        <f t="shared" si="67"/>
        <v>59.666533500931834</v>
      </c>
      <c r="W393" s="14" t="s">
        <v>10</v>
      </c>
      <c r="X393" s="7">
        <v>107440</v>
      </c>
      <c r="Y393" s="7">
        <v>404296.36363636365</v>
      </c>
      <c r="Z393" s="7">
        <v>433454.54545454541</v>
      </c>
      <c r="AA393" s="7">
        <v>0</v>
      </c>
      <c r="AB393" s="7">
        <v>4061</v>
      </c>
      <c r="AC393" s="7">
        <v>0</v>
      </c>
      <c r="AD393" s="7">
        <v>414742.68</v>
      </c>
      <c r="AE393" s="7">
        <v>25000</v>
      </c>
      <c r="AF393" s="7">
        <v>4114.9350000000004</v>
      </c>
      <c r="AG393" s="7">
        <f t="shared" si="62"/>
        <v>108912.93201818182</v>
      </c>
      <c r="AH393" s="1">
        <f t="shared" si="68"/>
        <v>26.467716262390976</v>
      </c>
    </row>
    <row r="394" spans="1:34" x14ac:dyDescent="0.25">
      <c r="A394" s="13" t="s">
        <v>0</v>
      </c>
      <c r="B394" s="19">
        <v>46050</v>
      </c>
      <c r="C394" s="7">
        <v>10215</v>
      </c>
      <c r="D394" s="7">
        <v>44389</v>
      </c>
      <c r="E394" s="7">
        <v>0</v>
      </c>
      <c r="F394" s="7">
        <v>0</v>
      </c>
      <c r="G394" s="7">
        <v>2744</v>
      </c>
      <c r="H394" s="7">
        <v>15944</v>
      </c>
      <c r="I394" s="7">
        <v>0</v>
      </c>
      <c r="J394" s="2">
        <v>17.5</v>
      </c>
      <c r="K394" s="23">
        <f t="shared" si="63"/>
        <v>110941.49500000001</v>
      </c>
      <c r="L394" s="23">
        <f t="shared" si="69"/>
        <v>40.430573979591841</v>
      </c>
      <c r="M394" s="13" t="s">
        <v>9</v>
      </c>
      <c r="N394" s="7">
        <v>32787.529144778848</v>
      </c>
      <c r="O394" s="7">
        <v>7000</v>
      </c>
      <c r="P394" s="7">
        <f t="shared" si="65"/>
        <v>7954.545454545455</v>
      </c>
      <c r="Q394" s="7">
        <v>0</v>
      </c>
      <c r="R394" s="7">
        <v>0</v>
      </c>
      <c r="S394" s="7">
        <f t="shared" si="66"/>
        <v>0</v>
      </c>
      <c r="T394" s="7">
        <v>403.6721139572328</v>
      </c>
      <c r="U394" s="7">
        <f t="shared" si="64"/>
        <v>53759.74242801228</v>
      </c>
      <c r="V394" s="7">
        <f t="shared" si="67"/>
        <v>133.17675551328244</v>
      </c>
      <c r="W394" s="14" t="s">
        <v>10</v>
      </c>
      <c r="X394" s="7">
        <v>160290</v>
      </c>
      <c r="Y394" s="7">
        <v>1055380.9090909092</v>
      </c>
      <c r="Z394" s="7">
        <v>1104545.4545454546</v>
      </c>
      <c r="AA394" s="7">
        <v>1364</v>
      </c>
      <c r="AB394" s="7">
        <v>6661</v>
      </c>
      <c r="AC394" s="7">
        <v>0</v>
      </c>
      <c r="AD394" s="7">
        <v>1065243.96</v>
      </c>
      <c r="AE394" s="7">
        <v>175000</v>
      </c>
      <c r="AF394" s="7">
        <v>10656.860723667145</v>
      </c>
      <c r="AG394" s="7">
        <f t="shared" si="62"/>
        <v>210025.26985454548</v>
      </c>
      <c r="AH394" s="1">
        <f t="shared" si="68"/>
        <v>19.707986742110055</v>
      </c>
    </row>
    <row r="395" spans="1:34" x14ac:dyDescent="0.25">
      <c r="A395" s="13" t="s">
        <v>0</v>
      </c>
      <c r="B395" s="19">
        <v>46051</v>
      </c>
      <c r="C395" s="7">
        <v>9471</v>
      </c>
      <c r="D395" s="7">
        <v>37796</v>
      </c>
      <c r="E395" s="7">
        <v>0</v>
      </c>
      <c r="F395" s="7">
        <v>0</v>
      </c>
      <c r="G395" s="7">
        <v>1364</v>
      </c>
      <c r="H395" s="7">
        <v>11827</v>
      </c>
      <c r="I395" s="7">
        <v>0</v>
      </c>
      <c r="J395" s="2">
        <v>17.5</v>
      </c>
      <c r="K395" s="23">
        <f t="shared" si="63"/>
        <v>101113.99100000001</v>
      </c>
      <c r="L395" s="23">
        <f t="shared" si="69"/>
        <v>74.130491935483874</v>
      </c>
      <c r="M395" s="13" t="s">
        <v>9</v>
      </c>
      <c r="N395" s="7">
        <v>116328.45038299263</v>
      </c>
      <c r="O395" s="7">
        <v>64000</v>
      </c>
      <c r="P395" s="7">
        <f t="shared" si="65"/>
        <v>72727.272727272721</v>
      </c>
      <c r="Q395" s="7">
        <v>0</v>
      </c>
      <c r="R395" s="7">
        <v>0</v>
      </c>
      <c r="S395" s="7">
        <f t="shared" si="66"/>
        <v>0</v>
      </c>
      <c r="T395" s="7">
        <v>4190.1802398563595</v>
      </c>
      <c r="U395" s="7">
        <f t="shared" si="64"/>
        <v>396127.15783551981</v>
      </c>
      <c r="V395" s="7">
        <f t="shared" si="67"/>
        <v>94.537021120862136</v>
      </c>
      <c r="W395" s="14" t="s">
        <v>10</v>
      </c>
      <c r="X395" s="7">
        <v>159260</v>
      </c>
      <c r="Y395" s="7">
        <v>942259.09090909082</v>
      </c>
      <c r="Z395" s="7">
        <v>1010636.3636363636</v>
      </c>
      <c r="AA395" s="7">
        <v>3249</v>
      </c>
      <c r="AB395" s="7">
        <v>4700</v>
      </c>
      <c r="AC395" s="7">
        <v>0</v>
      </c>
      <c r="AD395" s="7">
        <v>973399.67999999993</v>
      </c>
      <c r="AE395" s="7">
        <v>187500</v>
      </c>
      <c r="AF395" s="7">
        <v>9609.488580360412</v>
      </c>
      <c r="AG395" s="7">
        <f t="shared" si="62"/>
        <v>198295.44292727273</v>
      </c>
      <c r="AH395" s="1">
        <f t="shared" si="68"/>
        <v>20.635379424097874</v>
      </c>
    </row>
    <row r="396" spans="1:34" x14ac:dyDescent="0.25">
      <c r="A396" s="13" t="s">
        <v>0</v>
      </c>
      <c r="B396" s="19">
        <v>46052</v>
      </c>
      <c r="C396" s="8">
        <v>15190</v>
      </c>
      <c r="D396" s="8">
        <v>30926</v>
      </c>
      <c r="E396" s="8">
        <v>0</v>
      </c>
      <c r="F396" s="7">
        <v>0</v>
      </c>
      <c r="G396" s="8">
        <v>2542</v>
      </c>
      <c r="H396" s="8">
        <v>6592</v>
      </c>
      <c r="I396" s="8">
        <v>0</v>
      </c>
      <c r="J396" s="2">
        <v>18.85000038146973</v>
      </c>
      <c r="K396" s="23">
        <f t="shared" si="63"/>
        <v>146730.71000000002</v>
      </c>
      <c r="L396" s="23">
        <f t="shared" si="69"/>
        <v>57.722545239968539</v>
      </c>
      <c r="M396" s="13" t="s">
        <v>9</v>
      </c>
      <c r="N396" s="7">
        <v>98474.723048269749</v>
      </c>
      <c r="O396" s="7">
        <v>52099.609375</v>
      </c>
      <c r="P396" s="7">
        <f t="shared" si="65"/>
        <v>59204.1015625</v>
      </c>
      <c r="Q396" s="7">
        <v>0</v>
      </c>
      <c r="R396" s="7">
        <v>0</v>
      </c>
      <c r="S396" s="7">
        <f t="shared" si="66"/>
        <v>0</v>
      </c>
      <c r="T396" s="7">
        <v>3633.1476461864077</v>
      </c>
      <c r="U396" s="7">
        <f t="shared" si="64"/>
        <v>324433.78469603776</v>
      </c>
      <c r="V396" s="7">
        <f t="shared" si="67"/>
        <v>89.298265936586674</v>
      </c>
      <c r="W396" s="14" t="s">
        <v>10</v>
      </c>
      <c r="X396" s="8">
        <v>144600</v>
      </c>
      <c r="Y396" s="8">
        <v>946655.45454545459</v>
      </c>
      <c r="Z396" s="8">
        <v>1016000</v>
      </c>
      <c r="AA396" s="8">
        <v>2618</v>
      </c>
      <c r="AB396" s="8">
        <v>3964</v>
      </c>
      <c r="AC396" s="8">
        <v>0</v>
      </c>
      <c r="AD396" s="8">
        <v>980349.48</v>
      </c>
      <c r="AE396" s="8">
        <v>112500</v>
      </c>
      <c r="AF396" s="8">
        <v>9598.8543312454221</v>
      </c>
      <c r="AG396" s="7">
        <f t="shared" si="62"/>
        <v>182125.42265454546</v>
      </c>
      <c r="AH396" s="1">
        <f t="shared" si="68"/>
        <v>18.97366251946395</v>
      </c>
    </row>
    <row r="397" spans="1:34" x14ac:dyDescent="0.25">
      <c r="A397" s="13" t="s">
        <v>0</v>
      </c>
      <c r="B397" s="19">
        <v>46053</v>
      </c>
      <c r="C397" s="7">
        <v>11897</v>
      </c>
      <c r="D397" s="7">
        <v>41550</v>
      </c>
      <c r="E397" s="7">
        <v>0</v>
      </c>
      <c r="F397" s="7">
        <v>0</v>
      </c>
      <c r="G397" s="7">
        <v>11222</v>
      </c>
      <c r="H397" s="7">
        <v>15294</v>
      </c>
      <c r="I397" s="7">
        <v>0</v>
      </c>
      <c r="J397" s="2">
        <v>20.60000038146973</v>
      </c>
      <c r="K397" s="23">
        <f t="shared" si="63"/>
        <v>123932.09700000001</v>
      </c>
      <c r="L397" s="23">
        <f t="shared" si="69"/>
        <v>11.04367287471039</v>
      </c>
      <c r="M397" s="13" t="s">
        <v>9</v>
      </c>
      <c r="N397" s="7">
        <v>91999.679279834032</v>
      </c>
      <c r="O397" s="7">
        <v>47200.1953125</v>
      </c>
      <c r="P397" s="7">
        <f t="shared" si="65"/>
        <v>53636.58558238636</v>
      </c>
      <c r="Q397" s="7">
        <v>0</v>
      </c>
      <c r="R397" s="7">
        <v>0</v>
      </c>
      <c r="S397" s="7">
        <f t="shared" si="66"/>
        <v>0</v>
      </c>
      <c r="T397" s="7">
        <v>2909.7083878256381</v>
      </c>
      <c r="U397" s="7">
        <f t="shared" si="64"/>
        <v>295372.67568822677</v>
      </c>
      <c r="V397" s="7">
        <f t="shared" si="67"/>
        <v>101.51281032975004</v>
      </c>
      <c r="W397" s="14" t="s">
        <v>10</v>
      </c>
      <c r="X397" s="7">
        <v>131780</v>
      </c>
      <c r="Y397" s="7">
        <v>770631.81818181823</v>
      </c>
      <c r="Z397" s="7">
        <v>846818.18181818177</v>
      </c>
      <c r="AA397" s="7">
        <v>1198</v>
      </c>
      <c r="AB397" s="7">
        <v>4511</v>
      </c>
      <c r="AC397" s="7">
        <v>0</v>
      </c>
      <c r="AD397" s="7">
        <v>808635.96</v>
      </c>
      <c r="AE397" s="7">
        <v>125000</v>
      </c>
      <c r="AF397" s="7">
        <v>8037.0960742950438</v>
      </c>
      <c r="AG397" s="7">
        <f t="shared" si="62"/>
        <v>161490.32803636364</v>
      </c>
      <c r="AH397" s="1">
        <f t="shared" si="68"/>
        <v>20.093119025024023</v>
      </c>
    </row>
    <row r="398" spans="1:34" x14ac:dyDescent="0.25">
      <c r="A398" s="13" t="s">
        <v>0</v>
      </c>
      <c r="B398" s="19">
        <v>46054</v>
      </c>
      <c r="C398" s="26">
        <v>10229.5</v>
      </c>
      <c r="D398" s="7">
        <v>16720</v>
      </c>
      <c r="E398" s="7">
        <v>0</v>
      </c>
      <c r="F398" s="7">
        <v>0</v>
      </c>
      <c r="G398" s="24">
        <v>7803</v>
      </c>
      <c r="H398" s="24">
        <v>12254</v>
      </c>
      <c r="I398" s="7">
        <v>0</v>
      </c>
      <c r="J398" s="2">
        <v>14.05000019073486</v>
      </c>
      <c r="K398" s="23">
        <f>C398*9.203+D398*0.51+E398*7.5+F398*5</f>
        <v>102669.2885</v>
      </c>
      <c r="L398" s="23">
        <f t="shared" si="69"/>
        <v>13.157668653082148</v>
      </c>
      <c r="M398" s="13" t="s">
        <v>9</v>
      </c>
      <c r="N398" s="7">
        <v>77504.612440109253</v>
      </c>
      <c r="O398" s="7">
        <v>43799.8046875</v>
      </c>
      <c r="P398" s="7">
        <f t="shared" si="65"/>
        <v>49772.505326704544</v>
      </c>
      <c r="Q398" s="7">
        <v>0</v>
      </c>
      <c r="R398" s="7">
        <v>0</v>
      </c>
      <c r="S398" s="7">
        <f t="shared" si="66"/>
        <v>0</v>
      </c>
      <c r="T398" s="7">
        <v>2939.5531256988761</v>
      </c>
      <c r="U398" s="7">
        <f>N398*0.51+P398*4.958+Q398*4.3+S398*9.81</f>
        <v>286299.43375425687</v>
      </c>
      <c r="V398" s="7">
        <f t="shared" si="67"/>
        <v>97.395563717253594</v>
      </c>
      <c r="W398" s="14" t="s">
        <v>10</v>
      </c>
      <c r="X398" s="7">
        <v>159500</v>
      </c>
      <c r="Y398" s="7">
        <v>1198347.2727272727</v>
      </c>
      <c r="Z398" s="7">
        <v>1310181.8181818181</v>
      </c>
      <c r="AA398" s="7">
        <v>1063</v>
      </c>
      <c r="AB398" s="7">
        <v>5285</v>
      </c>
      <c r="AC398" s="7">
        <v>0</v>
      </c>
      <c r="AD398" s="7">
        <v>1281863.8800000001</v>
      </c>
      <c r="AE398" s="7">
        <v>175000</v>
      </c>
      <c r="AF398" s="7">
        <v>12478.745612792969</v>
      </c>
      <c r="AG398" s="7">
        <f>X398*0.51+Y398*0.0285+Z398*0.032+AA398*3+AB398*5+AD398*0.015+AE398*0.045</f>
        <v>214140.67365454545</v>
      </c>
      <c r="AH398" s="1">
        <f t="shared" si="68"/>
        <v>17.160432650779622</v>
      </c>
    </row>
    <row r="399" spans="1:34" x14ac:dyDescent="0.25">
      <c r="A399" s="13" t="s">
        <v>0</v>
      </c>
      <c r="B399" s="19">
        <v>46055</v>
      </c>
      <c r="C399" s="7">
        <v>8562</v>
      </c>
      <c r="D399" s="7">
        <v>27381</v>
      </c>
      <c r="E399" s="7">
        <v>20000</v>
      </c>
      <c r="F399" s="7">
        <v>0</v>
      </c>
      <c r="G399" s="7">
        <v>4384</v>
      </c>
      <c r="H399" s="7">
        <v>9214</v>
      </c>
      <c r="I399" s="7">
        <v>80000</v>
      </c>
      <c r="J399" s="2">
        <v>13.39999961853027</v>
      </c>
      <c r="K399" s="23">
        <f t="shared" ref="K399:K425" si="70">C399*9.203+D399*0.51+E399*7.5+F399*5</f>
        <v>242760.39600000001</v>
      </c>
      <c r="L399" s="23">
        <f t="shared" si="69"/>
        <v>55.374177919708032</v>
      </c>
      <c r="M399" s="13" t="s">
        <v>9</v>
      </c>
      <c r="N399" s="7">
        <v>16950</v>
      </c>
      <c r="O399" s="7">
        <v>43799.8046875</v>
      </c>
      <c r="P399" s="7">
        <f t="shared" si="65"/>
        <v>49772.505326704544</v>
      </c>
      <c r="Q399" s="7">
        <v>0</v>
      </c>
      <c r="R399" s="7">
        <v>0</v>
      </c>
      <c r="S399" s="7">
        <f t="shared" si="66"/>
        <v>0</v>
      </c>
      <c r="T399" s="7">
        <v>1792.3599076457299</v>
      </c>
      <c r="U399" s="7">
        <f t="shared" ref="U399:U425" si="71">N399*0.51+P399*4.958+Q399*4.3+S399*9.81</f>
        <v>255416.58140980115</v>
      </c>
      <c r="V399" s="7">
        <f t="shared" si="67"/>
        <v>142.50295396603218</v>
      </c>
      <c r="W399" s="14" t="s">
        <v>10</v>
      </c>
      <c r="X399" s="7">
        <v>146670.21875</v>
      </c>
      <c r="Y399" s="7">
        <v>990534.54545454541</v>
      </c>
      <c r="Z399" s="7">
        <v>1093727.2727272727</v>
      </c>
      <c r="AA399" s="7">
        <v>837</v>
      </c>
      <c r="AB399" s="7">
        <v>5103</v>
      </c>
      <c r="AC399" s="7">
        <v>0</v>
      </c>
      <c r="AD399" s="7">
        <v>1048136.76</v>
      </c>
      <c r="AE399" s="7">
        <v>100000</v>
      </c>
      <c r="AF399" s="7">
        <v>10378.552789382935</v>
      </c>
      <c r="AG399" s="7">
        <f t="shared" ref="AG399:AG462" si="72">X399*0.51+Y399*0.0285+Z399*0.032+AA399*3+AB399*5+AD399*0.015+AE399*0.045</f>
        <v>186279.37023522728</v>
      </c>
      <c r="AH399" s="1">
        <f t="shared" si="68"/>
        <v>17.94849185772679</v>
      </c>
    </row>
    <row r="400" spans="1:34" x14ac:dyDescent="0.25">
      <c r="A400" s="13" t="s">
        <v>0</v>
      </c>
      <c r="B400" s="19">
        <v>46056</v>
      </c>
      <c r="C400" s="7">
        <v>14328</v>
      </c>
      <c r="D400" s="7">
        <v>39390</v>
      </c>
      <c r="E400" s="7">
        <v>0</v>
      </c>
      <c r="F400" s="7">
        <v>0</v>
      </c>
      <c r="G400" s="7">
        <v>3000</v>
      </c>
      <c r="H400" s="7">
        <v>7941</v>
      </c>
      <c r="I400" s="7">
        <v>0</v>
      </c>
      <c r="J400" s="2">
        <v>19.35000038146973</v>
      </c>
      <c r="K400" s="23">
        <f t="shared" si="70"/>
        <v>151949.484</v>
      </c>
      <c r="L400" s="23">
        <f t="shared" si="69"/>
        <v>50.649827999999999</v>
      </c>
      <c r="M400" s="13" t="s">
        <v>9</v>
      </c>
      <c r="N400" s="7">
        <v>42529.180003017187</v>
      </c>
      <c r="O400" s="7">
        <v>15099.609375</v>
      </c>
      <c r="P400" s="7">
        <f t="shared" si="65"/>
        <v>17158.647017045456</v>
      </c>
      <c r="Q400" s="7">
        <v>0</v>
      </c>
      <c r="R400" s="7">
        <v>0</v>
      </c>
      <c r="S400" s="7">
        <f t="shared" si="66"/>
        <v>0</v>
      </c>
      <c r="T400" s="7">
        <v>645.16668959520757</v>
      </c>
      <c r="U400" s="7">
        <f t="shared" si="71"/>
        <v>106762.45371205013</v>
      </c>
      <c r="V400" s="7">
        <f t="shared" si="67"/>
        <v>165.48041836914325</v>
      </c>
      <c r="W400" s="14" t="s">
        <v>10</v>
      </c>
      <c r="X400" s="7">
        <v>150960</v>
      </c>
      <c r="Y400" s="7">
        <v>1132486.3636363638</v>
      </c>
      <c r="Z400" s="7">
        <v>1235272.7272727273</v>
      </c>
      <c r="AA400" s="7">
        <v>1081</v>
      </c>
      <c r="AB400" s="7">
        <v>6691</v>
      </c>
      <c r="AC400" s="7">
        <v>0</v>
      </c>
      <c r="AD400" s="7">
        <v>1226265.48</v>
      </c>
      <c r="AE400" s="7">
        <v>175000</v>
      </c>
      <c r="AF400" s="7">
        <v>11756.601224212647</v>
      </c>
      <c r="AG400" s="7">
        <f t="shared" si="72"/>
        <v>211761.17083636366</v>
      </c>
      <c r="AH400" s="1">
        <f t="shared" si="68"/>
        <v>18.012107989190177</v>
      </c>
    </row>
    <row r="401" spans="1:34" x14ac:dyDescent="0.25">
      <c r="A401" s="13" t="s">
        <v>0</v>
      </c>
      <c r="B401" s="19">
        <v>46057</v>
      </c>
      <c r="C401" s="7">
        <v>6991</v>
      </c>
      <c r="D401" s="7">
        <v>33743</v>
      </c>
      <c r="E401" s="7">
        <v>20000</v>
      </c>
      <c r="F401" s="7">
        <v>0</v>
      </c>
      <c r="G401" s="7">
        <v>2372</v>
      </c>
      <c r="H401" s="7">
        <v>10575</v>
      </c>
      <c r="I401" s="7">
        <v>80000</v>
      </c>
      <c r="J401" s="2">
        <v>18.60000038146973</v>
      </c>
      <c r="K401" s="23">
        <f t="shared" si="70"/>
        <v>231547.103</v>
      </c>
      <c r="L401" s="23">
        <f t="shared" si="69"/>
        <v>97.616822512647559</v>
      </c>
      <c r="M401" s="13" t="s">
        <v>9</v>
      </c>
      <c r="N401" s="7">
        <v>126299.21135029197</v>
      </c>
      <c r="O401" s="7">
        <v>75400.390625</v>
      </c>
      <c r="P401" s="7">
        <f t="shared" si="65"/>
        <v>85682.262073863632</v>
      </c>
      <c r="Q401" s="7">
        <v>4620</v>
      </c>
      <c r="R401" s="7">
        <v>0</v>
      </c>
      <c r="S401" s="7">
        <f t="shared" si="66"/>
        <v>0</v>
      </c>
      <c r="T401" s="7">
        <v>5788.9661669031484</v>
      </c>
      <c r="U401" s="7">
        <f t="shared" si="71"/>
        <v>509091.2531508648</v>
      </c>
      <c r="V401" s="7">
        <f t="shared" si="67"/>
        <v>87.941652874300189</v>
      </c>
      <c r="W401" s="14" t="s">
        <v>10</v>
      </c>
      <c r="X401" s="7">
        <v>157940</v>
      </c>
      <c r="Y401" s="7">
        <v>1088184.5454545454</v>
      </c>
      <c r="Z401" s="7">
        <v>1187181.8181818181</v>
      </c>
      <c r="AA401" s="7">
        <v>1284</v>
      </c>
      <c r="AB401" s="7">
        <v>3297</v>
      </c>
      <c r="AC401" s="7">
        <v>0</v>
      </c>
      <c r="AD401" s="7">
        <v>1154949.8400000001</v>
      </c>
      <c r="AE401" s="7">
        <v>162500</v>
      </c>
      <c r="AF401" s="7">
        <v>11289.998872184753</v>
      </c>
      <c r="AG401" s="7">
        <f t="shared" si="72"/>
        <v>194526.22532727272</v>
      </c>
      <c r="AH401" s="1">
        <f t="shared" si="68"/>
        <v>17.229959677545079</v>
      </c>
    </row>
    <row r="402" spans="1:34" x14ac:dyDescent="0.25">
      <c r="A402" s="13" t="s">
        <v>0</v>
      </c>
      <c r="B402" s="19">
        <v>46058</v>
      </c>
      <c r="C402" s="8">
        <v>9342</v>
      </c>
      <c r="D402" s="8">
        <v>29450</v>
      </c>
      <c r="E402" s="8">
        <v>11000</v>
      </c>
      <c r="F402" s="7">
        <v>0</v>
      </c>
      <c r="G402" s="8">
        <v>3937</v>
      </c>
      <c r="H402" s="8">
        <v>1685</v>
      </c>
      <c r="I402" s="8">
        <v>44000</v>
      </c>
      <c r="J402" s="2">
        <v>14.64999961853027</v>
      </c>
      <c r="K402" s="23">
        <f t="shared" si="70"/>
        <v>183493.92599999998</v>
      </c>
      <c r="L402" s="23">
        <f t="shared" si="69"/>
        <v>46.607550419100832</v>
      </c>
      <c r="M402" s="13" t="s">
        <v>9</v>
      </c>
      <c r="N402" s="7">
        <v>123316.55688726902</v>
      </c>
      <c r="O402" s="7">
        <v>72000</v>
      </c>
      <c r="P402" s="7">
        <f t="shared" si="65"/>
        <v>81818.181818181823</v>
      </c>
      <c r="Q402" s="7">
        <v>3432</v>
      </c>
      <c r="R402" s="7">
        <v>0</v>
      </c>
      <c r="S402" s="7">
        <f t="shared" si="66"/>
        <v>0</v>
      </c>
      <c r="T402" s="7">
        <v>5898.8586897210917</v>
      </c>
      <c r="U402" s="7">
        <f t="shared" si="71"/>
        <v>483303.58946705266</v>
      </c>
      <c r="V402" s="7">
        <f t="shared" si="67"/>
        <v>81.931711690131038</v>
      </c>
      <c r="W402" s="14" t="s">
        <v>10</v>
      </c>
      <c r="X402" s="8">
        <v>166260</v>
      </c>
      <c r="Y402" s="8">
        <v>1048532.7272727273</v>
      </c>
      <c r="Z402" s="8">
        <v>1153090.9090909092</v>
      </c>
      <c r="AA402" s="8">
        <v>1156</v>
      </c>
      <c r="AB402" s="8">
        <v>3431</v>
      </c>
      <c r="AC402" s="8">
        <v>0</v>
      </c>
      <c r="AD402" s="8">
        <v>1138377.24</v>
      </c>
      <c r="AE402" s="8">
        <v>162500</v>
      </c>
      <c r="AF402" s="8">
        <v>11022.400777320861</v>
      </c>
      <c r="AG402" s="7">
        <f t="shared" si="72"/>
        <v>196585.85041818183</v>
      </c>
      <c r="AH402" s="1">
        <f t="shared" si="68"/>
        <v>17.835120895138107</v>
      </c>
    </row>
    <row r="403" spans="1:34" x14ac:dyDescent="0.25">
      <c r="A403" s="13" t="s">
        <v>0</v>
      </c>
      <c r="B403" s="19">
        <v>46059</v>
      </c>
      <c r="C403" s="7">
        <v>11454</v>
      </c>
      <c r="D403" s="7">
        <v>34328</v>
      </c>
      <c r="E403" s="7">
        <v>6700</v>
      </c>
      <c r="F403" s="7">
        <v>0</v>
      </c>
      <c r="G403" s="7">
        <v>4123</v>
      </c>
      <c r="H403" s="7">
        <v>3697</v>
      </c>
      <c r="I403" s="7">
        <v>26800</v>
      </c>
      <c r="J403" s="2">
        <v>16.75</v>
      </c>
      <c r="K403" s="23">
        <f t="shared" si="70"/>
        <v>173168.44199999998</v>
      </c>
      <c r="L403" s="23">
        <f t="shared" si="69"/>
        <v>42.000592287169532</v>
      </c>
      <c r="M403" s="13" t="s">
        <v>9</v>
      </c>
      <c r="N403" s="7">
        <v>115948.81494994462</v>
      </c>
      <c r="O403" s="7">
        <v>73799.8046875</v>
      </c>
      <c r="P403" s="7">
        <f t="shared" si="65"/>
        <v>83863.414417613632</v>
      </c>
      <c r="Q403" s="7">
        <v>0</v>
      </c>
      <c r="R403" s="7">
        <v>0</v>
      </c>
      <c r="S403" s="7">
        <f t="shared" si="66"/>
        <v>0</v>
      </c>
      <c r="T403" s="7">
        <v>5347.0060301935882</v>
      </c>
      <c r="U403" s="7">
        <f t="shared" si="71"/>
        <v>474928.70430700015</v>
      </c>
      <c r="V403" s="7">
        <f t="shared" si="67"/>
        <v>88.821426724631053</v>
      </c>
      <c r="W403" s="14" t="s">
        <v>10</v>
      </c>
      <c r="X403" s="7">
        <v>145120</v>
      </c>
      <c r="Y403" s="7">
        <v>950629.09090909094</v>
      </c>
      <c r="Z403" s="7">
        <v>1039545.4545454545</v>
      </c>
      <c r="AA403" s="7">
        <v>1115</v>
      </c>
      <c r="AB403" s="7">
        <v>4821</v>
      </c>
      <c r="AC403" s="7">
        <v>0</v>
      </c>
      <c r="AD403" s="7">
        <v>1019696.04</v>
      </c>
      <c r="AE403" s="7">
        <v>187500</v>
      </c>
      <c r="AF403" s="7">
        <v>9931.1647897720341</v>
      </c>
      <c r="AG403" s="7">
        <f t="shared" si="72"/>
        <v>185552.52423636362</v>
      </c>
      <c r="AH403" s="1">
        <f t="shared" si="68"/>
        <v>18.683863188682714</v>
      </c>
    </row>
    <row r="404" spans="1:34" x14ac:dyDescent="0.25">
      <c r="A404" s="13" t="s">
        <v>0</v>
      </c>
      <c r="B404" s="19">
        <v>46060</v>
      </c>
      <c r="C404" s="7">
        <v>10346</v>
      </c>
      <c r="D404" s="7">
        <v>36548</v>
      </c>
      <c r="E404" s="7">
        <v>0</v>
      </c>
      <c r="F404" s="7">
        <v>0</v>
      </c>
      <c r="G404" s="7">
        <v>5883</v>
      </c>
      <c r="H404" s="7">
        <v>8063</v>
      </c>
      <c r="I404" s="7">
        <v>0</v>
      </c>
      <c r="J404" s="2">
        <v>17.04999923706055</v>
      </c>
      <c r="K404" s="23">
        <f t="shared" si="70"/>
        <v>113853.71799999999</v>
      </c>
      <c r="L404" s="23">
        <f t="shared" si="69"/>
        <v>19.353003229644738</v>
      </c>
      <c r="M404" s="13" t="s">
        <v>9</v>
      </c>
      <c r="N404" s="7">
        <v>73400</v>
      </c>
      <c r="O404" s="7">
        <v>38100</v>
      </c>
      <c r="P404" s="7">
        <f t="shared" si="65"/>
        <v>43295.454545454544</v>
      </c>
      <c r="Q404" s="7">
        <v>0</v>
      </c>
      <c r="R404" s="7">
        <v>0</v>
      </c>
      <c r="S404" s="7">
        <f t="shared" si="66"/>
        <v>0</v>
      </c>
      <c r="T404" s="7">
        <v>2315</v>
      </c>
      <c r="U404" s="7">
        <f t="shared" si="71"/>
        <v>252092.86363636365</v>
      </c>
      <c r="V404" s="7">
        <f t="shared" si="67"/>
        <v>108.89540545847242</v>
      </c>
      <c r="W404" s="14" t="s">
        <v>10</v>
      </c>
      <c r="X404" s="7">
        <v>56390</v>
      </c>
      <c r="Y404" s="7">
        <v>247802.72727272729</v>
      </c>
      <c r="Z404" s="7">
        <v>271090.90909090906</v>
      </c>
      <c r="AA404" s="7">
        <v>1150</v>
      </c>
      <c r="AB404" s="7">
        <v>4740</v>
      </c>
      <c r="AC404" s="7">
        <v>0</v>
      </c>
      <c r="AD404" s="7">
        <v>260777.88</v>
      </c>
      <c r="AE404" s="7">
        <v>50000</v>
      </c>
      <c r="AF404" s="7">
        <v>2610.4350269317629</v>
      </c>
      <c r="AG404" s="7">
        <f t="shared" si="72"/>
        <v>77807.855018181828</v>
      </c>
      <c r="AH404" s="1">
        <f t="shared" si="68"/>
        <v>29.806470651612099</v>
      </c>
    </row>
    <row r="405" spans="1:34" x14ac:dyDescent="0.25">
      <c r="A405" s="13" t="s">
        <v>0</v>
      </c>
      <c r="B405" s="19">
        <v>46061</v>
      </c>
      <c r="C405" s="24">
        <v>9498</v>
      </c>
      <c r="D405" s="24">
        <v>17346</v>
      </c>
      <c r="E405" s="24">
        <v>0</v>
      </c>
      <c r="F405" s="24">
        <v>0</v>
      </c>
      <c r="G405" s="24">
        <v>4701</v>
      </c>
      <c r="H405" s="24">
        <v>7666.5</v>
      </c>
      <c r="I405" s="7">
        <v>0</v>
      </c>
      <c r="J405" s="2">
        <v>18.20000076293945</v>
      </c>
      <c r="K405" s="23">
        <f t="shared" si="70"/>
        <v>96256.554000000004</v>
      </c>
      <c r="L405" s="23">
        <f t="shared" si="69"/>
        <v>20.475761327377153</v>
      </c>
      <c r="M405" s="13" t="s">
        <v>9</v>
      </c>
      <c r="N405" s="7">
        <v>16608</v>
      </c>
      <c r="O405" s="7">
        <v>38100</v>
      </c>
      <c r="P405" s="7">
        <f t="shared" si="65"/>
        <v>43295.454545454544</v>
      </c>
      <c r="Q405" s="7">
        <v>0</v>
      </c>
      <c r="R405" s="7">
        <v>0</v>
      </c>
      <c r="S405" s="7">
        <f t="shared" si="66"/>
        <v>0</v>
      </c>
      <c r="T405" s="28">
        <v>2662.460125265643</v>
      </c>
      <c r="U405" s="7">
        <f t="shared" si="71"/>
        <v>223128.94363636363</v>
      </c>
      <c r="V405" s="7">
        <f t="shared" si="67"/>
        <v>83.805553187055253</v>
      </c>
      <c r="W405" s="14" t="s">
        <v>10</v>
      </c>
      <c r="X405" s="7">
        <v>18840</v>
      </c>
      <c r="Y405" s="5">
        <v>618999.54545402527</v>
      </c>
      <c r="Z405" s="5">
        <v>681727.27272605896</v>
      </c>
      <c r="AA405" s="7">
        <v>1200</v>
      </c>
      <c r="AB405" s="7">
        <v>5044</v>
      </c>
      <c r="AC405" s="7">
        <v>0</v>
      </c>
      <c r="AD405" s="7">
        <v>0</v>
      </c>
      <c r="AE405" s="7">
        <v>0</v>
      </c>
      <c r="AF405" s="7">
        <v>6517.2568080574301</v>
      </c>
      <c r="AG405" s="7">
        <f t="shared" si="72"/>
        <v>77885.159772673607</v>
      </c>
      <c r="AH405" s="1">
        <f t="shared" si="68"/>
        <v>11.950604689442718</v>
      </c>
    </row>
    <row r="406" spans="1:34" x14ac:dyDescent="0.25">
      <c r="A406" s="13" t="s">
        <v>0</v>
      </c>
      <c r="B406" s="19">
        <v>46062</v>
      </c>
      <c r="C406" s="7">
        <v>8650</v>
      </c>
      <c r="D406" s="7">
        <v>26938</v>
      </c>
      <c r="E406" s="7">
        <v>9000</v>
      </c>
      <c r="F406" s="7">
        <v>0</v>
      </c>
      <c r="G406" s="7">
        <v>3519</v>
      </c>
      <c r="H406" s="7">
        <v>7270</v>
      </c>
      <c r="I406" s="7">
        <v>36000</v>
      </c>
      <c r="J406" s="2">
        <v>21.20000076293945</v>
      </c>
      <c r="K406" s="23">
        <f t="shared" si="70"/>
        <v>160844.33000000002</v>
      </c>
      <c r="L406" s="23">
        <f t="shared" si="69"/>
        <v>45.707396987780626</v>
      </c>
      <c r="M406" s="13" t="s">
        <v>9</v>
      </c>
      <c r="N406" s="7">
        <v>17992</v>
      </c>
      <c r="O406" s="7">
        <v>38100</v>
      </c>
      <c r="P406" s="7">
        <f t="shared" si="65"/>
        <v>43295.454545454544</v>
      </c>
      <c r="Q406" s="7">
        <v>0</v>
      </c>
      <c r="R406" s="7">
        <v>0</v>
      </c>
      <c r="S406" s="7">
        <f t="shared" si="66"/>
        <v>0</v>
      </c>
      <c r="T406" s="28">
        <v>3009.920250531286</v>
      </c>
      <c r="U406" s="7">
        <f t="shared" si="71"/>
        <v>223834.78363636366</v>
      </c>
      <c r="V406" s="7">
        <f t="shared" si="67"/>
        <v>74.36568580076306</v>
      </c>
      <c r="W406" s="14" t="s">
        <v>10</v>
      </c>
      <c r="X406" s="7">
        <v>144060</v>
      </c>
      <c r="Y406" s="7">
        <v>990196.36363636365</v>
      </c>
      <c r="Z406" s="7">
        <v>1092363.6363636362</v>
      </c>
      <c r="AA406" s="7">
        <v>1200</v>
      </c>
      <c r="AB406" s="7">
        <v>4094</v>
      </c>
      <c r="AC406" s="7">
        <v>0</v>
      </c>
      <c r="AD406" s="7">
        <v>1038620.8800000001</v>
      </c>
      <c r="AE406" s="7">
        <v>112500</v>
      </c>
      <c r="AF406" s="7">
        <v>10424.078589191437</v>
      </c>
      <c r="AG406" s="7">
        <f t="shared" si="72"/>
        <v>181358.64592727274</v>
      </c>
      <c r="AH406" s="1">
        <f t="shared" si="68"/>
        <v>17.398050520774149</v>
      </c>
    </row>
    <row r="407" spans="1:34" x14ac:dyDescent="0.25">
      <c r="A407" s="13" t="s">
        <v>0</v>
      </c>
      <c r="B407" s="19">
        <v>46063</v>
      </c>
      <c r="C407" s="8">
        <v>4299</v>
      </c>
      <c r="D407" s="8">
        <v>27530</v>
      </c>
      <c r="E407" s="8">
        <v>14000</v>
      </c>
      <c r="F407" s="7">
        <v>0</v>
      </c>
      <c r="G407" s="8">
        <v>5126</v>
      </c>
      <c r="H407" s="8">
        <v>8078</v>
      </c>
      <c r="I407" s="8">
        <v>56000</v>
      </c>
      <c r="J407" s="2">
        <v>22.95000076293945</v>
      </c>
      <c r="K407" s="23">
        <f t="shared" si="70"/>
        <v>158603.997</v>
      </c>
      <c r="L407" s="23">
        <f t="shared" si="69"/>
        <v>30.941084081154898</v>
      </c>
      <c r="M407" s="13" t="s">
        <v>9</v>
      </c>
      <c r="N407" s="7">
        <v>102401.12827263772</v>
      </c>
      <c r="O407" s="7">
        <v>55588.442253801986</v>
      </c>
      <c r="P407" s="7">
        <f t="shared" si="65"/>
        <v>63168.684379320439</v>
      </c>
      <c r="Q407" s="7">
        <v>0</v>
      </c>
      <c r="R407" s="7">
        <v>0</v>
      </c>
      <c r="S407" s="7">
        <f t="shared" si="66"/>
        <v>0</v>
      </c>
      <c r="T407" s="7">
        <v>3357.3803757970454</v>
      </c>
      <c r="U407" s="7">
        <f t="shared" si="71"/>
        <v>365414.91257171595</v>
      </c>
      <c r="V407" s="7">
        <f t="shared" si="67"/>
        <v>108.83929482817868</v>
      </c>
      <c r="W407" s="14" t="s">
        <v>10</v>
      </c>
      <c r="X407" s="8">
        <v>165140</v>
      </c>
      <c r="Y407" s="8">
        <v>1315780.9090909092</v>
      </c>
      <c r="Z407" s="8">
        <v>1446545.4545454546</v>
      </c>
      <c r="AA407" s="8">
        <v>1160</v>
      </c>
      <c r="AB407" s="8">
        <v>3127</v>
      </c>
      <c r="AC407" s="8">
        <v>0</v>
      </c>
      <c r="AD407" s="8">
        <v>1387821.6</v>
      </c>
      <c r="AE407" s="8">
        <v>150000</v>
      </c>
      <c r="AF407" s="8">
        <v>13744.051157627106</v>
      </c>
      <c r="AG407" s="7">
        <f t="shared" si="72"/>
        <v>214692.93445454547</v>
      </c>
      <c r="AH407" s="1">
        <f t="shared" si="68"/>
        <v>15.620789823341429</v>
      </c>
    </row>
    <row r="408" spans="1:34" x14ac:dyDescent="0.25">
      <c r="A408" s="13" t="s">
        <v>0</v>
      </c>
      <c r="B408" s="19">
        <v>46064</v>
      </c>
      <c r="C408" s="7">
        <v>4246</v>
      </c>
      <c r="D408" s="7">
        <v>32543</v>
      </c>
      <c r="E408" s="7">
        <v>9000</v>
      </c>
      <c r="F408" s="7">
        <v>0</v>
      </c>
      <c r="G408" s="7">
        <v>5676</v>
      </c>
      <c r="H408" s="7">
        <v>10928</v>
      </c>
      <c r="I408" s="7">
        <v>36000</v>
      </c>
      <c r="J408" s="2">
        <v>20.04999923706055</v>
      </c>
      <c r="K408" s="23">
        <f t="shared" si="70"/>
        <v>123172.86799999999</v>
      </c>
      <c r="L408" s="23">
        <f t="shared" si="69"/>
        <v>21.700646229739252</v>
      </c>
      <c r="M408" s="13" t="s">
        <v>9</v>
      </c>
      <c r="N408" s="7">
        <v>114559.13522683084</v>
      </c>
      <c r="O408" s="7">
        <v>68711.362433698014</v>
      </c>
      <c r="P408" s="7">
        <f t="shared" si="65"/>
        <v>78081.093674656833</v>
      </c>
      <c r="Q408" s="7">
        <v>0</v>
      </c>
      <c r="R408" s="7">
        <v>0</v>
      </c>
      <c r="S408" s="7">
        <f t="shared" si="66"/>
        <v>0</v>
      </c>
      <c r="T408" s="7">
        <v>3944.6113274202216</v>
      </c>
      <c r="U408" s="7">
        <f t="shared" si="71"/>
        <v>445551.22140463232</v>
      </c>
      <c r="V408" s="7">
        <f t="shared" si="67"/>
        <v>112.95186887171039</v>
      </c>
      <c r="W408" s="14" t="s">
        <v>10</v>
      </c>
      <c r="X408" s="7">
        <v>151390</v>
      </c>
      <c r="Y408" s="7">
        <v>1068908.1818181816</v>
      </c>
      <c r="Z408" s="7">
        <v>1176818.1818181819</v>
      </c>
      <c r="AA408" s="7">
        <v>1085</v>
      </c>
      <c r="AB408" s="7">
        <v>3493</v>
      </c>
      <c r="AC408" s="7">
        <v>0</v>
      </c>
      <c r="AD408" s="7">
        <v>1087055.6400000001</v>
      </c>
      <c r="AE408" s="7">
        <v>212500</v>
      </c>
      <c r="AF408" s="7">
        <v>11732.774485321044</v>
      </c>
      <c r="AG408" s="7">
        <f t="shared" si="72"/>
        <v>191919.2996</v>
      </c>
      <c r="AH408" s="1">
        <f t="shared" si="68"/>
        <v>16.3575375832981</v>
      </c>
    </row>
    <row r="409" spans="1:34" x14ac:dyDescent="0.25">
      <c r="A409" s="13" t="s">
        <v>0</v>
      </c>
      <c r="B409" s="19">
        <v>46065</v>
      </c>
      <c r="C409" s="7">
        <v>4001</v>
      </c>
      <c r="D409" s="7">
        <v>34009</v>
      </c>
      <c r="E409" s="7">
        <v>36000</v>
      </c>
      <c r="F409" s="7">
        <v>0</v>
      </c>
      <c r="G409" s="7">
        <v>5356</v>
      </c>
      <c r="H409" s="7">
        <v>10974</v>
      </c>
      <c r="I409" s="7">
        <v>144000</v>
      </c>
      <c r="J409" s="2">
        <v>15.14999961853027</v>
      </c>
      <c r="K409" s="23">
        <f t="shared" si="70"/>
        <v>324165.79300000001</v>
      </c>
      <c r="L409" s="23">
        <f t="shared" si="69"/>
        <v>60.523859783420463</v>
      </c>
      <c r="M409" s="13" t="s">
        <v>9</v>
      </c>
      <c r="N409" s="7">
        <v>116940.21721072495</v>
      </c>
      <c r="O409" s="7">
        <v>70099.609375</v>
      </c>
      <c r="P409" s="7">
        <f t="shared" si="65"/>
        <v>79658.647017045456</v>
      </c>
      <c r="Q409" s="7">
        <v>0</v>
      </c>
      <c r="R409" s="7">
        <v>0</v>
      </c>
      <c r="S409" s="7">
        <f t="shared" si="66"/>
        <v>0</v>
      </c>
      <c r="T409" s="7">
        <v>4607.7240759455599</v>
      </c>
      <c r="U409" s="7">
        <f t="shared" si="71"/>
        <v>454587.08268798114</v>
      </c>
      <c r="V409" s="7">
        <f t="shared" si="67"/>
        <v>98.657618207030865</v>
      </c>
      <c r="W409" s="14" t="s">
        <v>10</v>
      </c>
      <c r="X409" s="7">
        <v>131440</v>
      </c>
      <c r="Y409" s="7">
        <v>980389.09090909094</v>
      </c>
      <c r="Z409" s="7">
        <v>1107363.6363636362</v>
      </c>
      <c r="AA409" s="7">
        <v>0</v>
      </c>
      <c r="AB409" s="7">
        <v>3484</v>
      </c>
      <c r="AC409" s="7">
        <v>1430</v>
      </c>
      <c r="AD409" s="7">
        <v>1182962.8799999999</v>
      </c>
      <c r="AE409" s="7">
        <v>112500</v>
      </c>
      <c r="AF409" s="7">
        <v>11521.400530014038</v>
      </c>
      <c r="AG409" s="7">
        <f t="shared" si="72"/>
        <v>170638.06865454547</v>
      </c>
      <c r="AH409" s="1">
        <f t="shared" si="68"/>
        <v>14.810531776065037</v>
      </c>
    </row>
    <row r="410" spans="1:34" x14ac:dyDescent="0.25">
      <c r="A410" s="13" t="s">
        <v>0</v>
      </c>
      <c r="B410" s="19">
        <v>46066</v>
      </c>
      <c r="C410" s="7">
        <v>12467</v>
      </c>
      <c r="D410" s="7">
        <v>36982</v>
      </c>
      <c r="E410" s="7">
        <v>6000</v>
      </c>
      <c r="F410" s="7">
        <v>3493</v>
      </c>
      <c r="G410" s="7">
        <v>9130</v>
      </c>
      <c r="H410" s="7">
        <v>10365</v>
      </c>
      <c r="I410" s="7">
        <v>24000</v>
      </c>
      <c r="J410" s="2">
        <v>13.69999980926514</v>
      </c>
      <c r="K410" s="23">
        <f t="shared" si="70"/>
        <v>196059.62099999998</v>
      </c>
      <c r="L410" s="23">
        <f t="shared" si="69"/>
        <v>21.474219167579406</v>
      </c>
      <c r="M410" s="13" t="s">
        <v>9</v>
      </c>
      <c r="N410" s="7">
        <v>114567.49928182364</v>
      </c>
      <c r="O410" s="7">
        <v>70500</v>
      </c>
      <c r="P410" s="7">
        <f t="shared" si="65"/>
        <v>80113.636363636368</v>
      </c>
      <c r="Q410" s="7">
        <v>0</v>
      </c>
      <c r="R410" s="7">
        <v>0</v>
      </c>
      <c r="S410" s="7">
        <f t="shared" si="66"/>
        <v>0</v>
      </c>
      <c r="T410" s="7">
        <v>4884.4924067571992</v>
      </c>
      <c r="U410" s="7">
        <f t="shared" si="71"/>
        <v>455632.83372463915</v>
      </c>
      <c r="V410" s="7">
        <f t="shared" si="67"/>
        <v>93.281511318211358</v>
      </c>
      <c r="W410" s="14" t="s">
        <v>10</v>
      </c>
      <c r="X410" s="7">
        <v>43170</v>
      </c>
      <c r="Y410" s="7">
        <v>166216.36363636365</v>
      </c>
      <c r="Z410" s="7">
        <v>189090.90909090909</v>
      </c>
      <c r="AA410" s="7">
        <v>0</v>
      </c>
      <c r="AB410" s="7">
        <v>3593</v>
      </c>
      <c r="AC410" s="7">
        <v>3493</v>
      </c>
      <c r="AD410" s="7">
        <v>192135.24</v>
      </c>
      <c r="AE410" s="7">
        <v>62500</v>
      </c>
      <c r="AF410" s="7">
        <v>1833.1584075927735</v>
      </c>
      <c r="AG410" s="7">
        <f t="shared" si="72"/>
        <v>56464.30405454545</v>
      </c>
      <c r="AH410" s="1">
        <f t="shared" si="68"/>
        <v>30.80165021237417</v>
      </c>
    </row>
    <row r="411" spans="1:34" x14ac:dyDescent="0.25">
      <c r="A411" s="13" t="s">
        <v>0</v>
      </c>
      <c r="B411" s="19">
        <v>46067</v>
      </c>
      <c r="C411" s="7">
        <v>5555</v>
      </c>
      <c r="D411" s="7">
        <v>38681</v>
      </c>
      <c r="E411" s="7">
        <v>0</v>
      </c>
      <c r="F411" s="7">
        <v>1088</v>
      </c>
      <c r="G411" s="7">
        <v>8868</v>
      </c>
      <c r="H411" s="7">
        <v>11742</v>
      </c>
      <c r="I411" s="7">
        <v>0</v>
      </c>
      <c r="J411" s="2">
        <v>16.79999923706055</v>
      </c>
      <c r="K411" s="23">
        <f t="shared" si="70"/>
        <v>76289.974999999991</v>
      </c>
      <c r="L411" s="23">
        <f t="shared" si="69"/>
        <v>8.6028388588182221</v>
      </c>
      <c r="M411" s="13" t="s">
        <v>9</v>
      </c>
      <c r="N411" s="7">
        <v>118502.57130630314</v>
      </c>
      <c r="O411" s="7">
        <v>67200.1953125</v>
      </c>
      <c r="P411" s="7">
        <f t="shared" si="65"/>
        <v>76363.858309659088</v>
      </c>
      <c r="Q411" s="7">
        <v>1100</v>
      </c>
      <c r="R411" s="7">
        <v>0</v>
      </c>
      <c r="S411" s="7">
        <f t="shared" si="66"/>
        <v>0</v>
      </c>
      <c r="T411" s="7">
        <v>5345.5612654266879</v>
      </c>
      <c r="U411" s="7">
        <f t="shared" si="71"/>
        <v>443778.32086550439</v>
      </c>
      <c r="V411" s="7">
        <f t="shared" si="67"/>
        <v>83.018096478608328</v>
      </c>
      <c r="W411" s="14" t="s">
        <v>10</v>
      </c>
      <c r="X411" s="7">
        <v>51200</v>
      </c>
      <c r="Y411" s="7">
        <v>165286.36363636365</v>
      </c>
      <c r="Z411" s="7">
        <v>191636.36363636365</v>
      </c>
      <c r="AA411" s="7">
        <v>0</v>
      </c>
      <c r="AB411" s="7">
        <v>4514</v>
      </c>
      <c r="AC411" s="7">
        <v>1088</v>
      </c>
      <c r="AD411" s="7">
        <v>198764.28</v>
      </c>
      <c r="AE411" s="7">
        <v>12500</v>
      </c>
      <c r="AF411" s="7">
        <v>1981.5779795837402</v>
      </c>
      <c r="AG411" s="7">
        <f t="shared" si="72"/>
        <v>63068.989200000004</v>
      </c>
      <c r="AH411" s="1">
        <f t="shared" si="68"/>
        <v>31.82765949652336</v>
      </c>
    </row>
    <row r="412" spans="1:34" x14ac:dyDescent="0.25">
      <c r="A412" s="13" t="s">
        <v>0</v>
      </c>
      <c r="B412" s="19">
        <v>46068</v>
      </c>
      <c r="C412" s="8">
        <v>6880.5</v>
      </c>
      <c r="D412" s="8">
        <v>28996</v>
      </c>
      <c r="E412" s="8">
        <v>0</v>
      </c>
      <c r="F412" s="7">
        <v>4103</v>
      </c>
      <c r="G412" s="8">
        <v>8117.5</v>
      </c>
      <c r="H412" s="8">
        <v>0</v>
      </c>
      <c r="I412" s="8">
        <v>0</v>
      </c>
      <c r="J412" s="2">
        <v>20.35000038146973</v>
      </c>
      <c r="K412" s="23">
        <f t="shared" si="70"/>
        <v>98624.201499999996</v>
      </c>
      <c r="L412" s="23">
        <f t="shared" si="69"/>
        <v>12.149578256852479</v>
      </c>
      <c r="M412" s="13" t="s">
        <v>9</v>
      </c>
      <c r="N412" s="7">
        <v>125980.48792721331</v>
      </c>
      <c r="O412" s="7">
        <v>54445.16444607325</v>
      </c>
      <c r="P412" s="7">
        <f t="shared" si="65"/>
        <v>61869.505052355962</v>
      </c>
      <c r="Q412" s="7">
        <v>3938</v>
      </c>
      <c r="R412" s="7">
        <v>0</v>
      </c>
      <c r="S412" s="7">
        <f t="shared" si="66"/>
        <v>0</v>
      </c>
      <c r="T412" s="7">
        <v>4727.7978144275257</v>
      </c>
      <c r="U412" s="7">
        <f t="shared" si="71"/>
        <v>387932.45489245967</v>
      </c>
      <c r="V412" s="7">
        <f t="shared" si="67"/>
        <v>82.053520501369661</v>
      </c>
      <c r="W412" s="14" t="s">
        <v>10</v>
      </c>
      <c r="X412" s="8">
        <v>160160</v>
      </c>
      <c r="Y412" s="8">
        <v>1131302.7272727273</v>
      </c>
      <c r="Z412" s="8">
        <v>1245272.7272727271</v>
      </c>
      <c r="AA412" s="8">
        <v>0</v>
      </c>
      <c r="AB412" s="8">
        <v>1958</v>
      </c>
      <c r="AC412" s="8">
        <v>4103</v>
      </c>
      <c r="AD412" s="8">
        <v>1242838.08</v>
      </c>
      <c r="AE412" s="8">
        <v>150000</v>
      </c>
      <c r="AF412" s="8">
        <v>12148.669449615478</v>
      </c>
      <c r="AG412" s="7">
        <f t="shared" si="72"/>
        <v>188955.02620000002</v>
      </c>
      <c r="AH412" s="1">
        <f t="shared" si="68"/>
        <v>15.553557283261231</v>
      </c>
    </row>
    <row r="413" spans="1:34" x14ac:dyDescent="0.25">
      <c r="A413" s="13" t="s">
        <v>0</v>
      </c>
      <c r="B413" s="19">
        <v>46069</v>
      </c>
      <c r="C413" s="7">
        <v>8206</v>
      </c>
      <c r="D413" s="7">
        <v>24393</v>
      </c>
      <c r="E413" s="7">
        <v>35000</v>
      </c>
      <c r="F413" s="7">
        <v>3972</v>
      </c>
      <c r="G413" s="7">
        <v>7367</v>
      </c>
      <c r="H413" s="7">
        <v>14135</v>
      </c>
      <c r="I413" s="7">
        <v>140000</v>
      </c>
      <c r="J413" s="2">
        <v>22.60000038146973</v>
      </c>
      <c r="K413" s="23">
        <f t="shared" si="70"/>
        <v>370320.24800000002</v>
      </c>
      <c r="L413" s="23">
        <f t="shared" si="69"/>
        <v>50.267442378172937</v>
      </c>
      <c r="M413" s="13" t="s">
        <v>9</v>
      </c>
      <c r="N413" s="7">
        <v>57768.960774466395</v>
      </c>
      <c r="O413" s="7">
        <v>17755.03086642675</v>
      </c>
      <c r="P413" s="7">
        <f t="shared" si="65"/>
        <v>20176.171439121306</v>
      </c>
      <c r="Q413" s="7">
        <v>1221</v>
      </c>
      <c r="R413" s="7">
        <v>0</v>
      </c>
      <c r="S413" s="7">
        <f t="shared" si="66"/>
        <v>0</v>
      </c>
      <c r="T413" s="7">
        <v>1254.0702487482922</v>
      </c>
      <c r="U413" s="7">
        <f t="shared" si="71"/>
        <v>134745.9279901413</v>
      </c>
      <c r="V413" s="7">
        <f t="shared" si="67"/>
        <v>107.44687398862494</v>
      </c>
      <c r="W413" s="14" t="s">
        <v>10</v>
      </c>
      <c r="X413" s="7">
        <v>147840</v>
      </c>
      <c r="Y413" s="7">
        <v>932959.09090909106</v>
      </c>
      <c r="Z413" s="7">
        <v>1024727.2727272726</v>
      </c>
      <c r="AA413" s="7">
        <v>0</v>
      </c>
      <c r="AB413" s="7">
        <v>5459</v>
      </c>
      <c r="AC413" s="7">
        <v>3972</v>
      </c>
      <c r="AD413" s="7">
        <v>1025469.72</v>
      </c>
      <c r="AE413" s="7">
        <v>187500</v>
      </c>
      <c r="AF413" s="7">
        <v>10127.577115058899</v>
      </c>
      <c r="AG413" s="7">
        <f t="shared" si="72"/>
        <v>185893.5526181818</v>
      </c>
      <c r="AH413" s="1">
        <f t="shared" si="68"/>
        <v>18.355185105603681</v>
      </c>
    </row>
    <row r="414" spans="1:34" x14ac:dyDescent="0.25">
      <c r="A414" s="13" t="s">
        <v>0</v>
      </c>
      <c r="B414" s="19">
        <v>46070</v>
      </c>
      <c r="C414" s="7">
        <v>8119</v>
      </c>
      <c r="D414" s="7">
        <v>28951</v>
      </c>
      <c r="E414" s="7">
        <v>7500</v>
      </c>
      <c r="F414" s="7">
        <v>3962</v>
      </c>
      <c r="G414" s="7">
        <v>6413</v>
      </c>
      <c r="H414" s="7">
        <v>11627</v>
      </c>
      <c r="I414" s="7">
        <v>30000</v>
      </c>
      <c r="J414" s="2">
        <v>19.45000076293945</v>
      </c>
      <c r="K414" s="23">
        <f t="shared" si="70"/>
        <v>165544.16699999999</v>
      </c>
      <c r="L414" s="23">
        <f t="shared" si="69"/>
        <v>25.813841727740524</v>
      </c>
      <c r="M414" s="13" t="s">
        <v>9</v>
      </c>
      <c r="N414" s="7">
        <v>13952</v>
      </c>
      <c r="O414" s="7">
        <v>17755.03086642675</v>
      </c>
      <c r="P414" s="7">
        <f t="shared" si="65"/>
        <v>20176.171439121306</v>
      </c>
      <c r="Q414" s="7">
        <v>0</v>
      </c>
      <c r="R414" s="7">
        <v>0</v>
      </c>
      <c r="S414" s="7">
        <f t="shared" si="66"/>
        <v>0</v>
      </c>
      <c r="T414" s="7">
        <v>1494.5717533268</v>
      </c>
      <c r="U414" s="7">
        <f t="shared" si="71"/>
        <v>107148.97799516344</v>
      </c>
      <c r="V414" s="7">
        <f t="shared" si="67"/>
        <v>71.692093575740458</v>
      </c>
      <c r="W414" s="14" t="s">
        <v>10</v>
      </c>
      <c r="X414" s="7">
        <v>160370</v>
      </c>
      <c r="Y414" s="7">
        <v>1134600</v>
      </c>
      <c r="Z414" s="7">
        <v>1250636.3636363638</v>
      </c>
      <c r="AA414" s="7">
        <v>0</v>
      </c>
      <c r="AB414" s="7">
        <v>3518</v>
      </c>
      <c r="AC414" s="7">
        <v>3962</v>
      </c>
      <c r="AD414" s="7">
        <v>1259517.6000000001</v>
      </c>
      <c r="AE414" s="7">
        <v>124999.99999999999</v>
      </c>
      <c r="AF414" s="7">
        <v>12404.174489593506</v>
      </c>
      <c r="AG414" s="7">
        <f t="shared" si="72"/>
        <v>196252.92763636363</v>
      </c>
      <c r="AH414" s="1">
        <f t="shared" si="68"/>
        <v>15.821522649573351</v>
      </c>
    </row>
    <row r="415" spans="1:34" x14ac:dyDescent="0.25">
      <c r="A415" s="13" t="s">
        <v>0</v>
      </c>
      <c r="B415" s="19">
        <v>46071</v>
      </c>
      <c r="C415" s="7">
        <v>9191</v>
      </c>
      <c r="D415" s="7">
        <v>30576</v>
      </c>
      <c r="E415" s="7">
        <v>3200</v>
      </c>
      <c r="F415" s="7">
        <v>2857</v>
      </c>
      <c r="G415" s="7">
        <v>8612</v>
      </c>
      <c r="H415" s="7">
        <v>9944</v>
      </c>
      <c r="I415" s="7">
        <v>12800</v>
      </c>
      <c r="J415" s="2">
        <v>18.45000076293945</v>
      </c>
      <c r="K415" s="23">
        <f t="shared" si="70"/>
        <v>138463.533</v>
      </c>
      <c r="L415" s="23">
        <f t="shared" si="69"/>
        <v>16.077976428239666</v>
      </c>
      <c r="M415" s="13" t="s">
        <v>9</v>
      </c>
      <c r="N415" s="7">
        <v>54594.305792450905</v>
      </c>
      <c r="O415" s="7">
        <v>20599.609375</v>
      </c>
      <c r="P415" s="7">
        <f t="shared" si="65"/>
        <v>23408.647017045456</v>
      </c>
      <c r="Q415" s="7">
        <v>4350</v>
      </c>
      <c r="R415" s="7">
        <v>0</v>
      </c>
      <c r="S415" s="7">
        <f t="shared" si="66"/>
        <v>0</v>
      </c>
      <c r="T415" s="7">
        <v>1735.0732579067117</v>
      </c>
      <c r="U415" s="7">
        <f t="shared" si="71"/>
        <v>162608.16786466131</v>
      </c>
      <c r="V415" s="7">
        <f t="shared" si="67"/>
        <v>93.718329830546054</v>
      </c>
      <c r="W415" s="14" t="s">
        <v>10</v>
      </c>
      <c r="X415" s="7">
        <v>118100</v>
      </c>
      <c r="Y415" s="7">
        <v>802928.18181818188</v>
      </c>
      <c r="Z415" s="7">
        <v>882363.63636363635</v>
      </c>
      <c r="AA415" s="7">
        <v>0</v>
      </c>
      <c r="AB415" s="7">
        <v>3540</v>
      </c>
      <c r="AC415" s="7">
        <v>2857</v>
      </c>
      <c r="AD415" s="7">
        <v>893851.2</v>
      </c>
      <c r="AE415" s="7">
        <v>87500</v>
      </c>
      <c r="AF415" s="7">
        <v>8727.5899549484257</v>
      </c>
      <c r="AG415" s="7">
        <f t="shared" si="72"/>
        <v>146395.35754545455</v>
      </c>
      <c r="AH415" s="1">
        <f t="shared" si="68"/>
        <v>16.773858339030966</v>
      </c>
    </row>
    <row r="416" spans="1:34" x14ac:dyDescent="0.25">
      <c r="A416" s="13" t="s">
        <v>0</v>
      </c>
      <c r="B416" s="19">
        <v>46072</v>
      </c>
      <c r="C416" s="7">
        <v>14936</v>
      </c>
      <c r="D416" s="7">
        <v>27963</v>
      </c>
      <c r="E416" s="7">
        <v>0</v>
      </c>
      <c r="F416" s="7">
        <v>3895</v>
      </c>
      <c r="G416" s="7">
        <v>6843</v>
      </c>
      <c r="H416" s="7">
        <v>7346</v>
      </c>
      <c r="I416" s="7">
        <v>0</v>
      </c>
      <c r="J416" s="2">
        <v>21</v>
      </c>
      <c r="K416" s="23">
        <f t="shared" si="70"/>
        <v>171192.13800000001</v>
      </c>
      <c r="L416" s="23">
        <f t="shared" si="69"/>
        <v>25.017117930732137</v>
      </c>
      <c r="M416" s="13" t="s">
        <v>9</v>
      </c>
      <c r="N416" s="7">
        <v>106060.50420510769</v>
      </c>
      <c r="O416" s="7">
        <v>52100.5859375</v>
      </c>
      <c r="P416" s="7">
        <f t="shared" si="65"/>
        <v>59205.21129261364</v>
      </c>
      <c r="Q416" s="7">
        <v>8568</v>
      </c>
      <c r="R416" s="7">
        <v>0</v>
      </c>
      <c r="S416" s="7">
        <f t="shared" si="66"/>
        <v>0</v>
      </c>
      <c r="T416" s="7">
        <v>3951.9809696748853</v>
      </c>
      <c r="U416" s="7">
        <f t="shared" si="71"/>
        <v>384472.69473338337</v>
      </c>
      <c r="V416" s="7">
        <f t="shared" si="67"/>
        <v>97.286069362072993</v>
      </c>
      <c r="W416" s="14" t="s">
        <v>10</v>
      </c>
      <c r="X416" s="7">
        <v>29100</v>
      </c>
      <c r="Y416" s="24">
        <v>454093.63636398315</v>
      </c>
      <c r="Z416" s="24">
        <v>499727.27272796631</v>
      </c>
      <c r="AA416" s="7">
        <v>0</v>
      </c>
      <c r="AB416" s="7">
        <v>3481</v>
      </c>
      <c r="AC416" s="7">
        <v>3895</v>
      </c>
      <c r="AD416" s="7">
        <v>1069385</v>
      </c>
      <c r="AE416" s="7">
        <v>96849</v>
      </c>
      <c r="AF416" s="7">
        <v>4944.5379738807696</v>
      </c>
      <c r="AG416" s="7">
        <f t="shared" si="72"/>
        <v>81577.921363668444</v>
      </c>
      <c r="AH416" s="1">
        <f t="shared" si="68"/>
        <v>16.498593355860347</v>
      </c>
    </row>
    <row r="417" spans="1:34" x14ac:dyDescent="0.25">
      <c r="A417" s="13" t="s">
        <v>0</v>
      </c>
      <c r="B417" s="19">
        <v>46073</v>
      </c>
      <c r="C417" s="8">
        <v>9799</v>
      </c>
      <c r="D417" s="8">
        <v>28529</v>
      </c>
      <c r="E417" s="8">
        <v>0</v>
      </c>
      <c r="F417" s="7">
        <v>3747</v>
      </c>
      <c r="G417" s="8">
        <v>8126</v>
      </c>
      <c r="H417" s="8">
        <v>4243</v>
      </c>
      <c r="I417" s="8">
        <v>0</v>
      </c>
      <c r="J417" s="2">
        <v>26.70000076293945</v>
      </c>
      <c r="K417" s="23">
        <f t="shared" si="70"/>
        <v>123464.98699999999</v>
      </c>
      <c r="L417" s="23">
        <f t="shared" si="69"/>
        <v>15.193820698990892</v>
      </c>
      <c r="M417" s="13" t="s">
        <v>9</v>
      </c>
      <c r="N417" s="7">
        <v>66025.190002441406</v>
      </c>
      <c r="O417" s="7">
        <v>26500</v>
      </c>
      <c r="P417" s="7">
        <f t="shared" si="65"/>
        <v>30113.636363636364</v>
      </c>
      <c r="Q417" s="7">
        <v>2448</v>
      </c>
      <c r="R417" s="7">
        <v>0</v>
      </c>
      <c r="S417" s="7">
        <f t="shared" si="66"/>
        <v>0</v>
      </c>
      <c r="T417" s="7">
        <v>1674.6957724184031</v>
      </c>
      <c r="U417" s="7">
        <f t="shared" si="71"/>
        <v>193502.65599215421</v>
      </c>
      <c r="V417" s="7">
        <f t="shared" si="67"/>
        <v>115.54495997366729</v>
      </c>
      <c r="W417" s="14" t="s">
        <v>10</v>
      </c>
      <c r="X417" s="8">
        <v>29800</v>
      </c>
      <c r="Y417" s="8">
        <v>105259.09090909093</v>
      </c>
      <c r="Z417" s="8">
        <v>117090.90909090909</v>
      </c>
      <c r="AA417" s="8">
        <v>0</v>
      </c>
      <c r="AB417" s="8">
        <v>3244</v>
      </c>
      <c r="AC417" s="8">
        <v>3747</v>
      </c>
      <c r="AD417" s="8">
        <v>118253.52000000002</v>
      </c>
      <c r="AE417" s="8">
        <v>0</v>
      </c>
      <c r="AF417" s="8">
        <v>1161.4859928131104</v>
      </c>
      <c r="AG417" s="7">
        <f t="shared" si="72"/>
        <v>39938.59598181818</v>
      </c>
      <c r="AH417" s="1">
        <f t="shared" si="68"/>
        <v>34.385774971842061</v>
      </c>
    </row>
    <row r="418" spans="1:34" x14ac:dyDescent="0.25">
      <c r="A418" s="13" t="s">
        <v>0</v>
      </c>
      <c r="B418" s="19">
        <v>46074</v>
      </c>
      <c r="C418" s="7">
        <v>15752</v>
      </c>
      <c r="D418" s="7">
        <v>25964</v>
      </c>
      <c r="E418" s="7">
        <v>0</v>
      </c>
      <c r="F418" s="7">
        <v>3718</v>
      </c>
      <c r="G418" s="7">
        <v>8996</v>
      </c>
      <c r="H418" s="7">
        <v>4377</v>
      </c>
      <c r="I418" s="7">
        <v>0</v>
      </c>
      <c r="J418" s="2">
        <v>26.95000076293945</v>
      </c>
      <c r="K418" s="23">
        <f t="shared" si="70"/>
        <v>176797.29599999997</v>
      </c>
      <c r="L418" s="23">
        <f t="shared" si="69"/>
        <v>19.652878612716759</v>
      </c>
      <c r="M418" s="13" t="s">
        <v>9</v>
      </c>
      <c r="N418" s="7">
        <v>17768</v>
      </c>
      <c r="O418" s="7">
        <v>26500</v>
      </c>
      <c r="P418" s="7">
        <f t="shared" si="65"/>
        <v>30113.636363636364</v>
      </c>
      <c r="Q418" s="7">
        <v>0</v>
      </c>
      <c r="R418" s="7">
        <v>0</v>
      </c>
      <c r="S418" s="7">
        <f t="shared" si="66"/>
        <v>0</v>
      </c>
      <c r="T418" s="7">
        <v>1311.9864682965001</v>
      </c>
      <c r="U418" s="7">
        <f t="shared" si="71"/>
        <v>158365.08909090908</v>
      </c>
      <c r="V418" s="7">
        <f t="shared" si="67"/>
        <v>120.70634333335185</v>
      </c>
      <c r="W418" s="14" t="s">
        <v>10</v>
      </c>
      <c r="X418" s="7">
        <v>155200</v>
      </c>
      <c r="Y418" s="7">
        <v>1088100</v>
      </c>
      <c r="Z418" s="7">
        <v>1206818.1818181819</v>
      </c>
      <c r="AA418" s="7">
        <v>0</v>
      </c>
      <c r="AB418" s="7">
        <v>3535</v>
      </c>
      <c r="AC418" s="7">
        <v>3718</v>
      </c>
      <c r="AD418" s="7">
        <v>1212472.8</v>
      </c>
      <c r="AE418" s="7">
        <v>87500</v>
      </c>
      <c r="AF418" s="7">
        <v>11955.541938285827</v>
      </c>
      <c r="AG418" s="7">
        <f t="shared" si="72"/>
        <v>188580.62381818183</v>
      </c>
      <c r="AH418" s="1">
        <f t="shared" si="68"/>
        <v>15.773490218312958</v>
      </c>
    </row>
    <row r="419" spans="1:34" x14ac:dyDescent="0.25">
      <c r="A419" s="13" t="s">
        <v>0</v>
      </c>
      <c r="B419" s="19">
        <v>46075</v>
      </c>
      <c r="C419" s="7">
        <v>5085</v>
      </c>
      <c r="D419" s="7">
        <v>21925</v>
      </c>
      <c r="E419" s="7">
        <v>0</v>
      </c>
      <c r="F419" s="7">
        <v>3737</v>
      </c>
      <c r="G419" s="7">
        <v>9120.5</v>
      </c>
      <c r="H419" s="7">
        <v>0</v>
      </c>
      <c r="I419" s="7">
        <v>0</v>
      </c>
      <c r="J419" s="2">
        <v>26</v>
      </c>
      <c r="K419" s="23">
        <f t="shared" si="70"/>
        <v>76664.005000000005</v>
      </c>
      <c r="L419" s="23">
        <f t="shared" si="69"/>
        <v>8.4056800614001439</v>
      </c>
      <c r="M419" s="13" t="s">
        <v>9</v>
      </c>
      <c r="N419" s="7">
        <v>47188.77470035851</v>
      </c>
      <c r="O419" s="7">
        <v>25916.217532861992</v>
      </c>
      <c r="P419" s="7">
        <f t="shared" si="65"/>
        <v>29450.247196434084</v>
      </c>
      <c r="Q419" s="7">
        <v>0</v>
      </c>
      <c r="R419" s="7">
        <v>0</v>
      </c>
      <c r="S419" s="7">
        <f t="shared" si="66"/>
        <v>0</v>
      </c>
      <c r="T419" s="7">
        <v>949.27716417110059</v>
      </c>
      <c r="U419" s="7">
        <f t="shared" si="71"/>
        <v>170080.60069710301</v>
      </c>
      <c r="V419" s="7">
        <f t="shared" si="67"/>
        <v>179.1685369842597</v>
      </c>
      <c r="W419" s="14" t="s">
        <v>10</v>
      </c>
      <c r="X419" s="7">
        <v>155620</v>
      </c>
      <c r="Y419" s="7">
        <v>1065610.9090909092</v>
      </c>
      <c r="Z419" s="7">
        <v>1261818.1818181816</v>
      </c>
      <c r="AA419" s="7">
        <v>0</v>
      </c>
      <c r="AB419" s="7">
        <v>3658</v>
      </c>
      <c r="AC419" s="7">
        <v>3737</v>
      </c>
      <c r="AD419" s="7">
        <v>1246901.04</v>
      </c>
      <c r="AE419" s="7">
        <v>112500</v>
      </c>
      <c r="AF419" s="7">
        <v>12382.249063529969</v>
      </c>
      <c r="AG419" s="7">
        <f t="shared" si="72"/>
        <v>192170.30832727271</v>
      </c>
      <c r="AH419" s="1">
        <f t="shared" si="68"/>
        <v>15.519822557380236</v>
      </c>
    </row>
    <row r="420" spans="1:34" x14ac:dyDescent="0.25">
      <c r="A420" s="13" t="s">
        <v>0</v>
      </c>
      <c r="B420" s="19">
        <v>46076</v>
      </c>
      <c r="C420" s="7">
        <v>9033</v>
      </c>
      <c r="D420" s="7">
        <v>30012</v>
      </c>
      <c r="E420" s="7">
        <v>0</v>
      </c>
      <c r="F420" s="7">
        <v>0</v>
      </c>
      <c r="G420" s="7">
        <v>9245</v>
      </c>
      <c r="H420" s="7">
        <v>12578</v>
      </c>
      <c r="I420" s="7">
        <v>0</v>
      </c>
      <c r="J420" s="2">
        <v>25.95000076293945</v>
      </c>
      <c r="K420" s="23">
        <f t="shared" si="70"/>
        <v>98436.818999999989</v>
      </c>
      <c r="L420" s="23">
        <f t="shared" si="69"/>
        <v>10.647573715521903</v>
      </c>
      <c r="M420" s="13" t="s">
        <v>9</v>
      </c>
      <c r="N420" s="7">
        <v>98173.134978279471</v>
      </c>
      <c r="O420" s="7">
        <v>59183.391842138008</v>
      </c>
      <c r="P420" s="7">
        <f t="shared" si="65"/>
        <v>67253.85436606592</v>
      </c>
      <c r="Q420" s="7">
        <v>0</v>
      </c>
      <c r="R420" s="7">
        <v>0</v>
      </c>
      <c r="S420" s="7">
        <f t="shared" si="66"/>
        <v>0</v>
      </c>
      <c r="T420" s="7">
        <v>3451.1428322853171</v>
      </c>
      <c r="U420" s="7">
        <f t="shared" si="71"/>
        <v>383512.90878587734</v>
      </c>
      <c r="V420" s="7">
        <f t="shared" si="67"/>
        <v>111.12635072594732</v>
      </c>
      <c r="W420" s="14" t="s">
        <v>10</v>
      </c>
      <c r="X420" s="7">
        <v>126380</v>
      </c>
      <c r="Y420" s="7">
        <v>871663.63636363635</v>
      </c>
      <c r="Z420" s="7">
        <v>905000</v>
      </c>
      <c r="AA420" s="7">
        <v>0</v>
      </c>
      <c r="AB420" s="7">
        <v>3860</v>
      </c>
      <c r="AC420" s="7">
        <v>3705</v>
      </c>
      <c r="AD420" s="7">
        <v>1014777.72</v>
      </c>
      <c r="AE420" s="7">
        <v>112500</v>
      </c>
      <c r="AF420" s="7">
        <v>9912.4956203460697</v>
      </c>
      <c r="AG420" s="7">
        <f t="shared" si="72"/>
        <v>157840.37943636361</v>
      </c>
      <c r="AH420" s="1">
        <f t="shared" si="68"/>
        <v>15.923374443907498</v>
      </c>
    </row>
    <row r="421" spans="1:34" x14ac:dyDescent="0.25">
      <c r="A421" s="13" t="s">
        <v>0</v>
      </c>
      <c r="B421" s="19">
        <v>46077</v>
      </c>
      <c r="C421" s="7">
        <v>15251</v>
      </c>
      <c r="D421" s="7">
        <v>33009</v>
      </c>
      <c r="E421" s="7">
        <v>0</v>
      </c>
      <c r="F421" s="7">
        <v>0</v>
      </c>
      <c r="G421" s="7">
        <v>4575</v>
      </c>
      <c r="H421" s="7">
        <v>11069</v>
      </c>
      <c r="I421" s="7">
        <v>0</v>
      </c>
      <c r="J421" s="2">
        <v>25.10000038146973</v>
      </c>
      <c r="K421" s="23">
        <f t="shared" si="70"/>
        <v>157189.54299999998</v>
      </c>
      <c r="L421" s="23">
        <f t="shared" si="69"/>
        <v>34.358370054644801</v>
      </c>
      <c r="M421" s="13" t="s">
        <v>9</v>
      </c>
      <c r="N421" s="7">
        <v>105579.01406124234</v>
      </c>
      <c r="O421" s="7">
        <v>71599.609375</v>
      </c>
      <c r="P421" s="7">
        <f t="shared" si="65"/>
        <v>81363.192471590912</v>
      </c>
      <c r="Q421" s="7">
        <v>7200</v>
      </c>
      <c r="R421" s="7">
        <v>0</v>
      </c>
      <c r="S421" s="7">
        <f t="shared" si="66"/>
        <v>0</v>
      </c>
      <c r="T421" s="7">
        <v>4855.135678052553</v>
      </c>
      <c r="U421" s="7">
        <f t="shared" si="71"/>
        <v>488204.00544538134</v>
      </c>
      <c r="V421" s="7">
        <f t="shared" si="67"/>
        <v>100.55414262721597</v>
      </c>
      <c r="W421" s="14" t="s">
        <v>10</v>
      </c>
      <c r="X421" s="7">
        <v>18540</v>
      </c>
      <c r="Y421" s="25">
        <v>838564.09090912342</v>
      </c>
      <c r="Z421" s="25">
        <v>863681.81818187237</v>
      </c>
      <c r="AA421" s="7">
        <v>0</v>
      </c>
      <c r="AB421" s="7">
        <v>2898</v>
      </c>
      <c r="AC421" s="7">
        <v>3727</v>
      </c>
      <c r="AD421" s="7">
        <v>0</v>
      </c>
      <c r="AE421" s="7">
        <v>0</v>
      </c>
      <c r="AF421" s="7">
        <v>9008.5837811492402</v>
      </c>
      <c r="AG421" s="7">
        <f t="shared" si="72"/>
        <v>75482.294772729932</v>
      </c>
      <c r="AH421" s="1">
        <f t="shared" si="68"/>
        <v>8.3789302077291143</v>
      </c>
    </row>
    <row r="422" spans="1:34" x14ac:dyDescent="0.25">
      <c r="A422" s="13" t="s">
        <v>0</v>
      </c>
      <c r="B422" s="19">
        <v>46078</v>
      </c>
      <c r="C422" s="8">
        <v>7828</v>
      </c>
      <c r="D422" s="8">
        <v>33093</v>
      </c>
      <c r="E422" s="8">
        <v>1550</v>
      </c>
      <c r="F422" s="7">
        <v>0</v>
      </c>
      <c r="G422" s="8">
        <v>5873</v>
      </c>
      <c r="H422" s="8">
        <v>12430</v>
      </c>
      <c r="I422" s="8">
        <v>4440</v>
      </c>
      <c r="J422" s="2">
        <v>24.5</v>
      </c>
      <c r="K422" s="23">
        <f t="shared" si="70"/>
        <v>100543.514</v>
      </c>
      <c r="L422" s="23">
        <f t="shared" si="69"/>
        <v>17.119617571939383</v>
      </c>
      <c r="M422" s="13" t="s">
        <v>9</v>
      </c>
      <c r="N422" s="7">
        <v>109292.57116347551</v>
      </c>
      <c r="O422" s="7">
        <v>56900.390625</v>
      </c>
      <c r="P422" s="7">
        <f t="shared" si="65"/>
        <v>64659.53480113636</v>
      </c>
      <c r="Q422" s="7">
        <v>13572</v>
      </c>
      <c r="R422" s="7">
        <v>0</v>
      </c>
      <c r="S422" s="7">
        <f t="shared" si="66"/>
        <v>0</v>
      </c>
      <c r="T422" s="7">
        <v>4689.2485854967899</v>
      </c>
      <c r="U422" s="7">
        <f t="shared" si="71"/>
        <v>434680.78483740654</v>
      </c>
      <c r="V422" s="7">
        <f t="shared" si="67"/>
        <v>92.697321737605307</v>
      </c>
      <c r="W422" s="14" t="s">
        <v>10</v>
      </c>
      <c r="X422" s="8">
        <v>100410</v>
      </c>
      <c r="Y422" s="8">
        <v>805464.54545454541</v>
      </c>
      <c r="Z422" s="8">
        <v>822363.63636363635</v>
      </c>
      <c r="AA422" s="8">
        <v>0</v>
      </c>
      <c r="AB422" s="8">
        <v>4022</v>
      </c>
      <c r="AC422" s="8">
        <v>3416</v>
      </c>
      <c r="AD422" s="8">
        <v>843064.20000000007</v>
      </c>
      <c r="AE422" s="8">
        <v>50000</v>
      </c>
      <c r="AF422" s="8">
        <v>8104.6719419479368</v>
      </c>
      <c r="AG422" s="7">
        <f t="shared" si="72"/>
        <v>135486.43890909091</v>
      </c>
      <c r="AH422" s="1">
        <f t="shared" si="68"/>
        <v>16.717078726881461</v>
      </c>
    </row>
    <row r="423" spans="1:34" x14ac:dyDescent="0.25">
      <c r="A423" s="13" t="s">
        <v>0</v>
      </c>
      <c r="B423" s="19">
        <v>46079</v>
      </c>
      <c r="C423" s="7">
        <v>14920</v>
      </c>
      <c r="D423" s="7">
        <v>34206</v>
      </c>
      <c r="E423" s="7">
        <v>0</v>
      </c>
      <c r="F423" s="7">
        <v>0</v>
      </c>
      <c r="G423" s="7">
        <v>3426</v>
      </c>
      <c r="H423" s="7">
        <v>9254</v>
      </c>
      <c r="I423" s="7">
        <v>0</v>
      </c>
      <c r="J423" s="2">
        <v>23.89999961853027</v>
      </c>
      <c r="K423" s="23">
        <f t="shared" si="70"/>
        <v>154753.81999999998</v>
      </c>
      <c r="L423" s="23">
        <f t="shared" si="69"/>
        <v>45.170408639813189</v>
      </c>
      <c r="M423" s="13" t="s">
        <v>9</v>
      </c>
      <c r="N423" s="7">
        <v>110163.78044177592</v>
      </c>
      <c r="O423" s="7">
        <v>59799.8046875</v>
      </c>
      <c r="P423" s="7">
        <f t="shared" si="65"/>
        <v>67954.323508522721</v>
      </c>
      <c r="Q423" s="7">
        <v>15084</v>
      </c>
      <c r="R423" s="7">
        <v>0</v>
      </c>
      <c r="S423" s="7">
        <f t="shared" si="66"/>
        <v>0</v>
      </c>
      <c r="T423" s="7">
        <v>6080.8576240539551</v>
      </c>
      <c r="U423" s="7">
        <f t="shared" si="71"/>
        <v>457962.2639805614</v>
      </c>
      <c r="V423" s="7">
        <f t="shared" si="67"/>
        <v>75.312117515958136</v>
      </c>
      <c r="W423" s="14" t="s">
        <v>10</v>
      </c>
      <c r="X423" s="7">
        <v>100410</v>
      </c>
      <c r="Y423" s="7">
        <v>805464.54545454541</v>
      </c>
      <c r="Z423" s="7">
        <v>822363.63636363635</v>
      </c>
      <c r="AA423" s="7">
        <v>0</v>
      </c>
      <c r="AB423" s="7">
        <v>4022</v>
      </c>
      <c r="AC423" s="7">
        <v>3416</v>
      </c>
      <c r="AD423" s="7">
        <v>843064.20000000007</v>
      </c>
      <c r="AE423" s="7">
        <v>50000</v>
      </c>
      <c r="AF423" s="7">
        <v>8104.6719419479368</v>
      </c>
      <c r="AG423" s="7">
        <f t="shared" si="72"/>
        <v>135486.43890909091</v>
      </c>
      <c r="AH423" s="1">
        <f t="shared" si="68"/>
        <v>16.717078726881461</v>
      </c>
    </row>
    <row r="424" spans="1:34" x14ac:dyDescent="0.25">
      <c r="A424" s="13" t="s">
        <v>0</v>
      </c>
      <c r="B424" s="19">
        <v>46080</v>
      </c>
      <c r="C424" s="7">
        <v>10092</v>
      </c>
      <c r="D424" s="7">
        <v>30107</v>
      </c>
      <c r="E424" s="7">
        <v>0</v>
      </c>
      <c r="F424" s="7">
        <v>0</v>
      </c>
      <c r="G424" s="7">
        <v>5502</v>
      </c>
      <c r="H424" s="7">
        <v>7230</v>
      </c>
      <c r="I424" s="7">
        <v>0</v>
      </c>
      <c r="J424" s="2">
        <v>18.70000076293945</v>
      </c>
      <c r="K424" s="23">
        <f t="shared" si="70"/>
        <v>108231.24599999998</v>
      </c>
      <c r="L424" s="23">
        <f t="shared" si="69"/>
        <v>19.671255179934565</v>
      </c>
      <c r="M424" s="13" t="s">
        <v>9</v>
      </c>
      <c r="N424" s="7">
        <v>90000</v>
      </c>
      <c r="O424" s="7">
        <v>43800</v>
      </c>
      <c r="P424" s="7">
        <f t="shared" si="65"/>
        <v>49772.727272727272</v>
      </c>
      <c r="Q424" s="7">
        <v>12240</v>
      </c>
      <c r="R424" s="7">
        <v>0</v>
      </c>
      <c r="S424" s="7">
        <f t="shared" si="66"/>
        <v>0</v>
      </c>
      <c r="T424" s="7">
        <v>4405</v>
      </c>
      <c r="U424" s="7">
        <f t="shared" si="71"/>
        <v>345305.18181818182</v>
      </c>
      <c r="V424" s="7">
        <f t="shared" si="67"/>
        <v>78.389371581880098</v>
      </c>
      <c r="W424" s="14" t="s">
        <v>10</v>
      </c>
      <c r="X424" s="7">
        <v>143950</v>
      </c>
      <c r="Y424" s="7">
        <v>1302760.9090909092</v>
      </c>
      <c r="Z424" s="7">
        <v>1346090.9090909092</v>
      </c>
      <c r="AA424" s="7">
        <v>0</v>
      </c>
      <c r="AB424" s="7">
        <v>4016</v>
      </c>
      <c r="AC424" s="7">
        <v>3576</v>
      </c>
      <c r="AD424" s="7">
        <v>1295549.6399999999</v>
      </c>
      <c r="AE424" s="7">
        <v>125000</v>
      </c>
      <c r="AF424" s="7">
        <v>13983.672166557311</v>
      </c>
      <c r="AG424" s="7">
        <f t="shared" si="72"/>
        <v>198756.33960000001</v>
      </c>
      <c r="AH424" s="1">
        <f t="shared" si="68"/>
        <v>14.213458184133941</v>
      </c>
    </row>
    <row r="425" spans="1:34" x14ac:dyDescent="0.25">
      <c r="A425" s="13" t="s">
        <v>0</v>
      </c>
      <c r="B425" s="19">
        <v>46081</v>
      </c>
      <c r="C425" s="7">
        <v>14393</v>
      </c>
      <c r="D425" s="7">
        <v>33588</v>
      </c>
      <c r="E425" s="7">
        <v>0</v>
      </c>
      <c r="F425" s="7">
        <v>0</v>
      </c>
      <c r="G425" s="7">
        <v>5502</v>
      </c>
      <c r="H425" s="7">
        <v>7230</v>
      </c>
      <c r="I425" s="7">
        <v>0</v>
      </c>
      <c r="J425" s="2">
        <v>19.04999923706055</v>
      </c>
      <c r="K425" s="23">
        <f t="shared" si="70"/>
        <v>149588.65899999999</v>
      </c>
      <c r="L425" s="23">
        <f t="shared" si="69"/>
        <v>27.188051435841508</v>
      </c>
      <c r="M425" s="13" t="s">
        <v>9</v>
      </c>
      <c r="N425" s="7">
        <v>10000</v>
      </c>
      <c r="O425" s="7">
        <v>43800</v>
      </c>
      <c r="P425" s="7">
        <f t="shared" si="65"/>
        <v>49772.727272727272</v>
      </c>
      <c r="Q425" s="7">
        <v>0</v>
      </c>
      <c r="R425" s="7">
        <v>0</v>
      </c>
      <c r="S425" s="7">
        <f t="shared" si="66"/>
        <v>0</v>
      </c>
      <c r="T425" s="7">
        <v>2774.5</v>
      </c>
      <c r="U425" s="7">
        <f t="shared" si="71"/>
        <v>251873.18181818182</v>
      </c>
      <c r="V425" s="7">
        <f t="shared" si="67"/>
        <v>90.781467586297282</v>
      </c>
      <c r="W425" s="14" t="s">
        <v>10</v>
      </c>
      <c r="X425" s="7">
        <v>26540</v>
      </c>
      <c r="Y425" s="5">
        <v>793966.36363601685</v>
      </c>
      <c r="Z425" s="5">
        <v>830045.45454406738</v>
      </c>
      <c r="AA425" s="7">
        <v>31</v>
      </c>
      <c r="AB425" s="7">
        <v>4537</v>
      </c>
      <c r="AC425" s="7">
        <v>3492</v>
      </c>
      <c r="AD425" s="7">
        <v>0</v>
      </c>
      <c r="AE425" s="7">
        <v>0</v>
      </c>
      <c r="AF425" s="24">
        <v>11420.887328259647</v>
      </c>
      <c r="AG425" s="7">
        <f t="shared" si="72"/>
        <v>85502.895909036641</v>
      </c>
      <c r="AH425" s="1">
        <f t="shared" si="68"/>
        <v>7.4865370309248869</v>
      </c>
    </row>
    <row r="426" spans="1:34" x14ac:dyDescent="0.25">
      <c r="A426" s="13" t="s">
        <v>0</v>
      </c>
      <c r="B426" s="19">
        <v>46082</v>
      </c>
      <c r="C426" s="7">
        <v>10496</v>
      </c>
      <c r="D426" s="7">
        <v>17494</v>
      </c>
      <c r="E426" s="7">
        <v>0</v>
      </c>
      <c r="F426" s="7">
        <v>0</v>
      </c>
      <c r="G426" s="7">
        <v>3944.5</v>
      </c>
      <c r="H426" s="7">
        <v>0</v>
      </c>
      <c r="I426" s="7">
        <v>0</v>
      </c>
      <c r="J426" s="2">
        <v>17.95000076293945</v>
      </c>
      <c r="K426" s="23">
        <f>C426*10.101+D426*0.51+E426*8.1+F426*5</f>
        <v>114942.03600000001</v>
      </c>
      <c r="L426" s="23">
        <f t="shared" si="69"/>
        <v>29.139824058816075</v>
      </c>
      <c r="M426" s="13" t="s">
        <v>9</v>
      </c>
      <c r="N426" s="7">
        <v>40665.620026394725</v>
      </c>
      <c r="O426" s="7">
        <v>14300.78125</v>
      </c>
      <c r="P426" s="7">
        <f t="shared" si="65"/>
        <v>16250.88778409091</v>
      </c>
      <c r="Q426" s="7">
        <v>2340</v>
      </c>
      <c r="R426" s="7">
        <v>0</v>
      </c>
      <c r="S426" s="7">
        <f t="shared" si="66"/>
        <v>0</v>
      </c>
      <c r="T426" s="7">
        <v>1144</v>
      </c>
      <c r="U426" s="7">
        <f>N426*0.51+P426*7.024+Q426*4.25+S426*11.8</f>
        <v>144830.70200891586</v>
      </c>
      <c r="V426" s="7">
        <f t="shared" si="67"/>
        <v>126.60026399380757</v>
      </c>
      <c r="W426" s="14" t="s">
        <v>10</v>
      </c>
      <c r="X426" s="7">
        <v>20550</v>
      </c>
      <c r="Y426" s="24">
        <v>285171.81818199158</v>
      </c>
      <c r="Z426" s="24">
        <v>314000</v>
      </c>
      <c r="AA426" s="7">
        <v>2223</v>
      </c>
      <c r="AB426" s="7">
        <v>3572</v>
      </c>
      <c r="AC426" s="7">
        <v>0</v>
      </c>
      <c r="AD426" s="7">
        <v>1069385</v>
      </c>
      <c r="AE426" s="7">
        <v>96849</v>
      </c>
      <c r="AF426" s="24">
        <v>8858.1024899631739</v>
      </c>
      <c r="AG426" s="7">
        <f t="shared" si="72"/>
        <v>73583.876818186764</v>
      </c>
      <c r="AH426" s="1">
        <f t="shared" si="68"/>
        <v>8.3069570375328396</v>
      </c>
    </row>
    <row r="427" spans="1:34" x14ac:dyDescent="0.25">
      <c r="A427" s="13" t="s">
        <v>0</v>
      </c>
      <c r="B427" s="19">
        <v>46083</v>
      </c>
      <c r="C427" s="7">
        <v>6600</v>
      </c>
      <c r="D427" s="7">
        <v>24302</v>
      </c>
      <c r="E427" s="7">
        <v>20000</v>
      </c>
      <c r="F427" s="7">
        <v>0</v>
      </c>
      <c r="G427" s="7">
        <v>2387</v>
      </c>
      <c r="H427" s="7">
        <v>12544</v>
      </c>
      <c r="I427" s="7">
        <v>83333</v>
      </c>
      <c r="J427" s="2">
        <v>11.5</v>
      </c>
      <c r="K427" s="23">
        <f t="shared" ref="K427:K456" si="73">C427*10.101+D427*0.51+E427*8.1+F427*5</f>
        <v>241060.62</v>
      </c>
      <c r="L427" s="23">
        <f t="shared" si="69"/>
        <v>100.98894847088395</v>
      </c>
      <c r="M427" s="13" t="s">
        <v>9</v>
      </c>
      <c r="N427" s="7">
        <v>109776.78465856612</v>
      </c>
      <c r="O427" s="7">
        <v>70593.054280827346</v>
      </c>
      <c r="P427" s="7">
        <f t="shared" si="65"/>
        <v>80219.379864576535</v>
      </c>
      <c r="Q427" s="7">
        <v>11803.875553120248</v>
      </c>
      <c r="R427" s="7">
        <v>0</v>
      </c>
      <c r="S427" s="7">
        <f t="shared" si="66"/>
        <v>0</v>
      </c>
      <c r="T427" s="7">
        <v>5668.7788745965809</v>
      </c>
      <c r="U427" s="7">
        <f t="shared" ref="U427:U456" si="74">N427*0.51+P427*7.024+Q427*4.25+S427*11.8</f>
        <v>669613.55544541543</v>
      </c>
      <c r="V427" s="7">
        <f t="shared" si="67"/>
        <v>118.12306852294861</v>
      </c>
      <c r="W427" s="14" t="s">
        <v>10</v>
      </c>
      <c r="X427" s="7">
        <v>100333.59375</v>
      </c>
      <c r="Y427" s="7">
        <v>570343.63636363635</v>
      </c>
      <c r="Z427" s="7">
        <v>628000</v>
      </c>
      <c r="AA427" s="7">
        <v>1689</v>
      </c>
      <c r="AB427" s="7">
        <v>4235</v>
      </c>
      <c r="AC427" s="7">
        <v>0</v>
      </c>
      <c r="AD427" s="7">
        <v>640130.04</v>
      </c>
      <c r="AE427" s="7">
        <v>75000</v>
      </c>
      <c r="AF427" s="7">
        <v>6295.3176516723634</v>
      </c>
      <c r="AG427" s="7">
        <f t="shared" si="72"/>
        <v>126739.87704886364</v>
      </c>
      <c r="AH427" s="1">
        <f t="shared" si="68"/>
        <v>20.13240380573885</v>
      </c>
    </row>
    <row r="428" spans="1:34" x14ac:dyDescent="0.25">
      <c r="A428" s="13" t="s">
        <v>0</v>
      </c>
      <c r="B428" s="19">
        <v>46084</v>
      </c>
      <c r="C428" s="7">
        <v>10478</v>
      </c>
      <c r="D428" s="7">
        <v>24037</v>
      </c>
      <c r="E428" s="7">
        <v>0</v>
      </c>
      <c r="F428" s="7">
        <v>3408</v>
      </c>
      <c r="G428" s="7">
        <v>5486</v>
      </c>
      <c r="H428" s="7">
        <v>7449</v>
      </c>
      <c r="I428" s="7">
        <v>0</v>
      </c>
      <c r="J428" s="2">
        <v>10.14999961853027</v>
      </c>
      <c r="K428" s="23">
        <f t="shared" si="73"/>
        <v>135137.14799999999</v>
      </c>
      <c r="L428" s="23">
        <f t="shared" si="69"/>
        <v>24.633092963908126</v>
      </c>
      <c r="M428" s="13" t="s">
        <v>9</v>
      </c>
      <c r="N428" s="7">
        <v>112347.55605685711</v>
      </c>
      <c r="O428" s="7">
        <v>70506.555094172654</v>
      </c>
      <c r="P428" s="7">
        <f t="shared" si="65"/>
        <v>80121.085334287112</v>
      </c>
      <c r="Q428" s="7">
        <v>14578.888029094727</v>
      </c>
      <c r="R428" s="7">
        <v>0</v>
      </c>
      <c r="S428" s="7">
        <f t="shared" si="66"/>
        <v>0</v>
      </c>
      <c r="T428" s="7">
        <v>5905.4282396360068</v>
      </c>
      <c r="U428" s="7">
        <f t="shared" si="74"/>
        <v>682028.03110068245</v>
      </c>
      <c r="V428" s="7">
        <f t="shared" si="67"/>
        <v>115.49171430499351</v>
      </c>
      <c r="W428" s="14" t="s">
        <v>10</v>
      </c>
      <c r="X428" s="7">
        <v>157125</v>
      </c>
      <c r="Y428" s="7">
        <v>1239859.0909090908</v>
      </c>
      <c r="Z428" s="7">
        <v>1360363.6363636362</v>
      </c>
      <c r="AA428" s="7">
        <v>0</v>
      </c>
      <c r="AB428" s="7">
        <v>4741</v>
      </c>
      <c r="AC428" s="7">
        <v>0</v>
      </c>
      <c r="AD428" s="7">
        <v>1372852.8</v>
      </c>
      <c r="AE428" s="7">
        <v>100000</v>
      </c>
      <c r="AF428" s="7">
        <v>13589.335032348632</v>
      </c>
      <c r="AG428" s="7">
        <f t="shared" si="72"/>
        <v>207799.16245454544</v>
      </c>
      <c r="AH428" s="1">
        <f t="shared" si="68"/>
        <v>15.291341479174033</v>
      </c>
    </row>
    <row r="429" spans="1:34" x14ac:dyDescent="0.25">
      <c r="A429" s="13" t="s">
        <v>0</v>
      </c>
      <c r="B429" s="19">
        <v>46085</v>
      </c>
      <c r="C429" s="7">
        <v>9952</v>
      </c>
      <c r="D429" s="7">
        <v>24592</v>
      </c>
      <c r="E429" s="7">
        <v>0</v>
      </c>
      <c r="F429" s="7">
        <v>0</v>
      </c>
      <c r="G429" s="7">
        <v>5816</v>
      </c>
      <c r="H429" s="7">
        <v>8731</v>
      </c>
      <c r="I429" s="7">
        <v>0</v>
      </c>
      <c r="J429" s="2">
        <v>16.39999961853027</v>
      </c>
      <c r="K429" s="23">
        <f t="shared" si="73"/>
        <v>113067.072</v>
      </c>
      <c r="L429" s="23">
        <f t="shared" si="69"/>
        <v>19.440693259972491</v>
      </c>
      <c r="M429" s="13" t="s">
        <v>9</v>
      </c>
      <c r="N429" s="7">
        <v>109424.6357319504</v>
      </c>
      <c r="O429" s="7">
        <v>69500</v>
      </c>
      <c r="P429" s="7">
        <f t="shared" si="65"/>
        <v>78977.272727272721</v>
      </c>
      <c r="Q429" s="7">
        <v>11345.236417785025</v>
      </c>
      <c r="R429" s="7">
        <v>0</v>
      </c>
      <c r="S429" s="7">
        <f t="shared" si="66"/>
        <v>0</v>
      </c>
      <c r="T429" s="7">
        <v>5519.1147998633096</v>
      </c>
      <c r="U429" s="7">
        <f t="shared" si="74"/>
        <v>658760.18263524468</v>
      </c>
      <c r="V429" s="7">
        <f t="shared" si="67"/>
        <v>119.35975360606017</v>
      </c>
      <c r="W429" s="14" t="s">
        <v>10</v>
      </c>
      <c r="X429" s="7">
        <v>156479.6875</v>
      </c>
      <c r="Y429" s="7">
        <v>1019533.6363636365</v>
      </c>
      <c r="Z429" s="7">
        <v>1130727.2727272727</v>
      </c>
      <c r="AA429" s="7">
        <v>1203</v>
      </c>
      <c r="AB429" s="7">
        <v>4268</v>
      </c>
      <c r="AC429" s="7">
        <v>0</v>
      </c>
      <c r="AD429" s="7">
        <v>1137628.8</v>
      </c>
      <c r="AE429" s="7">
        <v>112500</v>
      </c>
      <c r="AF429" s="7">
        <v>11148.214954376221</v>
      </c>
      <c r="AG429" s="7">
        <f t="shared" si="72"/>
        <v>192120.55398863638</v>
      </c>
      <c r="AH429" s="1">
        <f t="shared" si="68"/>
        <v>17.233301903029744</v>
      </c>
    </row>
    <row r="430" spans="1:34" x14ac:dyDescent="0.25">
      <c r="A430" s="13" t="s">
        <v>0</v>
      </c>
      <c r="B430" s="19">
        <v>46086</v>
      </c>
      <c r="C430" s="8">
        <v>9973</v>
      </c>
      <c r="D430" s="8">
        <v>26201</v>
      </c>
      <c r="E430" s="8">
        <v>0</v>
      </c>
      <c r="F430" s="7">
        <v>0</v>
      </c>
      <c r="G430" s="8">
        <v>4805</v>
      </c>
      <c r="H430" s="8">
        <v>5348</v>
      </c>
      <c r="I430" s="8">
        <v>0</v>
      </c>
      <c r="J430" s="2">
        <v>13.85000038146973</v>
      </c>
      <c r="K430" s="23">
        <f t="shared" si="73"/>
        <v>114099.78300000001</v>
      </c>
      <c r="L430" s="23">
        <f t="shared" si="69"/>
        <v>23.746052653485954</v>
      </c>
      <c r="M430" s="13" t="s">
        <v>9</v>
      </c>
      <c r="N430" s="7">
        <v>107454.37195236981</v>
      </c>
      <c r="O430" s="7">
        <v>71500</v>
      </c>
      <c r="P430" s="7">
        <f t="shared" si="65"/>
        <v>81250</v>
      </c>
      <c r="Q430" s="7">
        <v>8784</v>
      </c>
      <c r="R430" s="7">
        <v>0</v>
      </c>
      <c r="S430" s="7">
        <f t="shared" si="66"/>
        <v>0</v>
      </c>
      <c r="T430" s="7">
        <v>5572.3690680499421</v>
      </c>
      <c r="U430" s="7">
        <f t="shared" si="74"/>
        <v>662833.72969570861</v>
      </c>
      <c r="V430" s="7">
        <f t="shared" si="67"/>
        <v>118.9500769961865</v>
      </c>
      <c r="W430" s="14" t="s">
        <v>10</v>
      </c>
      <c r="X430" s="8">
        <v>145949.21875</v>
      </c>
      <c r="Y430" s="8">
        <v>914950.90909090906</v>
      </c>
      <c r="Z430" s="8">
        <v>1004454.5454545454</v>
      </c>
      <c r="AA430" s="8">
        <v>2485</v>
      </c>
      <c r="AB430" s="8">
        <v>4279</v>
      </c>
      <c r="AC430" s="8">
        <v>0</v>
      </c>
      <c r="AD430" s="8">
        <v>1010607.8400000001</v>
      </c>
      <c r="AE430" s="8">
        <v>75000</v>
      </c>
      <c r="AF430" s="8">
        <v>10003.829476165771</v>
      </c>
      <c r="AG430" s="7">
        <f t="shared" si="72"/>
        <v>180036.86552613636</v>
      </c>
      <c r="AH430" s="1">
        <f t="shared" si="68"/>
        <v>17.996794722968449</v>
      </c>
    </row>
    <row r="431" spans="1:34" x14ac:dyDescent="0.25">
      <c r="A431" s="13" t="s">
        <v>0</v>
      </c>
      <c r="B431" s="19">
        <v>46087</v>
      </c>
      <c r="C431" s="7">
        <v>7327</v>
      </c>
      <c r="D431" s="7">
        <v>29807</v>
      </c>
      <c r="E431" s="7">
        <v>20000</v>
      </c>
      <c r="F431" s="7">
        <v>0</v>
      </c>
      <c r="G431" s="7">
        <v>4953</v>
      </c>
      <c r="H431" s="7">
        <v>8107</v>
      </c>
      <c r="I431" s="7">
        <v>83333</v>
      </c>
      <c r="J431" s="2">
        <v>14.94999980926514</v>
      </c>
      <c r="K431" s="23">
        <f t="shared" si="73"/>
        <v>251211.59700000001</v>
      </c>
      <c r="L431" s="23">
        <f t="shared" si="69"/>
        <v>50.719078740157485</v>
      </c>
      <c r="M431" s="13" t="s">
        <v>9</v>
      </c>
      <c r="N431" s="7">
        <v>120000</v>
      </c>
      <c r="O431" s="7">
        <v>69700</v>
      </c>
      <c r="P431" s="7">
        <f t="shared" si="65"/>
        <v>79204.545454545456</v>
      </c>
      <c r="Q431" s="7">
        <v>17136</v>
      </c>
      <c r="R431" s="7">
        <v>0</v>
      </c>
      <c r="S431" s="7">
        <f t="shared" si="66"/>
        <v>0</v>
      </c>
      <c r="T431" s="7">
        <v>6700</v>
      </c>
      <c r="U431" s="7">
        <f t="shared" si="74"/>
        <v>690360.72727272729</v>
      </c>
      <c r="V431" s="7">
        <f t="shared" si="67"/>
        <v>103.03891451831751</v>
      </c>
      <c r="W431" s="14" t="s">
        <v>10</v>
      </c>
      <c r="X431" s="7">
        <v>160290</v>
      </c>
      <c r="Y431" s="7">
        <v>1124116.3636363638</v>
      </c>
      <c r="Z431" s="7">
        <v>1238000</v>
      </c>
      <c r="AA431" s="7">
        <v>2524</v>
      </c>
      <c r="AB431" s="7">
        <v>3967</v>
      </c>
      <c r="AC431" s="7">
        <v>0</v>
      </c>
      <c r="AD431" s="7">
        <v>1262511.3599999999</v>
      </c>
      <c r="AE431" s="7">
        <v>124999.99999999999</v>
      </c>
      <c r="AF431" s="7">
        <v>12377.751127700805</v>
      </c>
      <c r="AG431" s="7">
        <f t="shared" si="72"/>
        <v>205370.88676363637</v>
      </c>
      <c r="AH431" s="1">
        <f t="shared" si="68"/>
        <v>16.591938603776441</v>
      </c>
    </row>
    <row r="432" spans="1:34" x14ac:dyDescent="0.25">
      <c r="A432" s="13" t="s">
        <v>0</v>
      </c>
      <c r="B432" s="19">
        <v>46088</v>
      </c>
      <c r="C432" s="7">
        <v>7474</v>
      </c>
      <c r="D432" s="7">
        <v>21926</v>
      </c>
      <c r="E432" s="7">
        <v>0</v>
      </c>
      <c r="F432" s="7">
        <v>0</v>
      </c>
      <c r="G432" s="7">
        <v>5913</v>
      </c>
      <c r="H432" s="7">
        <v>6711</v>
      </c>
      <c r="I432" s="7">
        <v>0</v>
      </c>
      <c r="J432" s="2">
        <v>16.29999923706055</v>
      </c>
      <c r="K432" s="23">
        <f t="shared" si="73"/>
        <v>86677.134000000005</v>
      </c>
      <c r="L432" s="23">
        <f t="shared" si="69"/>
        <v>14.658740740740742</v>
      </c>
      <c r="M432" s="13" t="s">
        <v>9</v>
      </c>
      <c r="N432" s="7">
        <v>20904.701879382133</v>
      </c>
      <c r="O432" s="7">
        <v>2400</v>
      </c>
      <c r="P432" s="7">
        <f t="shared" si="65"/>
        <v>2727.2727272727275</v>
      </c>
      <c r="Q432" s="7">
        <v>324</v>
      </c>
      <c r="R432" s="7">
        <v>0</v>
      </c>
      <c r="S432" s="7">
        <f t="shared" si="66"/>
        <v>0</v>
      </c>
      <c r="T432" s="7">
        <v>147.592167155</v>
      </c>
      <c r="U432" s="7">
        <f t="shared" si="74"/>
        <v>31194.761594848525</v>
      </c>
      <c r="V432" s="7">
        <f t="shared" si="67"/>
        <v>211.35783962090659</v>
      </c>
      <c r="W432" s="14" t="s">
        <v>10</v>
      </c>
      <c r="X432" s="7">
        <v>150256.25</v>
      </c>
      <c r="Y432" s="7">
        <v>1004907.2727272728</v>
      </c>
      <c r="Z432" s="7">
        <v>1103090.9090909092</v>
      </c>
      <c r="AA432" s="7">
        <v>2465</v>
      </c>
      <c r="AB432" s="7">
        <v>4083</v>
      </c>
      <c r="AC432" s="7">
        <v>0</v>
      </c>
      <c r="AD432" s="7">
        <v>1100848.32</v>
      </c>
      <c r="AE432" s="7">
        <v>112500</v>
      </c>
      <c r="AF432" s="7">
        <v>10946.073735351563</v>
      </c>
      <c r="AG432" s="7">
        <f t="shared" si="72"/>
        <v>189954.67866363635</v>
      </c>
      <c r="AH432" s="1">
        <f t="shared" si="68"/>
        <v>17.353681626513861</v>
      </c>
    </row>
    <row r="433" spans="1:34" x14ac:dyDescent="0.25">
      <c r="A433" s="13" t="s">
        <v>0</v>
      </c>
      <c r="B433" s="19">
        <v>46089</v>
      </c>
      <c r="C433" s="7">
        <v>5131</v>
      </c>
      <c r="D433" s="7">
        <v>15384</v>
      </c>
      <c r="E433" s="7">
        <v>0</v>
      </c>
      <c r="F433" s="7">
        <v>0</v>
      </c>
      <c r="G433" s="26">
        <v>6330</v>
      </c>
      <c r="H433" s="26">
        <v>8406.5</v>
      </c>
      <c r="I433" s="7">
        <v>0</v>
      </c>
      <c r="J433" s="2">
        <v>17.39999961853027</v>
      </c>
      <c r="K433" s="23">
        <f t="shared" si="73"/>
        <v>59674.071000000011</v>
      </c>
      <c r="L433" s="23">
        <f t="shared" si="69"/>
        <v>9.4271834123222771</v>
      </c>
      <c r="M433" s="13" t="s">
        <v>9</v>
      </c>
      <c r="N433" s="7">
        <v>193430</v>
      </c>
      <c r="O433" s="7">
        <v>2400</v>
      </c>
      <c r="P433" s="7">
        <f t="shared" si="65"/>
        <v>2727.2727272727275</v>
      </c>
      <c r="Q433" s="7">
        <v>324</v>
      </c>
      <c r="R433" s="7">
        <v>0</v>
      </c>
      <c r="S433" s="7">
        <f t="shared" si="66"/>
        <v>0</v>
      </c>
      <c r="T433" s="7">
        <v>2967.7733104377999</v>
      </c>
      <c r="U433" s="7">
        <f t="shared" si="74"/>
        <v>119182.66363636364</v>
      </c>
      <c r="V433" s="7">
        <f t="shared" si="67"/>
        <v>40.158951230268343</v>
      </c>
      <c r="W433" s="14" t="s">
        <v>10</v>
      </c>
      <c r="X433" s="7">
        <v>31470</v>
      </c>
      <c r="Y433" s="24">
        <v>638487.27272727271</v>
      </c>
      <c r="Z433" s="24">
        <v>660909.09090909082</v>
      </c>
      <c r="AA433" s="7">
        <v>2408</v>
      </c>
      <c r="AB433" s="7">
        <v>3537</v>
      </c>
      <c r="AC433" s="7">
        <v>0</v>
      </c>
      <c r="AD433" s="7">
        <v>0</v>
      </c>
      <c r="AE433" s="7">
        <v>0</v>
      </c>
      <c r="AF433" s="7">
        <v>220.46039863586427</v>
      </c>
      <c r="AG433" s="7">
        <f t="shared" si="72"/>
        <v>80304.678181818177</v>
      </c>
      <c r="AH433" s="1">
        <f t="shared" si="68"/>
        <v>364.25897203632422</v>
      </c>
    </row>
    <row r="434" spans="1:34" x14ac:dyDescent="0.25">
      <c r="A434" s="13" t="s">
        <v>0</v>
      </c>
      <c r="B434" s="19">
        <v>46090</v>
      </c>
      <c r="C434" s="7">
        <v>8307</v>
      </c>
      <c r="D434" s="7">
        <v>20056</v>
      </c>
      <c r="E434" s="7">
        <v>0</v>
      </c>
      <c r="F434" s="7">
        <v>0</v>
      </c>
      <c r="G434" s="7">
        <v>6747</v>
      </c>
      <c r="H434" s="7">
        <v>10102</v>
      </c>
      <c r="I434" s="7">
        <v>0</v>
      </c>
      <c r="J434" s="2">
        <v>14.05000019073486</v>
      </c>
      <c r="K434" s="23">
        <f t="shared" si="73"/>
        <v>94137.56700000001</v>
      </c>
      <c r="L434" s="23">
        <f t="shared" si="69"/>
        <v>13.952507336594044</v>
      </c>
      <c r="M434" s="13" t="s">
        <v>9</v>
      </c>
      <c r="N434" s="7">
        <v>101961.09045746922</v>
      </c>
      <c r="O434" s="7">
        <v>63099.609375</v>
      </c>
      <c r="P434" s="7">
        <f t="shared" si="65"/>
        <v>71704.1015625</v>
      </c>
      <c r="Q434" s="7">
        <v>17604</v>
      </c>
      <c r="R434" s="7">
        <v>0</v>
      </c>
      <c r="S434" s="7">
        <f t="shared" si="66"/>
        <v>0</v>
      </c>
      <c r="T434" s="7">
        <v>5787.9544537397451</v>
      </c>
      <c r="U434" s="7">
        <f t="shared" si="74"/>
        <v>630466.76550830936</v>
      </c>
      <c r="V434" s="7">
        <f t="shared" si="67"/>
        <v>108.92738886377184</v>
      </c>
      <c r="W434" s="14" t="s">
        <v>10</v>
      </c>
      <c r="X434" s="7">
        <v>20510</v>
      </c>
      <c r="Y434" s="24">
        <v>949360.90909090906</v>
      </c>
      <c r="Z434" s="24">
        <v>1050363.636363636</v>
      </c>
      <c r="AA434" s="7">
        <v>2402</v>
      </c>
      <c r="AB434" s="7">
        <v>4190</v>
      </c>
      <c r="AC434" s="7">
        <v>0</v>
      </c>
      <c r="AD434" s="7">
        <v>0</v>
      </c>
      <c r="AE434" s="7">
        <v>0</v>
      </c>
      <c r="AF434" s="7">
        <v>3161.2088555842602</v>
      </c>
      <c r="AG434" s="7">
        <f t="shared" si="72"/>
        <v>99284.522272727263</v>
      </c>
      <c r="AH434" s="1">
        <f t="shared" si="68"/>
        <v>31.407137841380404</v>
      </c>
    </row>
    <row r="435" spans="1:34" x14ac:dyDescent="0.25">
      <c r="A435" s="13" t="s">
        <v>0</v>
      </c>
      <c r="B435" s="19">
        <v>46091</v>
      </c>
      <c r="C435" s="8">
        <v>6857</v>
      </c>
      <c r="D435" s="8">
        <v>27006</v>
      </c>
      <c r="E435" s="8">
        <v>0</v>
      </c>
      <c r="F435" s="7">
        <v>0</v>
      </c>
      <c r="G435" s="8">
        <v>8801</v>
      </c>
      <c r="H435" s="8">
        <v>10925</v>
      </c>
      <c r="I435" s="8">
        <v>0</v>
      </c>
      <c r="J435" s="2">
        <v>14.5</v>
      </c>
      <c r="K435" s="23">
        <f t="shared" si="73"/>
        <v>83035.616999999998</v>
      </c>
      <c r="L435" s="23">
        <f t="shared" si="69"/>
        <v>9.4347934325644811</v>
      </c>
      <c r="M435" s="13" t="s">
        <v>9</v>
      </c>
      <c r="N435" s="7">
        <v>109025.92428022623</v>
      </c>
      <c r="O435" s="7">
        <v>58700.1953125</v>
      </c>
      <c r="P435" s="7">
        <f t="shared" si="65"/>
        <v>66704.767400568177</v>
      </c>
      <c r="Q435" s="7">
        <v>17856</v>
      </c>
      <c r="R435" s="7">
        <v>0</v>
      </c>
      <c r="S435" s="7">
        <f t="shared" si="66"/>
        <v>0</v>
      </c>
      <c r="T435" s="7">
        <v>6070.5138762817369</v>
      </c>
      <c r="U435" s="7">
        <f t="shared" si="74"/>
        <v>600025.50760450633</v>
      </c>
      <c r="V435" s="7">
        <f t="shared" si="67"/>
        <v>98.842621865816284</v>
      </c>
      <c r="W435" s="14" t="s">
        <v>10</v>
      </c>
      <c r="X435" s="8">
        <v>97980</v>
      </c>
      <c r="Y435" s="8">
        <v>580573.63636363647</v>
      </c>
      <c r="Z435" s="8">
        <v>625090.90909090906</v>
      </c>
      <c r="AA435" s="8">
        <v>2403</v>
      </c>
      <c r="AB435" s="8">
        <v>3866</v>
      </c>
      <c r="AC435" s="8">
        <v>0</v>
      </c>
      <c r="AD435" s="8">
        <v>618746.04</v>
      </c>
      <c r="AE435" s="8">
        <v>50000</v>
      </c>
      <c r="AF435" s="8">
        <v>6101.9573125457764</v>
      </c>
      <c r="AG435" s="7">
        <f t="shared" si="72"/>
        <v>124589.24832727274</v>
      </c>
      <c r="AH435" s="1">
        <f t="shared" si="68"/>
        <v>20.417915423812314</v>
      </c>
    </row>
    <row r="436" spans="1:34" x14ac:dyDescent="0.25">
      <c r="A436" s="13" t="s">
        <v>0</v>
      </c>
      <c r="B436" s="19">
        <v>46092</v>
      </c>
      <c r="C436" s="7">
        <v>8718</v>
      </c>
      <c r="D436" s="7">
        <v>31587</v>
      </c>
      <c r="E436" s="7">
        <v>10000</v>
      </c>
      <c r="F436" s="7">
        <v>0</v>
      </c>
      <c r="G436" s="7">
        <v>8652</v>
      </c>
      <c r="H436" s="7">
        <v>10475</v>
      </c>
      <c r="I436" s="7">
        <v>40000</v>
      </c>
      <c r="J436" s="2">
        <v>21</v>
      </c>
      <c r="K436" s="23">
        <f t="shared" si="73"/>
        <v>185169.88800000001</v>
      </c>
      <c r="L436" s="23">
        <f t="shared" si="69"/>
        <v>21.401975034674063</v>
      </c>
      <c r="M436" s="13" t="s">
        <v>9</v>
      </c>
      <c r="N436" s="7">
        <v>113872.60040280223</v>
      </c>
      <c r="O436" s="7">
        <v>72900.390625</v>
      </c>
      <c r="P436" s="7">
        <f t="shared" si="65"/>
        <v>82841.352982954544</v>
      </c>
      <c r="Q436" s="7">
        <v>25516.659780976421</v>
      </c>
      <c r="R436" s="7">
        <v>0</v>
      </c>
      <c r="S436" s="7">
        <f t="shared" si="66"/>
        <v>0</v>
      </c>
      <c r="T436" s="7">
        <v>8011.378088647034</v>
      </c>
      <c r="U436" s="7">
        <f t="shared" si="74"/>
        <v>748398.49362685159</v>
      </c>
      <c r="V436" s="7">
        <f t="shared" si="67"/>
        <v>93.416948413333657</v>
      </c>
      <c r="W436" s="14" t="s">
        <v>10</v>
      </c>
      <c r="X436" s="7">
        <v>160190</v>
      </c>
      <c r="Y436" s="7">
        <v>1009980</v>
      </c>
      <c r="Z436" s="7">
        <v>1022454.5454545454</v>
      </c>
      <c r="AA436" s="7">
        <v>1657</v>
      </c>
      <c r="AB436" s="7">
        <v>3722</v>
      </c>
      <c r="AC436" s="7">
        <v>0</v>
      </c>
      <c r="AD436" s="7">
        <v>1105338.96</v>
      </c>
      <c r="AE436" s="7">
        <v>87500</v>
      </c>
      <c r="AF436" s="7">
        <v>10869.86671081543</v>
      </c>
      <c r="AG436" s="7">
        <f t="shared" si="72"/>
        <v>187298.45985454542</v>
      </c>
      <c r="AH436" s="1">
        <f t="shared" si="68"/>
        <v>17.230980364109246</v>
      </c>
    </row>
    <row r="437" spans="1:34" x14ac:dyDescent="0.25">
      <c r="A437" s="13" t="s">
        <v>0</v>
      </c>
      <c r="B437" s="19">
        <v>46093</v>
      </c>
      <c r="C437" s="7">
        <v>9416</v>
      </c>
      <c r="D437" s="7">
        <v>51716</v>
      </c>
      <c r="E437" s="7">
        <v>0</v>
      </c>
      <c r="F437" s="7">
        <v>0</v>
      </c>
      <c r="G437" s="7">
        <v>8453</v>
      </c>
      <c r="H437" s="7">
        <v>14421</v>
      </c>
      <c r="I437" s="7">
        <v>0</v>
      </c>
      <c r="J437" s="2">
        <v>21.60000038146973</v>
      </c>
      <c r="K437" s="23">
        <f t="shared" si="73"/>
        <v>121486.17600000001</v>
      </c>
      <c r="L437" s="23">
        <f t="shared" si="69"/>
        <v>14.371959777593755</v>
      </c>
      <c r="M437" s="13" t="s">
        <v>9</v>
      </c>
      <c r="N437" s="7">
        <v>111241.55282180011</v>
      </c>
      <c r="O437" s="7">
        <v>68899.4140625</v>
      </c>
      <c r="P437" s="7">
        <f t="shared" si="65"/>
        <v>78294.788707386368</v>
      </c>
      <c r="Q437" s="7">
        <v>19447.340219023579</v>
      </c>
      <c r="R437" s="7">
        <v>0</v>
      </c>
      <c r="S437" s="7">
        <f t="shared" si="66"/>
        <v>0</v>
      </c>
      <c r="T437" s="7">
        <v>6914.4485068449285</v>
      </c>
      <c r="U437" s="7">
        <f t="shared" si="74"/>
        <v>689326.98375065019</v>
      </c>
      <c r="V437" s="7">
        <f t="shared" si="67"/>
        <v>99.693704142601376</v>
      </c>
      <c r="W437" s="14" t="s">
        <v>10</v>
      </c>
      <c r="X437" s="7">
        <v>150160</v>
      </c>
      <c r="Y437" s="7">
        <v>961535.45454545459</v>
      </c>
      <c r="Z437" s="7">
        <v>1059363.6363636362</v>
      </c>
      <c r="AA437" s="7">
        <v>688</v>
      </c>
      <c r="AB437" s="7">
        <v>3899</v>
      </c>
      <c r="AC437" s="7">
        <v>0</v>
      </c>
      <c r="AD437" s="7">
        <v>1154629.08</v>
      </c>
      <c r="AE437" s="7">
        <v>75000</v>
      </c>
      <c r="AF437" s="7">
        <v>11443.95205871582</v>
      </c>
      <c r="AG437" s="7">
        <f t="shared" si="72"/>
        <v>180138.43301818182</v>
      </c>
      <c r="AH437" s="1">
        <f t="shared" si="68"/>
        <v>15.740928666420507</v>
      </c>
    </row>
    <row r="438" spans="1:34" x14ac:dyDescent="0.25">
      <c r="A438" s="13" t="s">
        <v>0</v>
      </c>
      <c r="B438" s="19">
        <v>46094</v>
      </c>
      <c r="C438" s="7">
        <v>8529</v>
      </c>
      <c r="D438" s="7">
        <v>34189</v>
      </c>
      <c r="E438" s="7">
        <v>0</v>
      </c>
      <c r="F438" s="7">
        <v>0</v>
      </c>
      <c r="G438" s="7">
        <v>5803</v>
      </c>
      <c r="H438" s="7">
        <v>9148</v>
      </c>
      <c r="I438" s="7">
        <v>0</v>
      </c>
      <c r="J438" s="2">
        <v>17.75</v>
      </c>
      <c r="K438" s="23">
        <f t="shared" si="73"/>
        <v>103587.819</v>
      </c>
      <c r="L438" s="23">
        <f t="shared" si="69"/>
        <v>17.850735653972084</v>
      </c>
      <c r="M438" s="13" t="s">
        <v>9</v>
      </c>
      <c r="N438" s="7">
        <v>20067.280761629343</v>
      </c>
      <c r="O438" s="7">
        <v>1400.390625</v>
      </c>
      <c r="P438" s="7">
        <f t="shared" si="65"/>
        <v>1591.3529829545455</v>
      </c>
      <c r="Q438" s="7">
        <v>0</v>
      </c>
      <c r="R438" s="7">
        <v>0</v>
      </c>
      <c r="S438" s="7">
        <f t="shared" si="66"/>
        <v>0</v>
      </c>
      <c r="T438" s="7">
        <v>133.375</v>
      </c>
      <c r="U438" s="7">
        <f t="shared" si="74"/>
        <v>21411.976540703694</v>
      </c>
      <c r="V438" s="7">
        <f t="shared" si="67"/>
        <v>160.53965541296117</v>
      </c>
      <c r="W438" s="14" t="s">
        <v>10</v>
      </c>
      <c r="X438" s="7">
        <v>150960</v>
      </c>
      <c r="Y438" s="7">
        <v>938031.81818181812</v>
      </c>
      <c r="Z438" s="7">
        <v>971909.09090909082</v>
      </c>
      <c r="AA438" s="7">
        <v>662</v>
      </c>
      <c r="AB438" s="7">
        <v>4539</v>
      </c>
      <c r="AC438" s="7">
        <v>0</v>
      </c>
      <c r="AD438" s="7">
        <v>1030494.96</v>
      </c>
      <c r="AE438" s="7">
        <v>62500</v>
      </c>
      <c r="AF438" s="7">
        <v>10234.133645782471</v>
      </c>
      <c r="AG438" s="7">
        <f t="shared" si="72"/>
        <v>177775.52212727271</v>
      </c>
      <c r="AH438" s="1">
        <f t="shared" si="68"/>
        <v>17.370842347806818</v>
      </c>
    </row>
    <row r="439" spans="1:34" x14ac:dyDescent="0.25">
      <c r="A439" s="13" t="s">
        <v>0</v>
      </c>
      <c r="B439" s="19">
        <v>46095</v>
      </c>
      <c r="C439" s="25">
        <v>8249</v>
      </c>
      <c r="D439" s="27">
        <v>27593</v>
      </c>
      <c r="E439" s="27">
        <v>0</v>
      </c>
      <c r="F439" s="27">
        <v>0</v>
      </c>
      <c r="G439" s="27">
        <v>8075</v>
      </c>
      <c r="H439" s="27">
        <v>11924</v>
      </c>
      <c r="I439" s="7">
        <v>0</v>
      </c>
      <c r="J439" s="2">
        <v>20.85000038146973</v>
      </c>
      <c r="K439" s="23">
        <f t="shared" si="73"/>
        <v>97395.578999999998</v>
      </c>
      <c r="L439" s="23">
        <f t="shared" si="69"/>
        <v>12.061372012383901</v>
      </c>
      <c r="M439" s="13" t="s">
        <v>9</v>
      </c>
      <c r="N439" s="7">
        <v>18652.304329767801</v>
      </c>
      <c r="O439" s="7">
        <v>1400.390625</v>
      </c>
      <c r="P439" s="7">
        <f t="shared" si="65"/>
        <v>1591.3529829545455</v>
      </c>
      <c r="Q439" s="7">
        <v>0</v>
      </c>
      <c r="R439" s="7">
        <v>0</v>
      </c>
      <c r="S439" s="7">
        <f t="shared" si="66"/>
        <v>0</v>
      </c>
      <c r="T439" s="7">
        <v>352.07459600269999</v>
      </c>
      <c r="U439" s="7">
        <f t="shared" si="74"/>
        <v>20690.338560454307</v>
      </c>
      <c r="V439" s="7">
        <f t="shared" si="67"/>
        <v>58.766916998168298</v>
      </c>
      <c r="W439" s="14" t="s">
        <v>10</v>
      </c>
      <c r="X439" s="7">
        <v>152240</v>
      </c>
      <c r="Y439" s="7">
        <v>973202.72727272729</v>
      </c>
      <c r="Z439" s="7">
        <v>1045818.1818181819</v>
      </c>
      <c r="AA439" s="7">
        <v>634</v>
      </c>
      <c r="AB439" s="7">
        <v>4122</v>
      </c>
      <c r="AC439" s="7">
        <v>0</v>
      </c>
      <c r="AD439" s="7">
        <v>1114534.08</v>
      </c>
      <c r="AE439" s="7">
        <v>100000</v>
      </c>
      <c r="AF439" s="7">
        <v>10721.088633155823</v>
      </c>
      <c r="AG439" s="7">
        <f t="shared" si="72"/>
        <v>182574.87074545457</v>
      </c>
      <c r="AH439" s="1">
        <f t="shared" si="68"/>
        <v>17.02950856882455</v>
      </c>
    </row>
    <row r="440" spans="1:34" x14ac:dyDescent="0.25">
      <c r="A440" s="13" t="s">
        <v>0</v>
      </c>
      <c r="B440" s="19">
        <v>46096</v>
      </c>
      <c r="C440" s="24">
        <v>7969</v>
      </c>
      <c r="D440" s="24">
        <v>20170</v>
      </c>
      <c r="E440" s="24">
        <v>0</v>
      </c>
      <c r="F440" s="24">
        <v>0</v>
      </c>
      <c r="G440" s="24">
        <v>6829</v>
      </c>
      <c r="H440" s="24">
        <v>10795.5</v>
      </c>
      <c r="I440" s="8">
        <v>0</v>
      </c>
      <c r="J440" s="2">
        <v>24.45000076293945</v>
      </c>
      <c r="K440" s="23">
        <f t="shared" si="73"/>
        <v>90781.569000000003</v>
      </c>
      <c r="L440" s="23">
        <f t="shared" si="69"/>
        <v>13.293537706838483</v>
      </c>
      <c r="M440" s="13" t="s">
        <v>9</v>
      </c>
      <c r="N440" s="7">
        <v>107520.78288012743</v>
      </c>
      <c r="O440" s="7">
        <v>71000</v>
      </c>
      <c r="P440" s="7">
        <f t="shared" si="65"/>
        <v>80681.818181818177</v>
      </c>
      <c r="Q440" s="7">
        <v>21384</v>
      </c>
      <c r="R440" s="7">
        <v>0</v>
      </c>
      <c r="S440" s="7">
        <f t="shared" si="66"/>
        <v>0</v>
      </c>
      <c r="T440" s="7">
        <v>6916.7741920054541</v>
      </c>
      <c r="U440" s="7">
        <f t="shared" si="74"/>
        <v>712426.69017795578</v>
      </c>
      <c r="V440" s="7">
        <f t="shared" si="67"/>
        <v>102.99984796401085</v>
      </c>
      <c r="W440" s="14" t="s">
        <v>10</v>
      </c>
      <c r="X440" s="8">
        <v>160343.75</v>
      </c>
      <c r="Y440" s="8">
        <v>1111265.4545454546</v>
      </c>
      <c r="Z440" s="8">
        <v>1155090.9090909092</v>
      </c>
      <c r="AA440" s="8">
        <v>590</v>
      </c>
      <c r="AB440" s="8">
        <v>3999</v>
      </c>
      <c r="AC440" s="8">
        <v>0</v>
      </c>
      <c r="AD440" s="8">
        <v>1261976.76</v>
      </c>
      <c r="AE440" s="8">
        <v>99999.999999999985</v>
      </c>
      <c r="AF440" s="8">
        <v>12109.982549743652</v>
      </c>
      <c r="AG440" s="7">
        <f t="shared" si="72"/>
        <v>195603.93844545455</v>
      </c>
      <c r="AH440" s="1">
        <f t="shared" si="68"/>
        <v>16.152289042695205</v>
      </c>
    </row>
    <row r="441" spans="1:34" x14ac:dyDescent="0.25">
      <c r="A441" s="13" t="s">
        <v>0</v>
      </c>
      <c r="B441" s="19">
        <v>46097</v>
      </c>
      <c r="C441" s="24">
        <v>7689</v>
      </c>
      <c r="D441" s="24">
        <v>21025</v>
      </c>
      <c r="E441" s="24">
        <v>0</v>
      </c>
      <c r="F441" s="24">
        <v>0</v>
      </c>
      <c r="G441" s="24">
        <v>5583</v>
      </c>
      <c r="H441" s="24">
        <v>9667</v>
      </c>
      <c r="I441" s="7">
        <v>0</v>
      </c>
      <c r="J441" s="2">
        <v>23.95000076293945</v>
      </c>
      <c r="K441" s="23">
        <f t="shared" si="73"/>
        <v>88389.339000000007</v>
      </c>
      <c r="L441" s="23">
        <f t="shared" si="69"/>
        <v>15.831871574422355</v>
      </c>
      <c r="M441" s="13" t="s">
        <v>9</v>
      </c>
      <c r="N441" s="7">
        <v>112909.39402741194</v>
      </c>
      <c r="O441" s="7">
        <v>69900.390625</v>
      </c>
      <c r="P441" s="7">
        <f t="shared" si="65"/>
        <v>79432.262073863632</v>
      </c>
      <c r="Q441" s="7">
        <v>17676</v>
      </c>
      <c r="R441" s="7">
        <v>0</v>
      </c>
      <c r="S441" s="7">
        <f t="shared" si="66"/>
        <v>0</v>
      </c>
      <c r="T441" s="7">
        <v>6810.6028264675406</v>
      </c>
      <c r="U441" s="7">
        <f t="shared" si="74"/>
        <v>690638.99976079818</v>
      </c>
      <c r="V441" s="7">
        <f t="shared" si="67"/>
        <v>101.40644189040346</v>
      </c>
      <c r="W441" s="14" t="s">
        <v>10</v>
      </c>
      <c r="X441" s="7">
        <v>71360.15625</v>
      </c>
      <c r="Y441" s="7">
        <v>403450.90909090906</v>
      </c>
      <c r="Z441" s="7">
        <v>419636.36363636365</v>
      </c>
      <c r="AA441" s="7">
        <v>616</v>
      </c>
      <c r="AB441" s="7">
        <v>4086</v>
      </c>
      <c r="AC441" s="7">
        <v>0</v>
      </c>
      <c r="AD441" s="7">
        <v>449919.36000000004</v>
      </c>
      <c r="AE441" s="7">
        <v>37500</v>
      </c>
      <c r="AF441" s="7">
        <v>4431.2268412399289</v>
      </c>
      <c r="AG441" s="7">
        <f t="shared" si="72"/>
        <v>92034.684632954537</v>
      </c>
      <c r="AH441" s="1">
        <f t="shared" si="68"/>
        <v>20.769571933537428</v>
      </c>
    </row>
    <row r="442" spans="1:34" x14ac:dyDescent="0.25">
      <c r="A442" s="13" t="s">
        <v>0</v>
      </c>
      <c r="B442" s="19">
        <v>46098</v>
      </c>
      <c r="C442" s="7">
        <v>7409</v>
      </c>
      <c r="D442" s="7">
        <v>36228</v>
      </c>
      <c r="E442" s="7">
        <v>0</v>
      </c>
      <c r="F442" s="7">
        <v>0</v>
      </c>
      <c r="G442" s="7">
        <v>6162</v>
      </c>
      <c r="H442" s="7">
        <v>7536</v>
      </c>
      <c r="I442" s="7">
        <v>0</v>
      </c>
      <c r="J442" s="2">
        <v>22.35000038146973</v>
      </c>
      <c r="K442" s="23">
        <f t="shared" si="73"/>
        <v>93314.589000000007</v>
      </c>
      <c r="L442" s="23">
        <f t="shared" si="69"/>
        <v>15.143555501460567</v>
      </c>
      <c r="M442" s="13" t="s">
        <v>9</v>
      </c>
      <c r="N442" s="7">
        <v>112539.49098868668</v>
      </c>
      <c r="O442" s="7">
        <v>71599.609375</v>
      </c>
      <c r="P442" s="7">
        <f t="shared" si="65"/>
        <v>81363.192471590912</v>
      </c>
      <c r="Q442" s="7">
        <v>21420</v>
      </c>
      <c r="R442" s="7">
        <v>0</v>
      </c>
      <c r="S442" s="7">
        <f t="shared" si="66"/>
        <v>0</v>
      </c>
      <c r="T442" s="7">
        <v>7373.8618490933441</v>
      </c>
      <c r="U442" s="7">
        <f t="shared" si="74"/>
        <v>719925.2043246848</v>
      </c>
      <c r="V442" s="7">
        <f t="shared" si="67"/>
        <v>97.632043976143038</v>
      </c>
      <c r="W442" s="14" t="s">
        <v>10</v>
      </c>
      <c r="X442" s="7">
        <v>16740</v>
      </c>
      <c r="Y442" s="5">
        <v>520969.09090900421</v>
      </c>
      <c r="Z442" s="5">
        <v>540272.72727298737</v>
      </c>
      <c r="AA442" s="7">
        <v>626</v>
      </c>
      <c r="AB442" s="7">
        <v>3628</v>
      </c>
      <c r="AC442" s="7">
        <v>0</v>
      </c>
      <c r="AD442" s="7">
        <v>1069385</v>
      </c>
      <c r="AE442" s="7">
        <v>96849</v>
      </c>
      <c r="AF442" s="7">
        <v>5692.7194384001205</v>
      </c>
      <c r="AG442" s="7">
        <f t="shared" si="72"/>
        <v>81090.726363642214</v>
      </c>
      <c r="AH442" s="1">
        <f t="shared" si="68"/>
        <v>14.244637776568858</v>
      </c>
    </row>
    <row r="443" spans="1:34" x14ac:dyDescent="0.25">
      <c r="A443" s="13" t="s">
        <v>0</v>
      </c>
      <c r="B443" s="19">
        <v>46099</v>
      </c>
      <c r="C443" s="7">
        <v>7704</v>
      </c>
      <c r="D443" s="7">
        <v>30333</v>
      </c>
      <c r="E443" s="7">
        <v>22500</v>
      </c>
      <c r="F443" s="7">
        <v>0</v>
      </c>
      <c r="G443" s="7">
        <v>9375</v>
      </c>
      <c r="H443" s="7">
        <v>8902</v>
      </c>
      <c r="I443" s="7">
        <v>93750</v>
      </c>
      <c r="J443" s="2">
        <v>19.5</v>
      </c>
      <c r="K443" s="23">
        <f t="shared" si="73"/>
        <v>275537.93400000001</v>
      </c>
      <c r="L443" s="23">
        <f t="shared" si="69"/>
        <v>29.390712960000002</v>
      </c>
      <c r="M443" s="13" t="s">
        <v>9</v>
      </c>
      <c r="N443" s="7">
        <v>109644.10979385674</v>
      </c>
      <c r="O443" s="7">
        <v>56400.390625</v>
      </c>
      <c r="P443" s="7">
        <f t="shared" si="65"/>
        <v>64091.352982954544</v>
      </c>
      <c r="Q443" s="7">
        <v>19908</v>
      </c>
      <c r="R443" s="7">
        <v>0</v>
      </c>
      <c r="S443" s="7">
        <f t="shared" si="66"/>
        <v>0</v>
      </c>
      <c r="T443" s="7">
        <v>6479.3787489141832</v>
      </c>
      <c r="U443" s="7">
        <f t="shared" si="74"/>
        <v>590705.15934713965</v>
      </c>
      <c r="V443" s="7">
        <f t="shared" si="67"/>
        <v>91.166943967603416</v>
      </c>
      <c r="W443" s="14" t="s">
        <v>10</v>
      </c>
      <c r="X443" s="7">
        <v>104179.6875</v>
      </c>
      <c r="Y443" s="7">
        <v>638487.27272727271</v>
      </c>
      <c r="Z443" s="7">
        <v>660909.09090909082</v>
      </c>
      <c r="AA443" s="7">
        <v>606</v>
      </c>
      <c r="AB443" s="7">
        <v>4260</v>
      </c>
      <c r="AC443" s="7">
        <v>0</v>
      </c>
      <c r="AD443" s="7">
        <v>712728.72</v>
      </c>
      <c r="AE443" s="7">
        <v>37500</v>
      </c>
      <c r="AF443" s="7">
        <v>6954.2120355606075</v>
      </c>
      <c r="AG443" s="7">
        <f t="shared" si="72"/>
        <v>127974.04960681818</v>
      </c>
      <c r="AH443" s="1">
        <f t="shared" si="68"/>
        <v>18.402379586992513</v>
      </c>
    </row>
    <row r="444" spans="1:34" x14ac:dyDescent="0.25">
      <c r="A444" s="13" t="s">
        <v>0</v>
      </c>
      <c r="B444" s="19">
        <v>46100</v>
      </c>
      <c r="C444" s="7">
        <v>9246</v>
      </c>
      <c r="D444" s="7">
        <v>37112</v>
      </c>
      <c r="E444" s="7">
        <v>9000</v>
      </c>
      <c r="F444" s="7">
        <v>0</v>
      </c>
      <c r="G444" s="7">
        <v>5584</v>
      </c>
      <c r="H444" s="7">
        <v>6744</v>
      </c>
      <c r="I444" s="7">
        <v>36734</v>
      </c>
      <c r="J444" s="2">
        <v>20.64999961853027</v>
      </c>
      <c r="K444" s="23">
        <f t="shared" si="73"/>
        <v>185220.96600000001</v>
      </c>
      <c r="L444" s="23">
        <f t="shared" si="69"/>
        <v>33.169943767908315</v>
      </c>
      <c r="M444" s="13" t="s">
        <v>9</v>
      </c>
      <c r="N444" s="7">
        <v>60784.354909807444</v>
      </c>
      <c r="O444" s="7">
        <v>26900</v>
      </c>
      <c r="P444" s="7">
        <f t="shared" si="65"/>
        <v>30568.18181818182</v>
      </c>
      <c r="Q444" s="7">
        <v>7740</v>
      </c>
      <c r="R444" s="7">
        <v>0</v>
      </c>
      <c r="S444" s="7">
        <f t="shared" si="66"/>
        <v>0</v>
      </c>
      <c r="T444" s="7">
        <v>2707</v>
      </c>
      <c r="U444" s="7">
        <f t="shared" si="74"/>
        <v>278605.9300949109</v>
      </c>
      <c r="V444" s="7">
        <f t="shared" si="67"/>
        <v>102.92055045988582</v>
      </c>
      <c r="W444" s="14" t="s">
        <v>10</v>
      </c>
      <c r="X444" s="7">
        <v>157723.4375</v>
      </c>
      <c r="Y444" s="7">
        <v>949360.90909090906</v>
      </c>
      <c r="Z444" s="7">
        <v>1050363.6363636362</v>
      </c>
      <c r="AA444" s="7">
        <v>620</v>
      </c>
      <c r="AB444" s="7">
        <v>4612</v>
      </c>
      <c r="AC444" s="7">
        <v>0</v>
      </c>
      <c r="AD444" s="7">
        <v>1129075.2</v>
      </c>
      <c r="AE444" s="7">
        <v>112500</v>
      </c>
      <c r="AF444" s="7">
        <v>11061.759965896606</v>
      </c>
      <c r="AG444" s="7">
        <f t="shared" si="72"/>
        <v>188026.00339772727</v>
      </c>
      <c r="AH444" s="1">
        <f t="shared" si="68"/>
        <v>16.997837955028064</v>
      </c>
    </row>
    <row r="445" spans="1:34" x14ac:dyDescent="0.25">
      <c r="A445" s="13" t="s">
        <v>0</v>
      </c>
      <c r="B445" s="19">
        <v>46101</v>
      </c>
      <c r="C445" s="8">
        <v>7809.5</v>
      </c>
      <c r="D445" s="8">
        <v>6611</v>
      </c>
      <c r="E445" s="8">
        <v>0</v>
      </c>
      <c r="F445" s="7">
        <v>0</v>
      </c>
      <c r="G445" s="8">
        <v>5554</v>
      </c>
      <c r="H445" s="8">
        <v>0</v>
      </c>
      <c r="I445" s="8">
        <v>0</v>
      </c>
      <c r="J445" s="2">
        <v>18.60000038146973</v>
      </c>
      <c r="K445" s="23">
        <f t="shared" si="73"/>
        <v>82255.369500000001</v>
      </c>
      <c r="L445" s="23">
        <f t="shared" si="69"/>
        <v>14.810113341735686</v>
      </c>
      <c r="M445" s="13" t="s">
        <v>9</v>
      </c>
      <c r="N445" s="7">
        <v>102725.03592184186</v>
      </c>
      <c r="O445" s="7">
        <v>59605.556420516223</v>
      </c>
      <c r="P445" s="7">
        <f t="shared" si="65"/>
        <v>67733.586841495708</v>
      </c>
      <c r="Q445" s="7">
        <v>15660</v>
      </c>
      <c r="R445" s="7">
        <v>0</v>
      </c>
      <c r="S445" s="7">
        <f t="shared" si="66"/>
        <v>0</v>
      </c>
      <c r="T445" s="7">
        <v>5982.7119226992363</v>
      </c>
      <c r="U445" s="7">
        <f t="shared" si="74"/>
        <v>594705.48229480523</v>
      </c>
      <c r="V445" s="7">
        <f t="shared" si="67"/>
        <v>99.40399771521848</v>
      </c>
      <c r="W445" s="14" t="s">
        <v>10</v>
      </c>
      <c r="X445" s="8">
        <v>51110</v>
      </c>
      <c r="Y445" s="8">
        <v>223538.18181818182</v>
      </c>
      <c r="Z445" s="8">
        <v>243272.72727272724</v>
      </c>
      <c r="AA445" s="8">
        <v>700</v>
      </c>
      <c r="AB445" s="8">
        <v>5764</v>
      </c>
      <c r="AC445" s="8">
        <v>0</v>
      </c>
      <c r="AD445" s="8">
        <v>267620.76</v>
      </c>
      <c r="AE445" s="8">
        <v>25000</v>
      </c>
      <c r="AF445" s="8">
        <v>2528.6143922042847</v>
      </c>
      <c r="AG445" s="7">
        <f t="shared" si="72"/>
        <v>76280.976854545472</v>
      </c>
      <c r="AH445" s="1">
        <f t="shared" si="68"/>
        <v>30.167105387725243</v>
      </c>
    </row>
    <row r="446" spans="1:34" x14ac:dyDescent="0.25">
      <c r="A446" s="13" t="s">
        <v>0</v>
      </c>
      <c r="B446" s="19">
        <v>46102</v>
      </c>
      <c r="C446" s="7">
        <v>6373</v>
      </c>
      <c r="D446" s="7">
        <v>18393</v>
      </c>
      <c r="E446" s="7">
        <v>0</v>
      </c>
      <c r="F446" s="7">
        <v>0</v>
      </c>
      <c r="G446" s="7">
        <v>5524</v>
      </c>
      <c r="H446" s="7">
        <v>7446</v>
      </c>
      <c r="I446" s="7">
        <v>0</v>
      </c>
      <c r="J446" s="2">
        <v>20.29999923706055</v>
      </c>
      <c r="K446" s="23">
        <f t="shared" si="73"/>
        <v>73754.103000000003</v>
      </c>
      <c r="L446" s="23">
        <f t="shared" si="69"/>
        <v>13.35157548877625</v>
      </c>
      <c r="M446" s="13" t="s">
        <v>9</v>
      </c>
      <c r="N446" s="7">
        <v>107011.13316869736</v>
      </c>
      <c r="O446" s="7">
        <v>62194.248266983777</v>
      </c>
      <c r="P446" s="7">
        <f t="shared" si="65"/>
        <v>70675.282121572469</v>
      </c>
      <c r="Q446" s="7">
        <v>20736</v>
      </c>
      <c r="R446" s="7">
        <v>0</v>
      </c>
      <c r="S446" s="7">
        <f t="shared" si="66"/>
        <v>0</v>
      </c>
      <c r="T446" s="7">
        <v>6367.1472988497699</v>
      </c>
      <c r="U446" s="7">
        <f t="shared" si="74"/>
        <v>639126.85953796073</v>
      </c>
      <c r="V446" s="7">
        <f t="shared" si="67"/>
        <v>100.37883993251099</v>
      </c>
      <c r="W446" s="14" t="s">
        <v>10</v>
      </c>
      <c r="X446" s="7">
        <v>78800</v>
      </c>
      <c r="Y446" s="7">
        <v>535426.36363636365</v>
      </c>
      <c r="Z446" s="7">
        <v>582636.36363636365</v>
      </c>
      <c r="AA446" s="7">
        <v>668</v>
      </c>
      <c r="AB446" s="7">
        <v>6853</v>
      </c>
      <c r="AC446" s="7">
        <v>0</v>
      </c>
      <c r="AD446" s="7">
        <v>641199.24</v>
      </c>
      <c r="AE446" s="7">
        <v>25000</v>
      </c>
      <c r="AF446" s="7">
        <v>6004.6669691085817</v>
      </c>
      <c r="AG446" s="7">
        <f t="shared" si="72"/>
        <v>121104.0036</v>
      </c>
      <c r="AH446" s="1">
        <f t="shared" si="68"/>
        <v>20.168313117617977</v>
      </c>
    </row>
    <row r="447" spans="1:34" x14ac:dyDescent="0.25">
      <c r="A447" s="13" t="s">
        <v>0</v>
      </c>
      <c r="B447" s="19">
        <v>46103</v>
      </c>
      <c r="C447" s="7">
        <v>9387</v>
      </c>
      <c r="D447" s="7">
        <v>22576</v>
      </c>
      <c r="E447" s="7">
        <v>0</v>
      </c>
      <c r="F447" s="7">
        <v>0</v>
      </c>
      <c r="G447" s="7">
        <v>5500</v>
      </c>
      <c r="H447" s="7">
        <v>5505</v>
      </c>
      <c r="I447" s="7">
        <v>0</v>
      </c>
      <c r="J447" s="2">
        <v>19.54999923706055</v>
      </c>
      <c r="K447" s="23">
        <f t="shared" si="73"/>
        <v>106331.84700000001</v>
      </c>
      <c r="L447" s="23">
        <f t="shared" si="69"/>
        <v>19.333063090909093</v>
      </c>
      <c r="M447" s="13" t="s">
        <v>9</v>
      </c>
      <c r="N447" s="7">
        <v>108322.00081686676</v>
      </c>
      <c r="O447" s="7">
        <v>61900.390625</v>
      </c>
      <c r="P447" s="7">
        <f t="shared" si="65"/>
        <v>70341.352982954544</v>
      </c>
      <c r="Q447" s="7">
        <v>19839.439770436205</v>
      </c>
      <c r="R447" s="7">
        <v>0</v>
      </c>
      <c r="S447" s="7">
        <f t="shared" si="66"/>
        <v>0</v>
      </c>
      <c r="T447" s="7">
        <v>6595.5541939794784</v>
      </c>
      <c r="U447" s="7">
        <f t="shared" si="74"/>
        <v>633639.50279322872</v>
      </c>
      <c r="V447" s="7">
        <f t="shared" si="67"/>
        <v>96.070699164540926</v>
      </c>
      <c r="W447" s="14" t="s">
        <v>10</v>
      </c>
      <c r="X447" s="7">
        <v>160510</v>
      </c>
      <c r="Y447" s="7">
        <v>1014545.4545454546</v>
      </c>
      <c r="Z447" s="7">
        <v>1090909.0909090908</v>
      </c>
      <c r="AA447" s="7">
        <v>665</v>
      </c>
      <c r="AB447" s="7">
        <v>4833</v>
      </c>
      <c r="AC447" s="7">
        <v>0</v>
      </c>
      <c r="AD447" s="7">
        <v>1168207.92</v>
      </c>
      <c r="AE447" s="7">
        <v>75000</v>
      </c>
      <c r="AF447" s="7">
        <v>11462.854716777802</v>
      </c>
      <c r="AG447" s="7">
        <f t="shared" si="72"/>
        <v>192741.85516363636</v>
      </c>
      <c r="AH447" s="1">
        <f t="shared" si="68"/>
        <v>16.814472478790687</v>
      </c>
    </row>
    <row r="448" spans="1:34" x14ac:dyDescent="0.25">
      <c r="A448" s="13" t="s">
        <v>0</v>
      </c>
      <c r="B448" s="19">
        <v>46104</v>
      </c>
      <c r="C448" s="7">
        <v>8976</v>
      </c>
      <c r="D448" s="7">
        <v>32730</v>
      </c>
      <c r="E448" s="7">
        <v>0</v>
      </c>
      <c r="F448" s="7">
        <v>0</v>
      </c>
      <c r="G448" s="7">
        <v>5680</v>
      </c>
      <c r="H448" s="7">
        <v>8271</v>
      </c>
      <c r="I448" s="7">
        <v>0</v>
      </c>
      <c r="J448" s="2">
        <v>23.10000038146973</v>
      </c>
      <c r="K448" s="23">
        <f t="shared" si="73"/>
        <v>107358.876</v>
      </c>
      <c r="L448" s="23">
        <f t="shared" si="69"/>
        <v>18.901210563380282</v>
      </c>
      <c r="M448" s="13" t="s">
        <v>9</v>
      </c>
      <c r="N448" s="7">
        <v>109446.67690941691</v>
      </c>
      <c r="O448" s="7">
        <v>62500</v>
      </c>
      <c r="P448" s="7">
        <f t="shared" si="65"/>
        <v>71022.727272727279</v>
      </c>
      <c r="Q448" s="7">
        <v>17981.704425391683</v>
      </c>
      <c r="R448" s="7">
        <v>0</v>
      </c>
      <c r="S448" s="7">
        <f t="shared" si="66"/>
        <v>0</v>
      </c>
      <c r="T448" s="7">
        <v>6344.6225301472005</v>
      </c>
      <c r="U448" s="7">
        <f t="shared" si="74"/>
        <v>631103.68539535371</v>
      </c>
      <c r="V448" s="7">
        <f t="shared" si="67"/>
        <v>99.470643430179223</v>
      </c>
      <c r="W448" s="14" t="s">
        <v>10</v>
      </c>
      <c r="X448" s="7">
        <v>38730</v>
      </c>
      <c r="Y448" s="7">
        <v>86997.272727272721</v>
      </c>
      <c r="Z448" s="7">
        <v>93272.727272727265</v>
      </c>
      <c r="AA448" s="7">
        <v>708</v>
      </c>
      <c r="AB448" s="7">
        <v>7542</v>
      </c>
      <c r="AC448" s="7">
        <v>0</v>
      </c>
      <c r="AD448" s="7">
        <v>100077.12</v>
      </c>
      <c r="AE448" s="7">
        <v>12500</v>
      </c>
      <c r="AF448" s="7">
        <v>971.0459949874878</v>
      </c>
      <c r="AG448" s="7">
        <f t="shared" si="72"/>
        <v>67114.106345454536</v>
      </c>
      <c r="AH448" s="1">
        <f t="shared" si="68"/>
        <v>69.115270226019845</v>
      </c>
    </row>
    <row r="449" spans="1:34" x14ac:dyDescent="0.25">
      <c r="A449" s="13" t="s">
        <v>0</v>
      </c>
      <c r="B449" s="19">
        <v>46105</v>
      </c>
      <c r="C449" s="7">
        <v>8961</v>
      </c>
      <c r="D449" s="7">
        <v>46090</v>
      </c>
      <c r="E449" s="7">
        <v>0</v>
      </c>
      <c r="F449" s="7">
        <v>0</v>
      </c>
      <c r="G449" s="7">
        <v>3446</v>
      </c>
      <c r="H449" s="7">
        <v>8676</v>
      </c>
      <c r="I449" s="7">
        <v>0</v>
      </c>
      <c r="J449" s="2">
        <v>24.04999923706055</v>
      </c>
      <c r="K449" s="23">
        <f t="shared" si="73"/>
        <v>114020.96100000001</v>
      </c>
      <c r="L449" s="23">
        <f t="shared" si="69"/>
        <v>33.087916715031923</v>
      </c>
      <c r="M449" s="13" t="s">
        <v>9</v>
      </c>
      <c r="N449" s="7">
        <v>109087.4027197212</v>
      </c>
      <c r="O449" s="7">
        <v>62900.390625</v>
      </c>
      <c r="P449" s="7">
        <f t="shared" si="65"/>
        <v>71477.716619318177</v>
      </c>
      <c r="Q449" s="7">
        <v>20498.855804172112</v>
      </c>
      <c r="R449" s="7">
        <v>0</v>
      </c>
      <c r="S449" s="7">
        <f t="shared" si="66"/>
        <v>0</v>
      </c>
      <c r="T449" s="7">
        <v>6124.4342310045613</v>
      </c>
      <c r="U449" s="7">
        <f t="shared" si="74"/>
        <v>644814.19408888021</v>
      </c>
      <c r="V449" s="7">
        <f t="shared" si="67"/>
        <v>105.28551205996288</v>
      </c>
      <c r="W449" s="14" t="s">
        <v>10</v>
      </c>
      <c r="X449" s="7">
        <v>25970</v>
      </c>
      <c r="Y449" s="24">
        <v>303983.18181800842</v>
      </c>
      <c r="Z449" s="24">
        <v>324727.27272796631</v>
      </c>
      <c r="AA449" s="7">
        <v>680</v>
      </c>
      <c r="AB449" s="7">
        <v>4624</v>
      </c>
      <c r="AC449" s="7">
        <v>0</v>
      </c>
      <c r="AD449" s="7">
        <v>0</v>
      </c>
      <c r="AE449" s="7">
        <v>0</v>
      </c>
      <c r="AF449" s="7">
        <v>3420.6240126043599</v>
      </c>
      <c r="AG449" s="7">
        <f t="shared" si="72"/>
        <v>57459.49340910816</v>
      </c>
      <c r="AH449" s="1">
        <f t="shared" si="68"/>
        <v>16.797956512431846</v>
      </c>
    </row>
    <row r="450" spans="1:34" x14ac:dyDescent="0.25">
      <c r="A450" s="13" t="s">
        <v>0</v>
      </c>
      <c r="B450" s="19">
        <v>46106</v>
      </c>
      <c r="C450" s="8">
        <v>10033</v>
      </c>
      <c r="D450" s="8">
        <v>43078</v>
      </c>
      <c r="E450" s="8">
        <v>10000</v>
      </c>
      <c r="F450" s="7">
        <v>0</v>
      </c>
      <c r="G450" s="8">
        <v>1754</v>
      </c>
      <c r="H450" s="8">
        <v>6193</v>
      </c>
      <c r="I450" s="8">
        <v>41666</v>
      </c>
      <c r="J450" s="2">
        <v>19.79999923706055</v>
      </c>
      <c r="K450" s="23">
        <f t="shared" si="73"/>
        <v>204313.11300000001</v>
      </c>
      <c r="L450" s="23">
        <f t="shared" si="69"/>
        <v>116.48410091220069</v>
      </c>
      <c r="M450" s="13" t="s">
        <v>9</v>
      </c>
      <c r="N450" s="7">
        <v>111803.06552399695</v>
      </c>
      <c r="O450" s="7">
        <v>62299.8046875</v>
      </c>
      <c r="P450" s="7">
        <f t="shared" ref="P450:P513" si="75">O450/0.88</f>
        <v>70795.232599431823</v>
      </c>
      <c r="Q450" s="7">
        <v>21276</v>
      </c>
      <c r="R450" s="7">
        <v>0</v>
      </c>
      <c r="S450" s="7">
        <f t="shared" si="66"/>
        <v>0</v>
      </c>
      <c r="T450" s="7">
        <v>7141.5382939815754</v>
      </c>
      <c r="U450" s="7">
        <f t="shared" si="74"/>
        <v>644708.27719564759</v>
      </c>
      <c r="V450" s="7">
        <f t="shared" si="67"/>
        <v>90.275827231643618</v>
      </c>
      <c r="W450" s="14" t="s">
        <v>10</v>
      </c>
      <c r="X450" s="8">
        <v>101910</v>
      </c>
      <c r="Y450" s="8">
        <v>520969.09090909094</v>
      </c>
      <c r="Z450" s="8">
        <v>556181.81818181812</v>
      </c>
      <c r="AA450" s="8">
        <v>729</v>
      </c>
      <c r="AB450" s="8">
        <v>2923</v>
      </c>
      <c r="AC450" s="8">
        <v>0</v>
      </c>
      <c r="AD450" s="8">
        <v>600569.64</v>
      </c>
      <c r="AE450" s="8">
        <v>37500</v>
      </c>
      <c r="AF450" s="8">
        <v>5870.2020302200317</v>
      </c>
      <c r="AG450" s="7">
        <f t="shared" si="72"/>
        <v>112117.58187272726</v>
      </c>
      <c r="AH450" s="1">
        <f t="shared" si="68"/>
        <v>19.099441773135151</v>
      </c>
    </row>
    <row r="451" spans="1:34" x14ac:dyDescent="0.25">
      <c r="A451" s="13" t="s">
        <v>0</v>
      </c>
      <c r="B451" s="19">
        <v>46107</v>
      </c>
      <c r="C451" s="7">
        <v>8399</v>
      </c>
      <c r="D451" s="7">
        <v>39387</v>
      </c>
      <c r="E451" s="7">
        <v>0</v>
      </c>
      <c r="F451" s="7">
        <v>0</v>
      </c>
      <c r="G451" s="7">
        <v>5541</v>
      </c>
      <c r="H451" s="7">
        <v>7450</v>
      </c>
      <c r="I451" s="7">
        <v>0</v>
      </c>
      <c r="J451" s="2">
        <v>20.20000076293945</v>
      </c>
      <c r="K451" s="23">
        <f t="shared" si="73"/>
        <v>104925.66900000001</v>
      </c>
      <c r="L451" s="23">
        <f t="shared" si="69"/>
        <v>18.936233351380618</v>
      </c>
      <c r="M451" s="13" t="s">
        <v>9</v>
      </c>
      <c r="N451" s="7">
        <v>111775.92597557604</v>
      </c>
      <c r="O451" s="7">
        <v>61599.609375</v>
      </c>
      <c r="P451" s="7">
        <f t="shared" si="75"/>
        <v>69999.556107954544</v>
      </c>
      <c r="Q451" s="7">
        <v>23292</v>
      </c>
      <c r="R451" s="7">
        <v>0</v>
      </c>
      <c r="S451" s="7">
        <f t="shared" ref="S451:S514" si="76">R451/0.75</f>
        <v>0</v>
      </c>
      <c r="T451" s="7">
        <v>6295.1356294304132</v>
      </c>
      <c r="U451" s="7">
        <f t="shared" si="74"/>
        <v>647673.60434981645</v>
      </c>
      <c r="V451" s="7">
        <f t="shared" ref="V451:V514" si="77">U451/T451</f>
        <v>102.88477365314816</v>
      </c>
      <c r="W451" s="14" t="s">
        <v>10</v>
      </c>
      <c r="X451" s="7">
        <v>158820</v>
      </c>
      <c r="Y451" s="7">
        <v>948600</v>
      </c>
      <c r="Z451" s="7">
        <v>1014545.4545454545</v>
      </c>
      <c r="AA451" s="7">
        <v>730</v>
      </c>
      <c r="AB451" s="7">
        <v>1468</v>
      </c>
      <c r="AC451" s="7">
        <v>0</v>
      </c>
      <c r="AD451" s="7">
        <v>1088873.28</v>
      </c>
      <c r="AE451" s="7">
        <v>75000</v>
      </c>
      <c r="AF451" s="7">
        <v>10766.787188911438</v>
      </c>
      <c r="AG451" s="7">
        <f t="shared" si="72"/>
        <v>169736.85374545454</v>
      </c>
      <c r="AH451" s="1">
        <f t="shared" ref="AH451:AH486" si="78">AG451/AF451</f>
        <v>15.76485638355183</v>
      </c>
    </row>
    <row r="452" spans="1:34" x14ac:dyDescent="0.25">
      <c r="A452" s="13" t="s">
        <v>0</v>
      </c>
      <c r="B452" s="19">
        <v>46108</v>
      </c>
      <c r="C452" s="7">
        <v>7526</v>
      </c>
      <c r="D452" s="7">
        <v>35067</v>
      </c>
      <c r="E452" s="7">
        <v>0</v>
      </c>
      <c r="F452" s="7">
        <v>0</v>
      </c>
      <c r="G452" s="7">
        <v>8503</v>
      </c>
      <c r="H452" s="7">
        <v>9810</v>
      </c>
      <c r="I452" s="7">
        <v>0</v>
      </c>
      <c r="J452" s="2">
        <v>20.20000076293945</v>
      </c>
      <c r="K452" s="23">
        <f t="shared" si="73"/>
        <v>93904.296000000002</v>
      </c>
      <c r="L452" s="23">
        <f t="shared" si="69"/>
        <v>11.043666470657415</v>
      </c>
      <c r="M452" s="13" t="s">
        <v>9</v>
      </c>
      <c r="N452" s="7">
        <v>114369.35468484461</v>
      </c>
      <c r="O452" s="7">
        <v>66600.5859375</v>
      </c>
      <c r="P452" s="7">
        <f t="shared" si="75"/>
        <v>75682.484019886368</v>
      </c>
      <c r="Q452" s="7">
        <v>22608</v>
      </c>
      <c r="R452" s="7">
        <v>0</v>
      </c>
      <c r="S452" s="7">
        <f t="shared" si="76"/>
        <v>0</v>
      </c>
      <c r="T452" s="7">
        <v>6402.0344713386148</v>
      </c>
      <c r="U452" s="7">
        <f t="shared" si="74"/>
        <v>686006.13864495268</v>
      </c>
      <c r="V452" s="7">
        <f t="shared" si="77"/>
        <v>107.1543962651476</v>
      </c>
      <c r="W452" s="14" t="s">
        <v>10</v>
      </c>
      <c r="X452" s="7">
        <v>161290</v>
      </c>
      <c r="Y452" s="7">
        <v>1047940.9090909092</v>
      </c>
      <c r="Z452" s="7">
        <v>1110090.9090909092</v>
      </c>
      <c r="AA452" s="7">
        <v>807</v>
      </c>
      <c r="AB452" s="7">
        <v>4336</v>
      </c>
      <c r="AC452" s="7">
        <v>0</v>
      </c>
      <c r="AD452" s="7">
        <v>1194403.32</v>
      </c>
      <c r="AE452" s="7">
        <v>87500</v>
      </c>
      <c r="AF452" s="7">
        <v>11722.017939491272</v>
      </c>
      <c r="AG452" s="7">
        <f t="shared" si="72"/>
        <v>193601.67480000001</v>
      </c>
      <c r="AH452" s="1">
        <f t="shared" si="78"/>
        <v>16.516070509307053</v>
      </c>
    </row>
    <row r="453" spans="1:34" x14ac:dyDescent="0.25">
      <c r="A453" s="13" t="s">
        <v>0</v>
      </c>
      <c r="B453" s="19">
        <v>46109</v>
      </c>
      <c r="C453" s="7">
        <v>6199</v>
      </c>
      <c r="D453" s="7">
        <v>36123</v>
      </c>
      <c r="E453" s="7">
        <v>0</v>
      </c>
      <c r="F453" s="7">
        <v>0</v>
      </c>
      <c r="G453" s="7">
        <v>7886</v>
      </c>
      <c r="H453" s="7">
        <v>8144</v>
      </c>
      <c r="I453" s="7">
        <v>0</v>
      </c>
      <c r="J453" s="2">
        <v>21.10000038146973</v>
      </c>
      <c r="K453" s="23">
        <f t="shared" si="73"/>
        <v>81038.828999999998</v>
      </c>
      <c r="L453" s="23">
        <f t="shared" si="69"/>
        <v>10.276290768450417</v>
      </c>
      <c r="M453" s="13" t="s">
        <v>9</v>
      </c>
      <c r="N453" s="7">
        <v>112801.93088559806</v>
      </c>
      <c r="O453" s="7">
        <v>61288.778142044976</v>
      </c>
      <c r="P453" s="7">
        <f t="shared" si="75"/>
        <v>69646.338797778386</v>
      </c>
      <c r="Q453" s="7">
        <v>20863.193050164729</v>
      </c>
      <c r="R453" s="7">
        <v>0</v>
      </c>
      <c r="S453" s="7">
        <f t="shared" si="76"/>
        <v>0</v>
      </c>
      <c r="T453" s="7">
        <v>6167.0300406158203</v>
      </c>
      <c r="U453" s="7">
        <f t="shared" si="74"/>
        <v>635393.43893045047</v>
      </c>
      <c r="V453" s="7">
        <f t="shared" si="77"/>
        <v>103.03070274439624</v>
      </c>
      <c r="W453" s="14" t="s">
        <v>10</v>
      </c>
      <c r="X453" s="7">
        <v>161350</v>
      </c>
      <c r="Y453" s="7">
        <v>1029340.9090909091</v>
      </c>
      <c r="Z453" s="7">
        <v>1103272.7272727273</v>
      </c>
      <c r="AA453" s="7">
        <v>748</v>
      </c>
      <c r="AB453" s="7">
        <v>4525</v>
      </c>
      <c r="AC453" s="7">
        <v>0</v>
      </c>
      <c r="AD453" s="7">
        <v>1184887.44</v>
      </c>
      <c r="AE453" s="7">
        <v>100000</v>
      </c>
      <c r="AF453" s="7">
        <v>11497.746118621826</v>
      </c>
      <c r="AG453" s="7">
        <f t="shared" si="72"/>
        <v>194071.75478181816</v>
      </c>
      <c r="AH453" s="1">
        <f t="shared" si="78"/>
        <v>16.879112895656849</v>
      </c>
    </row>
    <row r="454" spans="1:34" x14ac:dyDescent="0.25">
      <c r="A454" s="13" t="s">
        <v>0</v>
      </c>
      <c r="B454" s="19">
        <v>46110</v>
      </c>
      <c r="C454" s="7">
        <v>7808</v>
      </c>
      <c r="D454" s="7">
        <v>17353</v>
      </c>
      <c r="E454" s="7">
        <v>0</v>
      </c>
      <c r="F454" s="7">
        <v>0</v>
      </c>
      <c r="G454" s="7">
        <v>12579</v>
      </c>
      <c r="H454" s="7">
        <v>9742</v>
      </c>
      <c r="I454" s="7">
        <v>0</v>
      </c>
      <c r="J454" s="2">
        <v>21.79999923706055</v>
      </c>
      <c r="K454" s="23">
        <f t="shared" si="73"/>
        <v>87718.638000000006</v>
      </c>
      <c r="L454" s="23">
        <f t="shared" si="69"/>
        <v>6.9734190317195335</v>
      </c>
      <c r="M454" s="13" t="s">
        <v>9</v>
      </c>
      <c r="N454" s="7">
        <v>115395.53149937093</v>
      </c>
      <c r="O454" s="7">
        <v>63711.221857955024</v>
      </c>
      <c r="P454" s="7">
        <f t="shared" si="75"/>
        <v>72399.115747676158</v>
      </c>
      <c r="Q454" s="7">
        <v>23416.806949835271</v>
      </c>
      <c r="R454" s="7">
        <v>0</v>
      </c>
      <c r="S454" s="7">
        <f t="shared" si="76"/>
        <v>0</v>
      </c>
      <c r="T454" s="7">
        <v>8048.1286204009084</v>
      </c>
      <c r="U454" s="7">
        <f t="shared" si="74"/>
        <v>666904.53961315646</v>
      </c>
      <c r="V454" s="7">
        <f t="shared" si="77"/>
        <v>82.864547905291232</v>
      </c>
      <c r="W454" s="14" t="s">
        <v>10</v>
      </c>
      <c r="X454" s="7">
        <v>166656.25</v>
      </c>
      <c r="Y454" s="7">
        <v>1116930</v>
      </c>
      <c r="Z454" s="7">
        <v>1224181.8181818181</v>
      </c>
      <c r="AA454" s="7">
        <v>755</v>
      </c>
      <c r="AB454" s="7">
        <v>4886</v>
      </c>
      <c r="AC454" s="7">
        <v>0</v>
      </c>
      <c r="AD454" s="7">
        <v>1327732.56</v>
      </c>
      <c r="AE454" s="7">
        <v>87500</v>
      </c>
      <c r="AF454" s="7">
        <v>12796.362506103516</v>
      </c>
      <c r="AG454" s="7">
        <f t="shared" si="72"/>
        <v>206549.49908181818</v>
      </c>
      <c r="AH454" s="1">
        <f t="shared" si="78"/>
        <v>16.141266628176538</v>
      </c>
    </row>
    <row r="455" spans="1:34" x14ac:dyDescent="0.25">
      <c r="A455" s="13" t="s">
        <v>0</v>
      </c>
      <c r="B455" s="19">
        <v>46111</v>
      </c>
      <c r="C455" s="7">
        <v>9253</v>
      </c>
      <c r="D455" s="7">
        <v>38119</v>
      </c>
      <c r="E455" s="7">
        <v>0</v>
      </c>
      <c r="F455" s="7">
        <v>0</v>
      </c>
      <c r="G455" s="7">
        <v>5518</v>
      </c>
      <c r="H455" s="7">
        <v>10640</v>
      </c>
      <c r="I455" s="7">
        <v>0</v>
      </c>
      <c r="J455" s="2">
        <v>22.60000038146973</v>
      </c>
      <c r="K455" s="23">
        <f t="shared" si="73"/>
        <v>112905.24300000002</v>
      </c>
      <c r="L455" s="23">
        <f t="shared" si="69"/>
        <v>20.461261870242843</v>
      </c>
      <c r="M455" s="13" t="s">
        <v>9</v>
      </c>
      <c r="N455" s="7">
        <v>108862.11584042013</v>
      </c>
      <c r="O455" s="7">
        <v>62500</v>
      </c>
      <c r="P455" s="7">
        <f t="shared" si="75"/>
        <v>71022.727272727279</v>
      </c>
      <c r="Q455" s="7">
        <v>21556.646030484349</v>
      </c>
      <c r="R455" s="7">
        <v>0</v>
      </c>
      <c r="S455" s="7">
        <f t="shared" si="76"/>
        <v>0</v>
      </c>
      <c r="T455" s="7">
        <v>6261.156986834947</v>
      </c>
      <c r="U455" s="7">
        <f t="shared" si="74"/>
        <v>645999.06107180915</v>
      </c>
      <c r="V455" s="7">
        <f t="shared" si="77"/>
        <v>103.17566903850555</v>
      </c>
      <c r="W455" s="14" t="s">
        <v>10</v>
      </c>
      <c r="X455" s="7">
        <v>145089.84375</v>
      </c>
      <c r="Y455" s="7">
        <v>984193.63636363635</v>
      </c>
      <c r="Z455" s="7">
        <v>1084818.1818181816</v>
      </c>
      <c r="AA455" s="7">
        <v>795</v>
      </c>
      <c r="AB455" s="7">
        <v>4540</v>
      </c>
      <c r="AC455" s="7">
        <v>0</v>
      </c>
      <c r="AD455" s="7">
        <v>1193868.72</v>
      </c>
      <c r="AE455" s="7">
        <v>75000</v>
      </c>
      <c r="AF455" s="7">
        <v>11358.370706176758</v>
      </c>
      <c r="AG455" s="7">
        <f t="shared" si="72"/>
        <v>183127.55156704548</v>
      </c>
      <c r="AH455" s="1">
        <f t="shared" si="78"/>
        <v>16.12269543795216</v>
      </c>
    </row>
    <row r="456" spans="1:34" x14ac:dyDescent="0.25">
      <c r="A456" s="13" t="s">
        <v>0</v>
      </c>
      <c r="B456" s="19">
        <v>46112</v>
      </c>
      <c r="C456" s="7">
        <v>23179</v>
      </c>
      <c r="D456" s="7">
        <v>43701</v>
      </c>
      <c r="E456" s="7">
        <v>0</v>
      </c>
      <c r="F456" s="7">
        <v>0</v>
      </c>
      <c r="G456" s="7">
        <v>11438</v>
      </c>
      <c r="H456" s="7">
        <v>18080</v>
      </c>
      <c r="I456" s="7">
        <v>0</v>
      </c>
      <c r="J456" s="2">
        <v>23.60000038146973</v>
      </c>
      <c r="K456" s="23">
        <f t="shared" si="73"/>
        <v>256418.58900000004</v>
      </c>
      <c r="L456" s="23">
        <f t="shared" si="69"/>
        <v>22.418131578947371</v>
      </c>
      <c r="M456" s="13" t="s">
        <v>9</v>
      </c>
      <c r="N456" s="7">
        <v>112889.75687925518</v>
      </c>
      <c r="O456" s="7">
        <v>58799.8046875</v>
      </c>
      <c r="P456" s="7">
        <f t="shared" si="75"/>
        <v>66817.959872159088</v>
      </c>
      <c r="Q456" s="7">
        <v>22615.353969515651</v>
      </c>
      <c r="R456" s="7">
        <v>0</v>
      </c>
      <c r="S456" s="7">
        <f t="shared" si="76"/>
        <v>0</v>
      </c>
      <c r="T456" s="7">
        <v>6325.1482771602459</v>
      </c>
      <c r="U456" s="7">
        <f t="shared" si="74"/>
        <v>623018.38052090711</v>
      </c>
      <c r="V456" s="7">
        <f t="shared" si="77"/>
        <v>98.498620620577611</v>
      </c>
      <c r="W456" s="14" t="s">
        <v>10</v>
      </c>
      <c r="X456" s="7">
        <v>146689.84375</v>
      </c>
      <c r="Y456" s="7">
        <v>989604.54545454541</v>
      </c>
      <c r="Z456" s="7">
        <v>1086090.9090909092</v>
      </c>
      <c r="AA456" s="7">
        <v>830</v>
      </c>
      <c r="AB456" s="7">
        <v>4226</v>
      </c>
      <c r="AC456" s="7">
        <v>0</v>
      </c>
      <c r="AD456" s="7">
        <v>1194082.56</v>
      </c>
      <c r="AE456" s="7">
        <v>75000</v>
      </c>
      <c r="AF456" s="7">
        <v>11186.163492126465</v>
      </c>
      <c r="AG456" s="7">
        <f t="shared" si="72"/>
        <v>182676.69734886364</v>
      </c>
      <c r="AH456" s="1">
        <f t="shared" si="78"/>
        <v>16.33059426294307</v>
      </c>
    </row>
    <row r="457" spans="1:34" x14ac:dyDescent="0.25">
      <c r="A457" s="13" t="s">
        <v>0</v>
      </c>
      <c r="B457" s="19">
        <v>46113</v>
      </c>
      <c r="C457" s="7">
        <v>15751</v>
      </c>
      <c r="D457" s="7">
        <v>41213</v>
      </c>
      <c r="E457" s="7">
        <v>35000</v>
      </c>
      <c r="F457" s="7">
        <v>0</v>
      </c>
      <c r="G457" s="7">
        <v>5992</v>
      </c>
      <c r="H457" s="7">
        <v>7840.2</v>
      </c>
      <c r="I457" s="7">
        <v>142857</v>
      </c>
      <c r="J457" s="2">
        <v>24.75</v>
      </c>
      <c r="K457" s="23">
        <f>C457*11.203+D457*0.51+E457*8+F457*5</f>
        <v>477477.08299999998</v>
      </c>
      <c r="L457" s="23">
        <f t="shared" ref="L457:L520" si="79">K457/G457</f>
        <v>79.685761515353803</v>
      </c>
      <c r="M457" s="13" t="s">
        <v>9</v>
      </c>
      <c r="N457" s="7">
        <v>110944.909274265</v>
      </c>
      <c r="O457" s="7">
        <v>56000</v>
      </c>
      <c r="P457" s="7">
        <f t="shared" si="75"/>
        <v>63636.36363636364</v>
      </c>
      <c r="Q457" s="7">
        <v>18720</v>
      </c>
      <c r="R457" s="7">
        <v>0</v>
      </c>
      <c r="S457" s="7">
        <f t="shared" si="76"/>
        <v>0</v>
      </c>
      <c r="T457" s="7">
        <v>5682.2120282391552</v>
      </c>
      <c r="U457" s="7">
        <f>N457*0.51+P457*7.711+Q457*4.6+S457*12.15</f>
        <v>633393.90372987522</v>
      </c>
      <c r="V457" s="7">
        <f t="shared" si="77"/>
        <v>111.46960032150646</v>
      </c>
      <c r="W457" s="14" t="s">
        <v>10</v>
      </c>
      <c r="X457" s="7">
        <v>155250</v>
      </c>
      <c r="Y457" s="7">
        <v>1008204.5454545455</v>
      </c>
      <c r="Z457" s="7">
        <v>1096545.4545454546</v>
      </c>
      <c r="AA457" s="7">
        <v>814</v>
      </c>
      <c r="AB457" s="7">
        <v>4276</v>
      </c>
      <c r="AC457" s="7">
        <v>0</v>
      </c>
      <c r="AD457" s="7">
        <v>1190981.8799999999</v>
      </c>
      <c r="AE457" s="7">
        <v>100000</v>
      </c>
      <c r="AF457" s="7">
        <v>11362.795176620484</v>
      </c>
      <c r="AG457" s="7">
        <f t="shared" si="72"/>
        <v>189187.51229090907</v>
      </c>
      <c r="AH457" s="1">
        <f t="shared" si="78"/>
        <v>16.649733569093261</v>
      </c>
    </row>
    <row r="458" spans="1:34" x14ac:dyDescent="0.25">
      <c r="A458" s="13" t="s">
        <v>0</v>
      </c>
      <c r="B458" s="19">
        <v>46114</v>
      </c>
      <c r="C458" s="7">
        <v>9682</v>
      </c>
      <c r="D458" s="7">
        <v>34270.691227393618</v>
      </c>
      <c r="E458" s="7">
        <v>0</v>
      </c>
      <c r="F458" s="7">
        <v>0</v>
      </c>
      <c r="G458" s="7">
        <v>6626</v>
      </c>
      <c r="H458" s="7">
        <v>7574</v>
      </c>
      <c r="I458" s="7">
        <v>0</v>
      </c>
      <c r="J458" s="2">
        <v>26.89999961853027</v>
      </c>
      <c r="K458" s="23">
        <f t="shared" ref="K458:K486" si="80">C458*11.203+D458*0.51+E458*8+F458*5</f>
        <v>125945.49852597075</v>
      </c>
      <c r="L458" s="23">
        <f t="shared" si="79"/>
        <v>19.007772189250037</v>
      </c>
      <c r="M458" s="13" t="s">
        <v>9</v>
      </c>
      <c r="N458" s="7">
        <v>104490.29280199111</v>
      </c>
      <c r="O458" s="7">
        <v>53799.8046875</v>
      </c>
      <c r="P458" s="7">
        <f t="shared" si="75"/>
        <v>61136.141690340912</v>
      </c>
      <c r="Q458" s="7">
        <v>8784</v>
      </c>
      <c r="R458" s="7">
        <v>0</v>
      </c>
      <c r="S458" s="7">
        <f t="shared" si="76"/>
        <v>0</v>
      </c>
      <c r="T458" s="7">
        <v>4339.5219688415527</v>
      </c>
      <c r="U458" s="7">
        <f t="shared" ref="U458:U486" si="81">N458*0.51+P458*7.711+Q458*4.6+S458*12.15</f>
        <v>565117.23790323432</v>
      </c>
      <c r="V458" s="7">
        <f t="shared" si="77"/>
        <v>130.22568890326275</v>
      </c>
      <c r="W458" s="14" t="s">
        <v>10</v>
      </c>
      <c r="X458" s="7">
        <v>136297.28125</v>
      </c>
      <c r="Y458" s="7">
        <v>879526.36363636365</v>
      </c>
      <c r="Z458" s="7">
        <v>960363.63636363624</v>
      </c>
      <c r="AA458" s="7">
        <v>815</v>
      </c>
      <c r="AB458" s="7">
        <v>4445</v>
      </c>
      <c r="AC458" s="7">
        <v>0</v>
      </c>
      <c r="AD458" s="7">
        <v>1037230.9199999999</v>
      </c>
      <c r="AE458" s="7">
        <v>62500</v>
      </c>
      <c r="AF458" s="7">
        <v>9991.9199487686165</v>
      </c>
      <c r="AG458" s="7">
        <f t="shared" si="72"/>
        <v>168350.71496477272</v>
      </c>
      <c r="AH458" s="1">
        <f t="shared" si="78"/>
        <v>16.848685320534411</v>
      </c>
    </row>
    <row r="459" spans="1:34" x14ac:dyDescent="0.25">
      <c r="A459" s="13" t="s">
        <v>0</v>
      </c>
      <c r="B459" s="19">
        <v>46115</v>
      </c>
      <c r="C459" s="7">
        <v>10050</v>
      </c>
      <c r="D459" s="7">
        <v>45993</v>
      </c>
      <c r="E459" s="7">
        <v>12500</v>
      </c>
      <c r="F459" s="7">
        <v>0</v>
      </c>
      <c r="G459" s="7">
        <v>6507</v>
      </c>
      <c r="H459" s="7">
        <v>7888.6</v>
      </c>
      <c r="I459" s="7">
        <v>51020</v>
      </c>
      <c r="J459" s="2">
        <v>29.20000076293945</v>
      </c>
      <c r="K459" s="23">
        <f t="shared" si="80"/>
        <v>236046.58</v>
      </c>
      <c r="L459" s="23">
        <f t="shared" si="79"/>
        <v>36.275792223759026</v>
      </c>
      <c r="M459" s="13" t="s">
        <v>9</v>
      </c>
      <c r="N459" s="7">
        <v>113201.92744840682</v>
      </c>
      <c r="O459" s="7">
        <v>64700.1953125</v>
      </c>
      <c r="P459" s="7">
        <f t="shared" si="75"/>
        <v>73522.94921875</v>
      </c>
      <c r="Q459" s="7">
        <v>17208</v>
      </c>
      <c r="R459" s="7">
        <v>0</v>
      </c>
      <c r="S459" s="7">
        <f t="shared" si="76"/>
        <v>0</v>
      </c>
      <c r="T459" s="7">
        <v>7351.520109979785</v>
      </c>
      <c r="U459" s="7">
        <f t="shared" si="81"/>
        <v>703825.2444244686</v>
      </c>
      <c r="V459" s="7">
        <f t="shared" si="77"/>
        <v>95.738736192670771</v>
      </c>
      <c r="W459" s="14" t="s">
        <v>10</v>
      </c>
      <c r="X459" s="7">
        <v>153832.03125</v>
      </c>
      <c r="Y459" s="7">
        <v>967622.72727272729</v>
      </c>
      <c r="Z459" s="7">
        <v>1067272.7272727271</v>
      </c>
      <c r="AA459" s="7">
        <v>2607</v>
      </c>
      <c r="AB459" s="7">
        <v>4457</v>
      </c>
      <c r="AC459" s="7">
        <v>0</v>
      </c>
      <c r="AD459" s="7">
        <v>1181252.1600000001</v>
      </c>
      <c r="AE459" s="7">
        <v>87500</v>
      </c>
      <c r="AF459" s="7">
        <v>11118.050942802429</v>
      </c>
      <c r="AG459" s="7">
        <f t="shared" si="72"/>
        <v>191946.59333749997</v>
      </c>
      <c r="AH459" s="1">
        <f t="shared" si="78"/>
        <v>17.264410311212128</v>
      </c>
    </row>
    <row r="460" spans="1:34" x14ac:dyDescent="0.25">
      <c r="A460" s="13" t="s">
        <v>0</v>
      </c>
      <c r="B460" s="19">
        <v>46116</v>
      </c>
      <c r="C460" s="7">
        <v>9710</v>
      </c>
      <c r="D460" s="7">
        <v>39414</v>
      </c>
      <c r="E460" s="7">
        <v>0</v>
      </c>
      <c r="F460" s="7">
        <v>0</v>
      </c>
      <c r="G460" s="7">
        <v>6541</v>
      </c>
      <c r="H460" s="7">
        <v>8180.2</v>
      </c>
      <c r="I460" s="7">
        <v>0</v>
      </c>
      <c r="J460" s="2">
        <v>30.70000076293945</v>
      </c>
      <c r="K460" s="23">
        <f t="shared" si="80"/>
        <v>128882.26999999999</v>
      </c>
      <c r="L460" s="23">
        <f t="shared" si="79"/>
        <v>19.703756306375169</v>
      </c>
      <c r="M460" s="13" t="s">
        <v>9</v>
      </c>
      <c r="N460" s="7">
        <v>111848.45550619066</v>
      </c>
      <c r="O460" s="7">
        <v>61899.4140625</v>
      </c>
      <c r="P460" s="7">
        <f t="shared" si="75"/>
        <v>70340.243252840912</v>
      </c>
      <c r="Q460" s="7">
        <v>20232</v>
      </c>
      <c r="R460" s="7">
        <v>0</v>
      </c>
      <c r="S460" s="7">
        <f t="shared" si="76"/>
        <v>0</v>
      </c>
      <c r="T460" s="7">
        <v>7962.9979618475772</v>
      </c>
      <c r="U460" s="7">
        <f t="shared" si="81"/>
        <v>692503.52803081344</v>
      </c>
      <c r="V460" s="7">
        <f t="shared" si="77"/>
        <v>86.965177103993454</v>
      </c>
      <c r="W460" s="14" t="s">
        <v>10</v>
      </c>
      <c r="X460" s="7">
        <v>134270</v>
      </c>
      <c r="Y460" s="7">
        <v>898295.45454545459</v>
      </c>
      <c r="Z460" s="7">
        <v>965363.63636363635</v>
      </c>
      <c r="AA460" s="7">
        <v>4070</v>
      </c>
      <c r="AB460" s="7">
        <v>4443</v>
      </c>
      <c r="AC460" s="7">
        <v>0</v>
      </c>
      <c r="AD460" s="7">
        <v>1073369.8799999999</v>
      </c>
      <c r="AE460" s="7">
        <v>87499.999999999985</v>
      </c>
      <c r="AF460" s="7">
        <v>10192.681779098511</v>
      </c>
      <c r="AG460" s="7">
        <f t="shared" si="72"/>
        <v>179433.80501818183</v>
      </c>
      <c r="AH460" s="1">
        <f t="shared" si="78"/>
        <v>17.604180029061183</v>
      </c>
    </row>
    <row r="461" spans="1:34" x14ac:dyDescent="0.25">
      <c r="A461" s="13" t="s">
        <v>0</v>
      </c>
      <c r="B461" s="19">
        <v>46117</v>
      </c>
      <c r="C461" s="8">
        <v>10252</v>
      </c>
      <c r="D461" s="8">
        <v>22537</v>
      </c>
      <c r="E461" s="8">
        <v>0</v>
      </c>
      <c r="F461" s="7">
        <v>0</v>
      </c>
      <c r="G461" s="8">
        <v>5965</v>
      </c>
      <c r="H461" s="8">
        <v>5781</v>
      </c>
      <c r="I461" s="8">
        <v>0</v>
      </c>
      <c r="J461" s="2">
        <v>26.5</v>
      </c>
      <c r="K461" s="23">
        <f t="shared" si="80"/>
        <v>126347.02599999998</v>
      </c>
      <c r="L461" s="23">
        <f t="shared" si="79"/>
        <v>21.18139580888516</v>
      </c>
      <c r="M461" s="13" t="s">
        <v>9</v>
      </c>
      <c r="N461" s="7">
        <v>74934.429797798395</v>
      </c>
      <c r="O461" s="7">
        <v>38100.5859375</v>
      </c>
      <c r="P461" s="7">
        <f t="shared" si="75"/>
        <v>43296.120383522728</v>
      </c>
      <c r="Q461" s="7">
        <v>11880</v>
      </c>
      <c r="R461" s="7">
        <v>0</v>
      </c>
      <c r="S461" s="7">
        <f t="shared" si="76"/>
        <v>0</v>
      </c>
      <c r="T461" s="7">
        <v>4306.4276474147337</v>
      </c>
      <c r="U461" s="7">
        <f t="shared" si="81"/>
        <v>426720.94347422093</v>
      </c>
      <c r="V461" s="7">
        <f t="shared" si="77"/>
        <v>99.089309843715398</v>
      </c>
      <c r="W461" s="14" t="s">
        <v>10</v>
      </c>
      <c r="X461" s="8">
        <v>161100</v>
      </c>
      <c r="Y461" s="8">
        <v>1215256.3636363638</v>
      </c>
      <c r="Z461" s="8">
        <v>1138363.6363636362</v>
      </c>
      <c r="AA461" s="8">
        <v>4058</v>
      </c>
      <c r="AB461" s="8">
        <v>4515</v>
      </c>
      <c r="AC461" s="8">
        <v>0</v>
      </c>
      <c r="AD461" s="8">
        <v>1311587.6400000001</v>
      </c>
      <c r="AE461" s="8">
        <v>112500</v>
      </c>
      <c r="AF461" s="8">
        <v>12714.335246276856</v>
      </c>
      <c r="AG461" s="7">
        <f t="shared" si="72"/>
        <v>212708.75732727273</v>
      </c>
      <c r="AH461" s="1">
        <f t="shared" si="78"/>
        <v>16.72983708602149</v>
      </c>
    </row>
    <row r="462" spans="1:34" x14ac:dyDescent="0.25">
      <c r="A462" s="13" t="s">
        <v>0</v>
      </c>
      <c r="B462" s="19">
        <v>46118</v>
      </c>
      <c r="C462" s="7">
        <v>10266</v>
      </c>
      <c r="D462" s="7">
        <v>35997</v>
      </c>
      <c r="E462" s="7">
        <v>34700</v>
      </c>
      <c r="F462" s="7">
        <v>0</v>
      </c>
      <c r="G462" s="7">
        <v>5773</v>
      </c>
      <c r="H462" s="7">
        <v>7416</v>
      </c>
      <c r="I462" s="7">
        <v>140000</v>
      </c>
      <c r="J462" s="2">
        <v>21.60000038146973</v>
      </c>
      <c r="K462" s="23">
        <f t="shared" si="80"/>
        <v>410968.46799999999</v>
      </c>
      <c r="L462" s="23">
        <f t="shared" si="79"/>
        <v>71.188024943703439</v>
      </c>
      <c r="M462" s="13" t="s">
        <v>9</v>
      </c>
      <c r="N462" s="7">
        <v>46166.169521033764</v>
      </c>
      <c r="O462" s="7">
        <v>17200.1953125</v>
      </c>
      <c r="P462" s="7">
        <f t="shared" si="75"/>
        <v>19545.676491477272</v>
      </c>
      <c r="Q462" s="7">
        <v>5184</v>
      </c>
      <c r="R462" s="7">
        <v>0</v>
      </c>
      <c r="S462" s="7">
        <f t="shared" si="76"/>
        <v>0</v>
      </c>
      <c r="T462" s="7">
        <v>1980.4211966359289</v>
      </c>
      <c r="U462" s="7">
        <f t="shared" si="81"/>
        <v>198107.85788150848</v>
      </c>
      <c r="V462" s="7">
        <f t="shared" si="77"/>
        <v>100.03319405893416</v>
      </c>
      <c r="W462" s="14" t="s">
        <v>10</v>
      </c>
      <c r="X462" s="7">
        <v>139580</v>
      </c>
      <c r="Y462" s="7">
        <v>958576.36363636376</v>
      </c>
      <c r="Z462" s="7">
        <v>964909.09090909082</v>
      </c>
      <c r="AA462" s="7">
        <v>4025</v>
      </c>
      <c r="AB462" s="7">
        <v>4168</v>
      </c>
      <c r="AC462" s="7">
        <v>0</v>
      </c>
      <c r="AD462" s="7">
        <v>1080426.6000000001</v>
      </c>
      <c r="AE462" s="7">
        <v>87500</v>
      </c>
      <c r="AF462" s="7">
        <v>9770.3734169006348</v>
      </c>
      <c r="AG462" s="7">
        <f t="shared" si="72"/>
        <v>182441.2162727273</v>
      </c>
      <c r="AH462" s="1">
        <f t="shared" si="78"/>
        <v>18.672901074297059</v>
      </c>
    </row>
    <row r="463" spans="1:34" x14ac:dyDescent="0.25">
      <c r="A463" s="13" t="s">
        <v>0</v>
      </c>
      <c r="B463" s="19">
        <v>46119</v>
      </c>
      <c r="C463" s="7">
        <v>15657</v>
      </c>
      <c r="D463" s="7">
        <v>37783</v>
      </c>
      <c r="E463" s="7">
        <v>0</v>
      </c>
      <c r="F463" s="7">
        <v>0</v>
      </c>
      <c r="G463" s="7">
        <v>7710</v>
      </c>
      <c r="H463" s="7">
        <v>6537</v>
      </c>
      <c r="I463" s="7">
        <v>0</v>
      </c>
      <c r="J463" s="2">
        <v>14.75</v>
      </c>
      <c r="K463" s="23">
        <f t="shared" si="80"/>
        <v>194674.701</v>
      </c>
      <c r="L463" s="23">
        <f t="shared" si="79"/>
        <v>25.249636964980546</v>
      </c>
      <c r="M463" s="13" t="s">
        <v>9</v>
      </c>
      <c r="N463" s="7">
        <v>113388.62696611881</v>
      </c>
      <c r="O463" s="7">
        <v>63599.609375</v>
      </c>
      <c r="P463" s="7">
        <f t="shared" si="75"/>
        <v>72272.283380681823</v>
      </c>
      <c r="Q463" s="7">
        <v>20592</v>
      </c>
      <c r="R463" s="7">
        <v>0</v>
      </c>
      <c r="S463" s="7">
        <f t="shared" si="76"/>
        <v>0</v>
      </c>
      <c r="T463" s="7">
        <v>7278.4001089513768</v>
      </c>
      <c r="U463" s="7">
        <f t="shared" si="81"/>
        <v>709842.97690115822</v>
      </c>
      <c r="V463" s="7">
        <f t="shared" si="77"/>
        <v>97.52733654036885</v>
      </c>
      <c r="W463" s="14" t="s">
        <v>10</v>
      </c>
      <c r="X463" s="7">
        <v>150020</v>
      </c>
      <c r="Y463" s="7">
        <v>1162108.2727272727</v>
      </c>
      <c r="Z463" s="7">
        <v>1235181.8181818181</v>
      </c>
      <c r="AA463" s="7">
        <v>4028</v>
      </c>
      <c r="AB463" s="7">
        <v>3810</v>
      </c>
      <c r="AC463" s="7">
        <v>0</v>
      </c>
      <c r="AD463" s="7">
        <v>1391670.72</v>
      </c>
      <c r="AE463" s="7">
        <v>100000</v>
      </c>
      <c r="AF463" s="7">
        <v>12650.007982635498</v>
      </c>
      <c r="AG463" s="7">
        <f t="shared" ref="AG463:AG486" si="82">X463*0.51+Y463*0.0285+Z463*0.032+AA463*3+AB463*5+AD463*0.015+AE463*0.045</f>
        <v>205665.16475454546</v>
      </c>
      <c r="AH463" s="1">
        <f t="shared" si="78"/>
        <v>16.258105531384594</v>
      </c>
    </row>
    <row r="464" spans="1:34" x14ac:dyDescent="0.25">
      <c r="A464" s="13" t="s">
        <v>0</v>
      </c>
      <c r="B464" s="19">
        <v>46120</v>
      </c>
      <c r="C464" s="7">
        <v>13733</v>
      </c>
      <c r="D464" s="7">
        <v>32603</v>
      </c>
      <c r="E464" s="7">
        <v>0</v>
      </c>
      <c r="F464" s="7">
        <v>0</v>
      </c>
      <c r="G464" s="7">
        <v>8169</v>
      </c>
      <c r="H464" s="7">
        <v>5991</v>
      </c>
      <c r="I464" s="7">
        <v>0</v>
      </c>
      <c r="J464" s="2">
        <v>17.10000038146973</v>
      </c>
      <c r="K464" s="23">
        <f t="shared" si="80"/>
        <v>170478.329</v>
      </c>
      <c r="L464" s="23">
        <f t="shared" si="79"/>
        <v>20.868934875749787</v>
      </c>
      <c r="M464" s="13" t="s">
        <v>9</v>
      </c>
      <c r="N464" s="7">
        <v>114778.79481557012</v>
      </c>
      <c r="O464" s="7">
        <v>55000</v>
      </c>
      <c r="P464" s="7">
        <f t="shared" si="75"/>
        <v>62500</v>
      </c>
      <c r="Q464" s="7">
        <v>23688</v>
      </c>
      <c r="R464" s="7">
        <v>0</v>
      </c>
      <c r="S464" s="7">
        <f t="shared" si="76"/>
        <v>0</v>
      </c>
      <c r="T464" s="7">
        <v>6445.1143829090288</v>
      </c>
      <c r="U464" s="7">
        <f t="shared" si="81"/>
        <v>649439.48535594065</v>
      </c>
      <c r="V464" s="7">
        <f t="shared" si="77"/>
        <v>100.764617471818</v>
      </c>
      <c r="W464" s="14" t="s">
        <v>10</v>
      </c>
      <c r="X464" s="7">
        <v>164150</v>
      </c>
      <c r="Y464" s="7">
        <v>1073888.5454545454</v>
      </c>
      <c r="Z464" s="7">
        <v>1149090.9090909092</v>
      </c>
      <c r="AA464" s="7">
        <v>4019</v>
      </c>
      <c r="AB464" s="7">
        <v>3107</v>
      </c>
      <c r="AC464" s="7">
        <v>0</v>
      </c>
      <c r="AD464" s="7">
        <v>1281222.3600000001</v>
      </c>
      <c r="AE464" s="7">
        <v>125000</v>
      </c>
      <c r="AF464" s="7">
        <v>11797.583313903808</v>
      </c>
      <c r="AG464" s="7">
        <f t="shared" si="82"/>
        <v>203528.56803636366</v>
      </c>
      <c r="AH464" s="1">
        <f t="shared" si="78"/>
        <v>17.251716950919864</v>
      </c>
    </row>
    <row r="465" spans="1:34" x14ac:dyDescent="0.25">
      <c r="A465" s="13" t="s">
        <v>0</v>
      </c>
      <c r="B465" s="19">
        <v>46121</v>
      </c>
      <c r="C465" s="7">
        <v>16263</v>
      </c>
      <c r="D465" s="7">
        <v>41046</v>
      </c>
      <c r="E465" s="7">
        <v>8400</v>
      </c>
      <c r="F465" s="7">
        <v>0</v>
      </c>
      <c r="G465" s="7">
        <v>9033</v>
      </c>
      <c r="H465" s="7">
        <v>10009</v>
      </c>
      <c r="I465" s="7">
        <v>33600</v>
      </c>
      <c r="J465" s="2">
        <v>16.64999961853027</v>
      </c>
      <c r="K465" s="23">
        <f t="shared" si="80"/>
        <v>270327.84899999999</v>
      </c>
      <c r="L465" s="23">
        <f t="shared" si="79"/>
        <v>29.926696446363334</v>
      </c>
      <c r="M465" s="13" t="s">
        <v>9</v>
      </c>
      <c r="N465" s="7">
        <v>113435.0382231921</v>
      </c>
      <c r="O465" s="7">
        <v>55799.8046875</v>
      </c>
      <c r="P465" s="7">
        <f t="shared" si="75"/>
        <v>63408.868963068184</v>
      </c>
      <c r="Q465" s="7">
        <v>22428</v>
      </c>
      <c r="R465" s="7">
        <v>0</v>
      </c>
      <c r="S465" s="7">
        <f t="shared" si="76"/>
        <v>0</v>
      </c>
      <c r="T465" s="7">
        <v>6780</v>
      </c>
      <c r="U465" s="7">
        <f t="shared" si="81"/>
        <v>649966.45806804672</v>
      </c>
      <c r="V465" s="7">
        <f t="shared" si="77"/>
        <v>95.865259302071792</v>
      </c>
      <c r="W465" s="14" t="s">
        <v>10</v>
      </c>
      <c r="X465" s="7">
        <v>143740</v>
      </c>
      <c r="Y465" s="7">
        <v>926507.81818181812</v>
      </c>
      <c r="Z465" s="7">
        <v>966454.54545454541</v>
      </c>
      <c r="AA465" s="7">
        <v>4065</v>
      </c>
      <c r="AB465" s="7">
        <v>4277</v>
      </c>
      <c r="AC465" s="7">
        <v>0</v>
      </c>
      <c r="AD465" s="7">
        <v>1122980.76</v>
      </c>
      <c r="AE465" s="7">
        <v>100000</v>
      </c>
      <c r="AF465" s="7">
        <v>10080.311138458252</v>
      </c>
      <c r="AG465" s="7">
        <f t="shared" si="82"/>
        <v>185564.12967272729</v>
      </c>
      <c r="AH465" s="1">
        <f t="shared" si="78"/>
        <v>18.408571632751077</v>
      </c>
    </row>
    <row r="466" spans="1:34" x14ac:dyDescent="0.25">
      <c r="A466" s="13" t="s">
        <v>0</v>
      </c>
      <c r="B466" s="19">
        <v>46122</v>
      </c>
      <c r="C466" s="8">
        <v>10686</v>
      </c>
      <c r="D466" s="8">
        <v>42759</v>
      </c>
      <c r="E466" s="8">
        <v>30000</v>
      </c>
      <c r="F466" s="7">
        <v>0</v>
      </c>
      <c r="G466" s="8">
        <v>8041</v>
      </c>
      <c r="H466" s="8">
        <v>8062.4</v>
      </c>
      <c r="I466" s="8">
        <v>120000</v>
      </c>
      <c r="J466" s="2">
        <v>17.25</v>
      </c>
      <c r="K466" s="23">
        <f t="shared" si="80"/>
        <v>381522.348</v>
      </c>
      <c r="L466" s="23">
        <f t="shared" si="79"/>
        <v>47.447126974256932</v>
      </c>
      <c r="M466" s="13" t="s">
        <v>9</v>
      </c>
      <c r="N466" s="7">
        <v>110631.40630054474</v>
      </c>
      <c r="O466" s="7">
        <v>67400.390625</v>
      </c>
      <c r="P466" s="7">
        <f t="shared" si="75"/>
        <v>76591.352982954544</v>
      </c>
      <c r="Q466" s="7">
        <v>20988</v>
      </c>
      <c r="R466" s="7">
        <v>0</v>
      </c>
      <c r="S466" s="7">
        <f t="shared" si="76"/>
        <v>0</v>
      </c>
      <c r="T466" s="7">
        <v>7055.2572808265686</v>
      </c>
      <c r="U466" s="7">
        <f t="shared" si="81"/>
        <v>743562.7400648403</v>
      </c>
      <c r="V466" s="7">
        <f t="shared" si="77"/>
        <v>105.39130048248605</v>
      </c>
      <c r="W466" s="14" t="s">
        <v>10</v>
      </c>
      <c r="X466" s="8">
        <v>154240</v>
      </c>
      <c r="Y466" s="8">
        <v>965038.72727272706</v>
      </c>
      <c r="Z466" s="8">
        <v>1009181.8181818181</v>
      </c>
      <c r="AA466" s="8">
        <v>3955</v>
      </c>
      <c r="AB466" s="8">
        <v>5020</v>
      </c>
      <c r="AC466" s="8">
        <v>0</v>
      </c>
      <c r="AD466" s="8">
        <v>1180503.72</v>
      </c>
      <c r="AE466" s="8">
        <v>112500</v>
      </c>
      <c r="AF466" s="8">
        <v>10652.747356109619</v>
      </c>
      <c r="AG466" s="7">
        <f t="shared" si="82"/>
        <v>198194.87770909091</v>
      </c>
      <c r="AH466" s="1">
        <f t="shared" si="78"/>
        <v>18.605048170547398</v>
      </c>
    </row>
    <row r="467" spans="1:34" x14ac:dyDescent="0.25">
      <c r="A467" s="13" t="s">
        <v>0</v>
      </c>
      <c r="B467" s="19">
        <v>46123</v>
      </c>
      <c r="C467" s="7">
        <v>11556</v>
      </c>
      <c r="D467" s="7">
        <v>31459</v>
      </c>
      <c r="E467" s="7">
        <v>0</v>
      </c>
      <c r="F467" s="7">
        <v>0</v>
      </c>
      <c r="G467" s="7">
        <v>5740</v>
      </c>
      <c r="H467" s="7">
        <v>7545</v>
      </c>
      <c r="I467" s="7">
        <v>0</v>
      </c>
      <c r="J467" s="2">
        <v>14.85000038146973</v>
      </c>
      <c r="K467" s="23">
        <f t="shared" si="80"/>
        <v>145505.95799999998</v>
      </c>
      <c r="L467" s="23">
        <f t="shared" si="79"/>
        <v>25.349470034843204</v>
      </c>
      <c r="M467" s="13" t="s">
        <v>9</v>
      </c>
      <c r="N467" s="7">
        <v>112898.91967579722</v>
      </c>
      <c r="O467" s="7">
        <v>71599</v>
      </c>
      <c r="P467" s="7">
        <f t="shared" si="75"/>
        <v>81362.5</v>
      </c>
      <c r="Q467" s="7">
        <v>22860</v>
      </c>
      <c r="R467" s="7">
        <v>0</v>
      </c>
      <c r="S467" s="7">
        <f t="shared" si="76"/>
        <v>0</v>
      </c>
      <c r="T467" s="7">
        <v>7384</v>
      </c>
      <c r="U467" s="7">
        <f t="shared" si="81"/>
        <v>790120.68653465668</v>
      </c>
      <c r="V467" s="7">
        <f t="shared" si="77"/>
        <v>107.00442667045729</v>
      </c>
      <c r="W467" s="14" t="s">
        <v>10</v>
      </c>
      <c r="X467" s="7">
        <v>150880</v>
      </c>
      <c r="Y467" s="7">
        <v>1040334.5454545454</v>
      </c>
      <c r="Z467" s="7">
        <v>1089454.5454545454</v>
      </c>
      <c r="AA467" s="7">
        <v>4117</v>
      </c>
      <c r="AB467" s="7">
        <v>4657</v>
      </c>
      <c r="AC467" s="7">
        <v>0</v>
      </c>
      <c r="AD467" s="7">
        <v>1266253.56</v>
      </c>
      <c r="AE467" s="7">
        <v>100000</v>
      </c>
      <c r="AF467" s="7">
        <v>11336.954305152893</v>
      </c>
      <c r="AG467" s="7">
        <f t="shared" si="82"/>
        <v>200590.68340000001</v>
      </c>
      <c r="AH467" s="1">
        <f t="shared" si="78"/>
        <v>17.693524909845245</v>
      </c>
    </row>
    <row r="468" spans="1:34" x14ac:dyDescent="0.25">
      <c r="A468" s="13" t="s">
        <v>0</v>
      </c>
      <c r="B468" s="19">
        <v>46124</v>
      </c>
      <c r="C468" s="7">
        <v>4738</v>
      </c>
      <c r="D468" s="7">
        <v>22980</v>
      </c>
      <c r="E468" s="7">
        <v>0</v>
      </c>
      <c r="F468" s="7">
        <v>0</v>
      </c>
      <c r="G468" s="7">
        <v>5715.5</v>
      </c>
      <c r="H468" s="7">
        <v>7446</v>
      </c>
      <c r="I468" s="7">
        <v>0</v>
      </c>
      <c r="J468" s="2">
        <v>17.85000038146973</v>
      </c>
      <c r="K468" s="23">
        <f t="shared" si="80"/>
        <v>64799.614000000001</v>
      </c>
      <c r="L468" s="23">
        <f t="shared" si="79"/>
        <v>11.337523226314408</v>
      </c>
      <c r="M468" s="13" t="s">
        <v>9</v>
      </c>
      <c r="N468" s="7">
        <v>109973.52269168198</v>
      </c>
      <c r="O468" s="7">
        <v>58900.390625</v>
      </c>
      <c r="P468" s="7">
        <f t="shared" si="75"/>
        <v>66932.262073863632</v>
      </c>
      <c r="Q468" s="7">
        <v>20520</v>
      </c>
      <c r="R468" s="7">
        <v>0</v>
      </c>
      <c r="S468" s="7">
        <f t="shared" si="76"/>
        <v>0</v>
      </c>
      <c r="T468" s="7">
        <v>6467.2488797794795</v>
      </c>
      <c r="U468" s="7">
        <f t="shared" si="81"/>
        <v>666593.16942432034</v>
      </c>
      <c r="V468" s="7">
        <f t="shared" si="77"/>
        <v>103.07213806298573</v>
      </c>
      <c r="W468" s="14" t="s">
        <v>10</v>
      </c>
      <c r="X468" s="7">
        <v>170220</v>
      </c>
      <c r="Y468" s="7">
        <v>1117556.9090909092</v>
      </c>
      <c r="Z468" s="7">
        <v>1139727.2727272727</v>
      </c>
      <c r="AA468" s="7">
        <v>4051</v>
      </c>
      <c r="AB468" s="7">
        <v>4759</v>
      </c>
      <c r="AC468" s="7">
        <v>0</v>
      </c>
      <c r="AD468" s="7">
        <v>1345588.2000000002</v>
      </c>
      <c r="AE468" s="7">
        <v>100000</v>
      </c>
      <c r="AF468" s="7">
        <v>12113.71502494812</v>
      </c>
      <c r="AG468" s="7">
        <f t="shared" si="82"/>
        <v>215765.66763636365</v>
      </c>
      <c r="AH468" s="1">
        <f t="shared" si="78"/>
        <v>17.811684292720738</v>
      </c>
    </row>
    <row r="469" spans="1:34" x14ac:dyDescent="0.25">
      <c r="A469" s="13" t="s">
        <v>0</v>
      </c>
      <c r="B469" s="19">
        <v>46125</v>
      </c>
      <c r="C469" s="7">
        <v>6699</v>
      </c>
      <c r="D469" s="7">
        <v>38783.486427400443</v>
      </c>
      <c r="E469" s="7">
        <v>0</v>
      </c>
      <c r="F469" s="7">
        <v>0</v>
      </c>
      <c r="G469" s="7">
        <v>5691</v>
      </c>
      <c r="H469" s="7">
        <v>7415.8</v>
      </c>
      <c r="I469" s="7">
        <v>0</v>
      </c>
      <c r="J469" s="2">
        <v>20.89999961853027</v>
      </c>
      <c r="K469" s="23">
        <f t="shared" si="80"/>
        <v>94828.475077974232</v>
      </c>
      <c r="L469" s="23">
        <f t="shared" si="79"/>
        <v>16.662884392545113</v>
      </c>
      <c r="M469" s="13" t="s">
        <v>9</v>
      </c>
      <c r="N469" s="7">
        <v>69395.415647611022</v>
      </c>
      <c r="O469" s="7">
        <v>30000</v>
      </c>
      <c r="P469" s="7">
        <f t="shared" si="75"/>
        <v>34090.909090909088</v>
      </c>
      <c r="Q469" s="7">
        <v>10008</v>
      </c>
      <c r="R469" s="7">
        <v>0</v>
      </c>
      <c r="S469" s="7">
        <f t="shared" si="76"/>
        <v>0</v>
      </c>
      <c r="T469" s="7">
        <v>3655.5786723515484</v>
      </c>
      <c r="U469" s="7">
        <f t="shared" si="81"/>
        <v>344303.46198028163</v>
      </c>
      <c r="V469" s="7">
        <f t="shared" si="77"/>
        <v>94.185761774017365</v>
      </c>
      <c r="W469" s="14" t="s">
        <v>10</v>
      </c>
      <c r="X469" s="7">
        <v>144100</v>
      </c>
      <c r="Y469" s="7">
        <v>1064258.1818181819</v>
      </c>
      <c r="Z469" s="7">
        <v>1087272.7272727271</v>
      </c>
      <c r="AA469" s="7">
        <v>3923</v>
      </c>
      <c r="AB469" s="7">
        <v>3833</v>
      </c>
      <c r="AC469" s="7">
        <v>0</v>
      </c>
      <c r="AD469" s="7">
        <v>1282505.3999999999</v>
      </c>
      <c r="AE469" s="7">
        <v>125000</v>
      </c>
      <c r="AF469" s="7">
        <v>11769.142621421814</v>
      </c>
      <c r="AG469" s="7">
        <f t="shared" si="82"/>
        <v>194411.66645454546</v>
      </c>
      <c r="AH469" s="1">
        <f t="shared" si="78"/>
        <v>16.51876204649637</v>
      </c>
    </row>
    <row r="470" spans="1:34" x14ac:dyDescent="0.25">
      <c r="A470" s="13" t="s">
        <v>0</v>
      </c>
      <c r="B470" s="19">
        <v>46126</v>
      </c>
      <c r="C470" s="7">
        <v>7329</v>
      </c>
      <c r="D470" s="7">
        <v>40300.986427394477</v>
      </c>
      <c r="E470" s="7">
        <v>0</v>
      </c>
      <c r="F470" s="7">
        <v>0</v>
      </c>
      <c r="G470" s="7">
        <v>7192</v>
      </c>
      <c r="H470" s="7">
        <v>10485</v>
      </c>
      <c r="I470" s="7">
        <v>0</v>
      </c>
      <c r="J470" s="2">
        <v>24.5</v>
      </c>
      <c r="K470" s="23">
        <f t="shared" si="80"/>
        <v>102660.29007797118</v>
      </c>
      <c r="L470" s="23">
        <f t="shared" si="79"/>
        <v>14.274233881809119</v>
      </c>
      <c r="M470" s="13" t="s">
        <v>9</v>
      </c>
      <c r="N470" s="7">
        <v>110849.6287856847</v>
      </c>
      <c r="O470" s="7">
        <v>67000</v>
      </c>
      <c r="P470" s="7">
        <f t="shared" si="75"/>
        <v>76136.363636363632</v>
      </c>
      <c r="Q470" s="7">
        <v>25380</v>
      </c>
      <c r="R470" s="7">
        <v>0</v>
      </c>
      <c r="S470" s="7">
        <f t="shared" si="76"/>
        <v>0</v>
      </c>
      <c r="T470" s="7">
        <v>6793.9056947339559</v>
      </c>
      <c r="U470" s="7">
        <f t="shared" si="81"/>
        <v>760368.81068069919</v>
      </c>
      <c r="V470" s="7">
        <f t="shared" si="77"/>
        <v>111.91924716736514</v>
      </c>
      <c r="W470" s="14" t="s">
        <v>10</v>
      </c>
      <c r="X470" s="7">
        <v>161950</v>
      </c>
      <c r="Y470" s="7">
        <v>1115790.9090909089</v>
      </c>
      <c r="Z470" s="7">
        <v>1220909.0909090908</v>
      </c>
      <c r="AA470" s="7">
        <v>4015</v>
      </c>
      <c r="AB470" s="7">
        <v>4371</v>
      </c>
      <c r="AC470" s="7">
        <v>0</v>
      </c>
      <c r="AD470" s="7">
        <v>1277480.1600000001</v>
      </c>
      <c r="AE470" s="7">
        <v>137500</v>
      </c>
      <c r="AF470" s="7">
        <v>11508.604811878204</v>
      </c>
      <c r="AG470" s="7">
        <f t="shared" si="82"/>
        <v>212713.33421818182</v>
      </c>
      <c r="AH470" s="1">
        <f t="shared" si="78"/>
        <v>18.482981881403834</v>
      </c>
    </row>
    <row r="471" spans="1:34" x14ac:dyDescent="0.25">
      <c r="A471" s="13" t="s">
        <v>0</v>
      </c>
      <c r="B471" s="19">
        <v>46127</v>
      </c>
      <c r="C471" s="8">
        <v>14986</v>
      </c>
      <c r="D471" s="8">
        <v>37763</v>
      </c>
      <c r="E471" s="8">
        <v>0</v>
      </c>
      <c r="F471" s="7">
        <v>0</v>
      </c>
      <c r="G471" s="8">
        <v>9489</v>
      </c>
      <c r="H471" s="8">
        <v>9590</v>
      </c>
      <c r="I471" s="8">
        <v>0</v>
      </c>
      <c r="J471" s="2">
        <v>29.89999961853027</v>
      </c>
      <c r="K471" s="23">
        <f t="shared" si="80"/>
        <v>187147.288</v>
      </c>
      <c r="L471" s="23">
        <f t="shared" si="79"/>
        <v>19.722551164506271</v>
      </c>
      <c r="M471" s="13" t="s">
        <v>9</v>
      </c>
      <c r="N471" s="7">
        <v>140575.08675432205</v>
      </c>
      <c r="O471" s="7">
        <v>62799.8046875</v>
      </c>
      <c r="P471" s="7">
        <f t="shared" si="75"/>
        <v>71363.414417613632</v>
      </c>
      <c r="Q471" s="7">
        <v>25344</v>
      </c>
      <c r="R471" s="7">
        <v>0</v>
      </c>
      <c r="S471" s="7">
        <f t="shared" si="76"/>
        <v>0</v>
      </c>
      <c r="T471" s="7">
        <v>7904.2645045684185</v>
      </c>
      <c r="U471" s="7">
        <f t="shared" si="81"/>
        <v>738558.98281892308</v>
      </c>
      <c r="V471" s="7">
        <f t="shared" si="77"/>
        <v>93.438039983613777</v>
      </c>
      <c r="W471" s="14" t="s">
        <v>10</v>
      </c>
      <c r="X471" s="8">
        <v>149050</v>
      </c>
      <c r="Y471" s="8">
        <v>928193.54545454541</v>
      </c>
      <c r="Z471" s="8">
        <v>1023181.8181818181</v>
      </c>
      <c r="AA471" s="8">
        <v>4117</v>
      </c>
      <c r="AB471" s="8">
        <v>4426</v>
      </c>
      <c r="AC471" s="8">
        <v>0</v>
      </c>
      <c r="AD471" s="8">
        <v>1096036.92</v>
      </c>
      <c r="AE471" s="8">
        <v>137500</v>
      </c>
      <c r="AF471" s="8">
        <v>9927.0481024169931</v>
      </c>
      <c r="AG471" s="7">
        <f t="shared" si="82"/>
        <v>192319.88802727271</v>
      </c>
      <c r="AH471" s="1">
        <f t="shared" si="78"/>
        <v>19.373320854610096</v>
      </c>
    </row>
    <row r="472" spans="1:34" x14ac:dyDescent="0.25">
      <c r="A472" s="13" t="s">
        <v>0</v>
      </c>
      <c r="B472" s="19">
        <v>46128</v>
      </c>
      <c r="C472" s="7">
        <v>9812</v>
      </c>
      <c r="D472" s="7">
        <v>39122.324427395848</v>
      </c>
      <c r="E472" s="7">
        <v>0</v>
      </c>
      <c r="F472" s="7">
        <v>0</v>
      </c>
      <c r="G472" s="7">
        <v>8138</v>
      </c>
      <c r="H472" s="7">
        <v>8541</v>
      </c>
      <c r="I472" s="7">
        <v>0</v>
      </c>
      <c r="J472" s="2">
        <v>31</v>
      </c>
      <c r="K472" s="23">
        <f t="shared" si="80"/>
        <v>129876.22145797187</v>
      </c>
      <c r="L472" s="23">
        <f t="shared" si="79"/>
        <v>15.959230948386811</v>
      </c>
      <c r="M472" s="13" t="s">
        <v>9</v>
      </c>
      <c r="N472" s="7">
        <v>178296.70382213593</v>
      </c>
      <c r="O472" s="7">
        <v>61700.1953125</v>
      </c>
      <c r="P472" s="7">
        <f t="shared" si="75"/>
        <v>70113.858309659088</v>
      </c>
      <c r="Q472" s="7">
        <v>21780</v>
      </c>
      <c r="R472" s="7">
        <v>0</v>
      </c>
      <c r="S472" s="7">
        <f t="shared" si="76"/>
        <v>0</v>
      </c>
      <c r="T472" s="7">
        <v>7717.5524500040337</v>
      </c>
      <c r="U472" s="7">
        <f t="shared" si="81"/>
        <v>731767.28037507064</v>
      </c>
      <c r="V472" s="7">
        <f t="shared" si="77"/>
        <v>94.818569114446149</v>
      </c>
      <c r="W472" s="14" t="s">
        <v>10</v>
      </c>
      <c r="X472" s="7">
        <v>141420</v>
      </c>
      <c r="Y472" s="7">
        <v>803048.36363636353</v>
      </c>
      <c r="Z472" s="7">
        <v>898909.09090909082</v>
      </c>
      <c r="AA472" s="7">
        <v>3952</v>
      </c>
      <c r="AB472" s="7">
        <v>4413</v>
      </c>
      <c r="AC472" s="7">
        <v>0</v>
      </c>
      <c r="AD472" s="7">
        <v>961638.48</v>
      </c>
      <c r="AE472" s="7">
        <v>62500</v>
      </c>
      <c r="AF472" s="7">
        <v>8847.6080909729008</v>
      </c>
      <c r="AG472" s="7">
        <f t="shared" si="82"/>
        <v>174934.24647272727</v>
      </c>
      <c r="AH472" s="1">
        <f t="shared" si="78"/>
        <v>19.771925324225247</v>
      </c>
    </row>
    <row r="473" spans="1:34" x14ac:dyDescent="0.25">
      <c r="A473" s="13" t="s">
        <v>0</v>
      </c>
      <c r="B473" s="19">
        <v>46129</v>
      </c>
      <c r="C473" s="7">
        <v>16184</v>
      </c>
      <c r="D473" s="7">
        <v>41995</v>
      </c>
      <c r="E473" s="7">
        <v>0</v>
      </c>
      <c r="F473" s="7">
        <v>0</v>
      </c>
      <c r="G473" s="7">
        <v>7496</v>
      </c>
      <c r="H473" s="7">
        <v>9634</v>
      </c>
      <c r="I473" s="7">
        <v>0</v>
      </c>
      <c r="J473" s="2">
        <v>31.95000076293945</v>
      </c>
      <c r="K473" s="23">
        <f t="shared" si="80"/>
        <v>202726.802</v>
      </c>
      <c r="L473" s="23">
        <f t="shared" si="79"/>
        <v>27.04466408751334</v>
      </c>
      <c r="M473" s="13" t="s">
        <v>9</v>
      </c>
      <c r="N473" s="7">
        <v>178312.58804513514</v>
      </c>
      <c r="O473" s="7">
        <v>63907.602147382931</v>
      </c>
      <c r="P473" s="7">
        <f t="shared" si="75"/>
        <v>72622.275167480606</v>
      </c>
      <c r="Q473" s="7">
        <v>21852.718126771739</v>
      </c>
      <c r="R473" s="7">
        <v>0</v>
      </c>
      <c r="S473" s="7">
        <f t="shared" si="76"/>
        <v>0</v>
      </c>
      <c r="T473" s="7">
        <v>7586.8847109441413</v>
      </c>
      <c r="U473" s="7">
        <f t="shared" si="81"/>
        <v>751452.28710261185</v>
      </c>
      <c r="V473" s="7">
        <f t="shared" si="77"/>
        <v>99.046224601071899</v>
      </c>
      <c r="W473" s="14" t="s">
        <v>10</v>
      </c>
      <c r="X473" s="7">
        <v>83250</v>
      </c>
      <c r="Y473" s="7">
        <v>350872.09090909088</v>
      </c>
      <c r="Z473" s="7">
        <v>395727.27272727271</v>
      </c>
      <c r="AA473" s="7">
        <v>3954</v>
      </c>
      <c r="AB473" s="7">
        <v>4423</v>
      </c>
      <c r="AC473" s="7">
        <v>0</v>
      </c>
      <c r="AD473" s="7">
        <v>422868.6</v>
      </c>
      <c r="AE473" s="7">
        <v>37500</v>
      </c>
      <c r="AF473" s="7">
        <v>3856.6047960281371</v>
      </c>
      <c r="AG473" s="7">
        <f t="shared" si="82"/>
        <v>107128.15631818182</v>
      </c>
      <c r="AH473" s="1">
        <f t="shared" si="78"/>
        <v>27.777841387458626</v>
      </c>
    </row>
    <row r="474" spans="1:34" x14ac:dyDescent="0.25">
      <c r="A474" s="13" t="s">
        <v>0</v>
      </c>
      <c r="B474" s="19">
        <v>46130</v>
      </c>
      <c r="C474" s="7">
        <v>6353</v>
      </c>
      <c r="D474" s="7">
        <v>36738</v>
      </c>
      <c r="E474" s="7">
        <v>0</v>
      </c>
      <c r="F474" s="7">
        <v>0</v>
      </c>
      <c r="G474" s="7">
        <v>6305</v>
      </c>
      <c r="H474" s="7">
        <v>5334</v>
      </c>
      <c r="I474" s="7">
        <v>0</v>
      </c>
      <c r="J474" s="2">
        <v>31.75</v>
      </c>
      <c r="K474" s="23">
        <f t="shared" si="80"/>
        <v>89909.039000000004</v>
      </c>
      <c r="L474" s="23">
        <f t="shared" si="79"/>
        <v>14.259958604282316</v>
      </c>
      <c r="M474" s="13" t="s">
        <v>9</v>
      </c>
      <c r="N474" s="7">
        <v>170000</v>
      </c>
      <c r="O474" s="7">
        <v>55700</v>
      </c>
      <c r="P474" s="7">
        <f t="shared" si="75"/>
        <v>63295.454545454544</v>
      </c>
      <c r="Q474" s="7">
        <v>0</v>
      </c>
      <c r="R474" s="7">
        <v>0</v>
      </c>
      <c r="S474" s="7">
        <f t="shared" si="76"/>
        <v>0</v>
      </c>
      <c r="T474" s="7">
        <v>4889.8275862068967</v>
      </c>
      <c r="U474" s="7">
        <f t="shared" si="81"/>
        <v>574771.25</v>
      </c>
      <c r="V474" s="7">
        <f t="shared" si="77"/>
        <v>117.54427735270265</v>
      </c>
      <c r="W474" s="14" t="s">
        <v>10</v>
      </c>
      <c r="X474" s="7">
        <v>126290</v>
      </c>
      <c r="Y474" s="7">
        <v>647319.27272727271</v>
      </c>
      <c r="Z474" s="7">
        <v>697727.27272727271</v>
      </c>
      <c r="AA474" s="7">
        <v>4015</v>
      </c>
      <c r="AB474" s="7">
        <v>4147</v>
      </c>
      <c r="AC474" s="7">
        <v>0</v>
      </c>
      <c r="AD474" s="7">
        <v>658199.52</v>
      </c>
      <c r="AE474" s="7">
        <v>37500</v>
      </c>
      <c r="AF474" s="7">
        <v>5972.1299629211426</v>
      </c>
      <c r="AG474" s="7">
        <f t="shared" si="82"/>
        <v>149524.2648</v>
      </c>
      <c r="AH474" s="1">
        <f t="shared" si="78"/>
        <v>25.037007856216064</v>
      </c>
    </row>
    <row r="475" spans="1:34" x14ac:dyDescent="0.25">
      <c r="A475" s="13" t="s">
        <v>0</v>
      </c>
      <c r="B475" s="19">
        <v>46131</v>
      </c>
      <c r="C475" s="7">
        <v>9631</v>
      </c>
      <c r="D475" s="7">
        <v>35784</v>
      </c>
      <c r="E475" s="7">
        <v>0</v>
      </c>
      <c r="F475" s="7">
        <v>0</v>
      </c>
      <c r="G475" s="7">
        <v>6975</v>
      </c>
      <c r="H475" s="7">
        <v>0</v>
      </c>
      <c r="I475" s="7">
        <v>0</v>
      </c>
      <c r="J475" s="2">
        <v>33.049999237060547</v>
      </c>
      <c r="K475" s="23">
        <f t="shared" si="80"/>
        <v>126145.93299999999</v>
      </c>
      <c r="L475" s="23">
        <f t="shared" si="79"/>
        <v>18.085438422939067</v>
      </c>
      <c r="M475" s="13" t="s">
        <v>9</v>
      </c>
      <c r="N475" s="7">
        <v>115086.62232407928</v>
      </c>
      <c r="O475" s="7">
        <v>68418</v>
      </c>
      <c r="P475" s="7">
        <f t="shared" si="75"/>
        <v>77747.727272727279</v>
      </c>
      <c r="Q475" s="7">
        <v>864</v>
      </c>
      <c r="R475" s="7">
        <v>0</v>
      </c>
      <c r="S475" s="7">
        <f t="shared" si="76"/>
        <v>0</v>
      </c>
      <c r="T475" s="7">
        <v>4365.0097288205288</v>
      </c>
      <c r="U475" s="7">
        <f t="shared" si="81"/>
        <v>662181.30238528049</v>
      </c>
      <c r="V475" s="7">
        <f t="shared" si="77"/>
        <v>151.70213665576611</v>
      </c>
      <c r="W475" s="14" t="s">
        <v>10</v>
      </c>
      <c r="X475" s="7">
        <v>58714</v>
      </c>
      <c r="Y475" s="7">
        <v>488860.90909090906</v>
      </c>
      <c r="Z475" s="7">
        <v>523545.45454545447</v>
      </c>
      <c r="AA475" s="7">
        <v>3954</v>
      </c>
      <c r="AB475" s="7">
        <v>4423</v>
      </c>
      <c r="AC475" s="7">
        <v>0</v>
      </c>
      <c r="AD475" s="7">
        <v>482209.2</v>
      </c>
      <c r="AE475" s="7">
        <v>12500</v>
      </c>
      <c r="AF475" s="7">
        <v>4504.8500232696533</v>
      </c>
      <c r="AG475" s="7">
        <f t="shared" si="82"/>
        <v>102402.76845454545</v>
      </c>
      <c r="AH475" s="1">
        <f t="shared" si="78"/>
        <v>22.731670960317736</v>
      </c>
    </row>
    <row r="476" spans="1:34" x14ac:dyDescent="0.25">
      <c r="A476" s="13" t="s">
        <v>0</v>
      </c>
      <c r="B476" s="19">
        <v>46132</v>
      </c>
      <c r="C476" s="8">
        <v>9460</v>
      </c>
      <c r="D476" s="8">
        <v>45722</v>
      </c>
      <c r="E476" s="8">
        <v>12000</v>
      </c>
      <c r="F476" s="7">
        <v>0</v>
      </c>
      <c r="G476" s="8">
        <v>7645</v>
      </c>
      <c r="H476" s="8">
        <v>8260</v>
      </c>
      <c r="I476" s="8">
        <v>48000</v>
      </c>
      <c r="J476" s="2">
        <v>24.35000038146973</v>
      </c>
      <c r="K476" s="23">
        <f t="shared" si="80"/>
        <v>225298.59999999998</v>
      </c>
      <c r="L476" s="23">
        <f t="shared" si="79"/>
        <v>29.470058862001306</v>
      </c>
      <c r="M476" s="13" t="s">
        <v>9</v>
      </c>
      <c r="N476" s="7">
        <v>125543.71665258706</v>
      </c>
      <c r="O476" s="7">
        <v>78343</v>
      </c>
      <c r="P476" s="7">
        <f t="shared" si="75"/>
        <v>89026.136363636368</v>
      </c>
      <c r="Q476" s="7">
        <v>16416</v>
      </c>
      <c r="R476" s="7">
        <v>0</v>
      </c>
      <c r="S476" s="7">
        <f t="shared" si="76"/>
        <v>0</v>
      </c>
      <c r="T476" s="7">
        <v>5873.3031237771502</v>
      </c>
      <c r="U476" s="7">
        <f t="shared" si="81"/>
        <v>826021.43299281946</v>
      </c>
      <c r="V476" s="7">
        <f t="shared" si="77"/>
        <v>140.64001390440768</v>
      </c>
      <c r="W476" s="14" t="s">
        <v>10</v>
      </c>
      <c r="X476" s="8">
        <v>139710</v>
      </c>
      <c r="Y476" s="8">
        <v>908687.27272727271</v>
      </c>
      <c r="Z476" s="8">
        <v>961454.54545454541</v>
      </c>
      <c r="AA476" s="8">
        <v>3955</v>
      </c>
      <c r="AB476" s="8">
        <v>4227</v>
      </c>
      <c r="AC476" s="8">
        <v>0</v>
      </c>
      <c r="AD476" s="8">
        <v>894385.8</v>
      </c>
      <c r="AE476" s="8">
        <v>75000</v>
      </c>
      <c r="AF476" s="8">
        <v>8397.5984306335449</v>
      </c>
      <c r="AG476" s="7">
        <f t="shared" si="82"/>
        <v>177707.01972727274</v>
      </c>
      <c r="AH476" s="1">
        <f t="shared" si="78"/>
        <v>21.161647725261123</v>
      </c>
    </row>
    <row r="477" spans="1:34" x14ac:dyDescent="0.25">
      <c r="A477" s="13" t="s">
        <v>0</v>
      </c>
      <c r="B477" s="19">
        <v>46133</v>
      </c>
      <c r="C477" s="7">
        <v>10465</v>
      </c>
      <c r="D477" s="7">
        <v>43999</v>
      </c>
      <c r="E477" s="7">
        <v>0</v>
      </c>
      <c r="F477" s="7">
        <v>0</v>
      </c>
      <c r="G477" s="7">
        <v>6689</v>
      </c>
      <c r="H477" s="7">
        <v>10116</v>
      </c>
      <c r="I477" s="7">
        <v>0</v>
      </c>
      <c r="J477" s="2">
        <v>26.79999923706055</v>
      </c>
      <c r="K477" s="23">
        <f t="shared" si="80"/>
        <v>139678.88499999998</v>
      </c>
      <c r="L477" s="23">
        <f t="shared" si="79"/>
        <v>20.881878457168483</v>
      </c>
      <c r="M477" s="13" t="s">
        <v>9</v>
      </c>
      <c r="N477" s="7">
        <v>149465.66524250805</v>
      </c>
      <c r="O477" s="7">
        <v>89756</v>
      </c>
      <c r="P477" s="7">
        <f t="shared" si="75"/>
        <v>101995.45454545454</v>
      </c>
      <c r="Q477" s="7">
        <v>5040</v>
      </c>
      <c r="R477" s="7">
        <v>0</v>
      </c>
      <c r="S477" s="7">
        <f t="shared" si="76"/>
        <v>0</v>
      </c>
      <c r="T477" s="7">
        <v>5445.9162665379699</v>
      </c>
      <c r="U477" s="7">
        <f t="shared" si="81"/>
        <v>885898.43927367916</v>
      </c>
      <c r="V477" s="7">
        <f t="shared" si="77"/>
        <v>162.67206396782424</v>
      </c>
      <c r="W477" s="14" t="s">
        <v>10</v>
      </c>
      <c r="X477" s="7">
        <v>149960</v>
      </c>
      <c r="Y477" s="7">
        <v>1183541.0909090908</v>
      </c>
      <c r="Z477" s="7">
        <v>1263090.9090909089</v>
      </c>
      <c r="AA477" s="7">
        <v>3898</v>
      </c>
      <c r="AB477" s="7">
        <v>4141</v>
      </c>
      <c r="AC477" s="7">
        <v>0</v>
      </c>
      <c r="AD477" s="7">
        <v>1172698.56</v>
      </c>
      <c r="AE477" s="7">
        <v>87500</v>
      </c>
      <c r="AF477" s="7">
        <v>11053.168225574493</v>
      </c>
      <c r="AG477" s="7">
        <f t="shared" si="82"/>
        <v>204556.40858181819</v>
      </c>
      <c r="AH477" s="1">
        <f t="shared" si="78"/>
        <v>18.506586021962612</v>
      </c>
    </row>
    <row r="478" spans="1:34" x14ac:dyDescent="0.25">
      <c r="A478" s="13" t="s">
        <v>0</v>
      </c>
      <c r="B478" s="19">
        <v>46134</v>
      </c>
      <c r="C478" s="7">
        <v>15135</v>
      </c>
      <c r="D478" s="7">
        <v>44843</v>
      </c>
      <c r="E478" s="7">
        <v>0</v>
      </c>
      <c r="F478" s="7">
        <v>0</v>
      </c>
      <c r="G478" s="7">
        <v>6947</v>
      </c>
      <c r="H478" s="7">
        <v>7526</v>
      </c>
      <c r="I478" s="7">
        <v>0</v>
      </c>
      <c r="J478" s="2">
        <v>23.10000038146973</v>
      </c>
      <c r="K478" s="23">
        <f t="shared" si="80"/>
        <v>192427.33499999999</v>
      </c>
      <c r="L478" s="23">
        <f t="shared" si="79"/>
        <v>27.69934288181949</v>
      </c>
      <c r="M478" s="13" t="s">
        <v>9</v>
      </c>
      <c r="N478" s="7">
        <v>52936.556866273284</v>
      </c>
      <c r="O478" s="7">
        <v>11735.051186176861</v>
      </c>
      <c r="P478" s="7">
        <f t="shared" si="75"/>
        <v>13335.285438837342</v>
      </c>
      <c r="Q478" s="7">
        <v>0</v>
      </c>
      <c r="R478" s="7">
        <v>0</v>
      </c>
      <c r="S478" s="7">
        <f t="shared" si="76"/>
        <v>0</v>
      </c>
      <c r="T478" s="7">
        <v>1081.8017952048685</v>
      </c>
      <c r="U478" s="7">
        <f t="shared" si="81"/>
        <v>129826.03002067412</v>
      </c>
      <c r="V478" s="7">
        <f t="shared" si="77"/>
        <v>120.00907245313643</v>
      </c>
      <c r="W478" s="14" t="s">
        <v>10</v>
      </c>
      <c r="X478" s="7">
        <v>145100</v>
      </c>
      <c r="Y478" s="7">
        <v>1056469.3636363635</v>
      </c>
      <c r="Z478" s="7">
        <v>1125363.6363636362</v>
      </c>
      <c r="AA478" s="7">
        <v>4856</v>
      </c>
      <c r="AB478" s="7">
        <v>4250</v>
      </c>
      <c r="AC478" s="7">
        <v>0</v>
      </c>
      <c r="AD478" s="7">
        <v>1049205.96</v>
      </c>
      <c r="AE478" s="7">
        <v>75000</v>
      </c>
      <c r="AF478" s="7">
        <v>9713.5739398956302</v>
      </c>
      <c r="AG478" s="7">
        <f t="shared" si="82"/>
        <v>195053.10262727272</v>
      </c>
      <c r="AH478" s="1">
        <f t="shared" si="78"/>
        <v>20.080467172453368</v>
      </c>
    </row>
    <row r="479" spans="1:34" x14ac:dyDescent="0.25">
      <c r="A479" s="13" t="s">
        <v>0</v>
      </c>
      <c r="B479" s="19">
        <v>46135</v>
      </c>
      <c r="C479" s="7">
        <v>8456</v>
      </c>
      <c r="D479" s="7">
        <v>44622</v>
      </c>
      <c r="E479" s="7">
        <v>0</v>
      </c>
      <c r="F479" s="7">
        <v>0</v>
      </c>
      <c r="G479" s="7">
        <v>7274</v>
      </c>
      <c r="H479" s="7">
        <v>8264</v>
      </c>
      <c r="I479" s="7">
        <v>0</v>
      </c>
      <c r="J479" s="2">
        <v>20.60000038146973</v>
      </c>
      <c r="K479" s="23">
        <f t="shared" si="80"/>
        <v>117489.788</v>
      </c>
      <c r="L479" s="23">
        <f t="shared" si="79"/>
        <v>16.152019246631838</v>
      </c>
      <c r="M479" s="13" t="s">
        <v>9</v>
      </c>
      <c r="N479" s="7">
        <v>118842.66993719339</v>
      </c>
      <c r="O479" s="7">
        <v>59772.363567351931</v>
      </c>
      <c r="P479" s="7">
        <f t="shared" si="75"/>
        <v>67923.140417445378</v>
      </c>
      <c r="Q479" s="7">
        <v>0</v>
      </c>
      <c r="R479" s="7">
        <v>0</v>
      </c>
      <c r="S479" s="7">
        <f t="shared" si="76"/>
        <v>0</v>
      </c>
      <c r="T479" s="7">
        <v>4270.3101174506592</v>
      </c>
      <c r="U479" s="7">
        <f t="shared" si="81"/>
        <v>584365.09742688993</v>
      </c>
      <c r="V479" s="7">
        <f t="shared" si="77"/>
        <v>136.84371423959982</v>
      </c>
      <c r="W479" s="14" t="s">
        <v>10</v>
      </c>
      <c r="X479" s="7">
        <v>153530</v>
      </c>
      <c r="Y479" s="7">
        <v>1139792.4545454544</v>
      </c>
      <c r="Z479" s="7">
        <v>1212636.3636363635</v>
      </c>
      <c r="AA479" s="7">
        <v>5847</v>
      </c>
      <c r="AB479" s="7">
        <v>4142</v>
      </c>
      <c r="AC479" s="7">
        <v>0</v>
      </c>
      <c r="AD479" s="7">
        <v>1242731.1599999999</v>
      </c>
      <c r="AE479" s="7">
        <v>150000</v>
      </c>
      <c r="AF479" s="7">
        <v>11250.753116073609</v>
      </c>
      <c r="AG479" s="7">
        <f t="shared" si="82"/>
        <v>213230.71599090908</v>
      </c>
      <c r="AH479" s="1">
        <f t="shared" si="78"/>
        <v>18.952572667004205</v>
      </c>
    </row>
    <row r="480" spans="1:34" x14ac:dyDescent="0.25">
      <c r="A480" s="13" t="s">
        <v>0</v>
      </c>
      <c r="B480" s="19">
        <v>46136</v>
      </c>
      <c r="C480" s="7">
        <v>16147</v>
      </c>
      <c r="D480" s="7">
        <v>44616</v>
      </c>
      <c r="E480" s="7">
        <v>0</v>
      </c>
      <c r="F480" s="7">
        <v>0</v>
      </c>
      <c r="G480" s="7">
        <v>8210</v>
      </c>
      <c r="H480" s="7">
        <v>7848</v>
      </c>
      <c r="I480" s="7">
        <v>0</v>
      </c>
      <c r="J480" s="2">
        <v>25.95000076293945</v>
      </c>
      <c r="K480" s="23">
        <f t="shared" si="80"/>
        <v>203649.00099999999</v>
      </c>
      <c r="L480" s="23">
        <f t="shared" si="79"/>
        <v>24.804994031668695</v>
      </c>
      <c r="M480" s="13" t="s">
        <v>9</v>
      </c>
      <c r="N480" s="7">
        <v>124860</v>
      </c>
      <c r="O480" s="7">
        <v>75030</v>
      </c>
      <c r="P480" s="7">
        <f t="shared" si="75"/>
        <v>85261.363636363632</v>
      </c>
      <c r="Q480" s="7">
        <v>0</v>
      </c>
      <c r="R480" s="7">
        <v>0</v>
      </c>
      <c r="S480" s="7">
        <f t="shared" si="76"/>
        <v>0</v>
      </c>
      <c r="T480" s="7">
        <v>4450</v>
      </c>
      <c r="U480" s="7">
        <f t="shared" si="81"/>
        <v>721128.97499999998</v>
      </c>
      <c r="V480" s="7">
        <f t="shared" si="77"/>
        <v>162.05145505617978</v>
      </c>
      <c r="W480" s="14" t="s">
        <v>10</v>
      </c>
      <c r="X480" s="7">
        <v>154750</v>
      </c>
      <c r="Y480" s="7">
        <v>1174871.6363636362</v>
      </c>
      <c r="Z480" s="7">
        <v>1279818.1818181816</v>
      </c>
      <c r="AA480" s="7">
        <v>5812</v>
      </c>
      <c r="AB480" s="7">
        <v>4111</v>
      </c>
      <c r="AC480" s="7">
        <v>0</v>
      </c>
      <c r="AD480" s="7">
        <v>1188950.3999999999</v>
      </c>
      <c r="AE480" s="7">
        <v>100000</v>
      </c>
      <c r="AF480" s="7">
        <v>10820.185888519287</v>
      </c>
      <c r="AG480" s="7">
        <f t="shared" si="82"/>
        <v>213685.77945454544</v>
      </c>
      <c r="AH480" s="1">
        <f t="shared" si="78"/>
        <v>19.748808537686571</v>
      </c>
    </row>
    <row r="481" spans="1:34" x14ac:dyDescent="0.25">
      <c r="A481" s="13" t="s">
        <v>0</v>
      </c>
      <c r="B481" s="19">
        <v>46137</v>
      </c>
      <c r="C481" s="8">
        <v>7418</v>
      </c>
      <c r="D481" s="8">
        <v>38135</v>
      </c>
      <c r="E481" s="8">
        <v>0</v>
      </c>
      <c r="F481" s="7">
        <v>0</v>
      </c>
      <c r="G481" s="8">
        <v>7119</v>
      </c>
      <c r="H481" s="8">
        <v>7547</v>
      </c>
      <c r="I481" s="8">
        <v>0</v>
      </c>
      <c r="J481" s="2">
        <v>28.39999961853027</v>
      </c>
      <c r="K481" s="23">
        <f t="shared" si="80"/>
        <v>102552.704</v>
      </c>
      <c r="L481" s="23">
        <f t="shared" si="79"/>
        <v>14.405492906307066</v>
      </c>
      <c r="M481" s="13" t="s">
        <v>9</v>
      </c>
      <c r="N481" s="7">
        <v>116334.66580085456</v>
      </c>
      <c r="O481" s="7">
        <v>65421.178888652321</v>
      </c>
      <c r="P481" s="7">
        <f t="shared" si="75"/>
        <v>74342.248737104906</v>
      </c>
      <c r="Q481" s="7">
        <v>0</v>
      </c>
      <c r="R481" s="7">
        <v>0</v>
      </c>
      <c r="S481" s="7">
        <f t="shared" si="76"/>
        <v>0</v>
      </c>
      <c r="T481" s="7">
        <v>4223</v>
      </c>
      <c r="U481" s="7">
        <f t="shared" si="81"/>
        <v>632583.7595702518</v>
      </c>
      <c r="V481" s="7">
        <f t="shared" si="77"/>
        <v>149.79487557903192</v>
      </c>
      <c r="W481" s="14" t="s">
        <v>10</v>
      </c>
      <c r="X481" s="8">
        <v>158220</v>
      </c>
      <c r="Y481" s="8">
        <v>1107362.2727272725</v>
      </c>
      <c r="Z481" s="8">
        <v>1192909.0909090908</v>
      </c>
      <c r="AA481" s="8">
        <v>5847</v>
      </c>
      <c r="AB481" s="8">
        <v>4060</v>
      </c>
      <c r="AC481" s="8">
        <v>0</v>
      </c>
      <c r="AD481" s="8">
        <v>1111754.1599999999</v>
      </c>
      <c r="AE481" s="8">
        <v>87500</v>
      </c>
      <c r="AF481" s="8">
        <v>10052.206978454589</v>
      </c>
      <c r="AG481" s="7">
        <f t="shared" si="82"/>
        <v>208879.92808181816</v>
      </c>
      <c r="AH481" s="1">
        <f t="shared" si="78"/>
        <v>20.779509268911912</v>
      </c>
    </row>
    <row r="482" spans="1:34" x14ac:dyDescent="0.25">
      <c r="A482" s="13" t="s">
        <v>0</v>
      </c>
      <c r="B482" s="19">
        <v>46138</v>
      </c>
      <c r="C482" s="7">
        <v>6032</v>
      </c>
      <c r="D482" s="7">
        <v>19263</v>
      </c>
      <c r="E482" s="7">
        <v>0</v>
      </c>
      <c r="F482" s="7">
        <v>0</v>
      </c>
      <c r="G482" s="7">
        <v>8067</v>
      </c>
      <c r="H482" s="7">
        <v>7664</v>
      </c>
      <c r="I482" s="7">
        <v>0</v>
      </c>
      <c r="J482" s="2">
        <v>28.89999961853027</v>
      </c>
      <c r="K482" s="23">
        <f t="shared" si="80"/>
        <v>77400.626000000004</v>
      </c>
      <c r="L482" s="23">
        <f t="shared" si="79"/>
        <v>9.594722449485559</v>
      </c>
      <c r="M482" s="13" t="s">
        <v>9</v>
      </c>
      <c r="N482" s="7">
        <v>114568.98647525907</v>
      </c>
      <c r="O482" s="7">
        <v>60646.826751130902</v>
      </c>
      <c r="P482" s="7">
        <f t="shared" si="75"/>
        <v>68916.84858083057</v>
      </c>
      <c r="Q482" s="7">
        <v>0</v>
      </c>
      <c r="R482" s="7">
        <v>0</v>
      </c>
      <c r="S482" s="7">
        <f t="shared" si="76"/>
        <v>0</v>
      </c>
      <c r="T482" s="7">
        <v>3697.1828844018746</v>
      </c>
      <c r="U482" s="7">
        <f t="shared" si="81"/>
        <v>589848.00250916672</v>
      </c>
      <c r="V482" s="7">
        <f t="shared" si="77"/>
        <v>159.53984992132504</v>
      </c>
      <c r="W482" s="14" t="s">
        <v>10</v>
      </c>
      <c r="X482" s="7">
        <v>166113.28125</v>
      </c>
      <c r="Y482" s="7">
        <v>1265820.6363636362</v>
      </c>
      <c r="Z482" s="7">
        <v>1369272.7272727271</v>
      </c>
      <c r="AA482" s="7">
        <v>5814</v>
      </c>
      <c r="AB482" s="7">
        <v>4430</v>
      </c>
      <c r="AC482" s="7">
        <v>0</v>
      </c>
      <c r="AD482" s="7">
        <v>1257379.2</v>
      </c>
      <c r="AE482" s="7">
        <v>112500.00000000001</v>
      </c>
      <c r="AF482" s="7">
        <v>11580.104435691834</v>
      </c>
      <c r="AG482" s="7">
        <f t="shared" si="82"/>
        <v>228125.57684659088</v>
      </c>
      <c r="AH482" s="1">
        <f t="shared" si="78"/>
        <v>19.699785793249792</v>
      </c>
    </row>
    <row r="483" spans="1:34" x14ac:dyDescent="0.25">
      <c r="A483" s="13" t="s">
        <v>0</v>
      </c>
      <c r="B483" s="19">
        <v>46139</v>
      </c>
      <c r="C483" s="7">
        <v>13324</v>
      </c>
      <c r="D483" s="7">
        <v>32617</v>
      </c>
      <c r="E483" s="7">
        <v>10000</v>
      </c>
      <c r="F483" s="7">
        <v>0</v>
      </c>
      <c r="G483" s="7">
        <v>7032</v>
      </c>
      <c r="H483" s="7">
        <v>9319</v>
      </c>
      <c r="I483" s="7">
        <v>40000</v>
      </c>
      <c r="J483" s="2">
        <v>22.35000038146973</v>
      </c>
      <c r="K483" s="23">
        <f t="shared" si="80"/>
        <v>245903.44200000001</v>
      </c>
      <c r="L483" s="23">
        <f t="shared" si="79"/>
        <v>34.96920392491468</v>
      </c>
      <c r="M483" s="13" t="s">
        <v>9</v>
      </c>
      <c r="N483" s="7">
        <v>60841.103617936373</v>
      </c>
      <c r="O483" s="7">
        <v>64293.035652527578</v>
      </c>
      <c r="P483" s="7">
        <f t="shared" si="75"/>
        <v>73060.267786963159</v>
      </c>
      <c r="Q483" s="7">
        <v>0</v>
      </c>
      <c r="R483" s="7">
        <v>0</v>
      </c>
      <c r="S483" s="7">
        <f t="shared" si="76"/>
        <v>0</v>
      </c>
      <c r="T483" s="7">
        <v>4220.8691614175768</v>
      </c>
      <c r="U483" s="7">
        <f t="shared" si="81"/>
        <v>594396.68775042053</v>
      </c>
      <c r="V483" s="7">
        <f t="shared" si="77"/>
        <v>140.82329136939956</v>
      </c>
      <c r="W483" s="14" t="s">
        <v>10</v>
      </c>
      <c r="X483" s="7">
        <v>161335.9375</v>
      </c>
      <c r="Y483" s="7">
        <v>1290223.5454545454</v>
      </c>
      <c r="Z483" s="7">
        <v>1401727.2727272727</v>
      </c>
      <c r="AA483" s="7">
        <v>3103</v>
      </c>
      <c r="AB483" s="7">
        <v>4043</v>
      </c>
      <c r="AC483" s="7">
        <v>1480</v>
      </c>
      <c r="AD483" s="7">
        <v>1301002.56</v>
      </c>
      <c r="AE483" s="7">
        <v>112500</v>
      </c>
      <c r="AF483" s="7">
        <v>11957.869085502625</v>
      </c>
      <c r="AG483" s="7">
        <f t="shared" si="82"/>
        <v>218009.51029772728</v>
      </c>
      <c r="AH483" s="1">
        <f t="shared" si="78"/>
        <v>18.231468227230863</v>
      </c>
    </row>
    <row r="484" spans="1:34" x14ac:dyDescent="0.25">
      <c r="A484" s="13" t="s">
        <v>0</v>
      </c>
      <c r="B484" s="19">
        <v>46140</v>
      </c>
      <c r="C484" s="7">
        <v>12698</v>
      </c>
      <c r="D484" s="7">
        <v>31946</v>
      </c>
      <c r="E484" s="7">
        <v>0</v>
      </c>
      <c r="F484" s="7">
        <v>0</v>
      </c>
      <c r="G484" s="7">
        <v>8054</v>
      </c>
      <c r="H484" s="7">
        <v>9960</v>
      </c>
      <c r="I484" s="7">
        <v>0</v>
      </c>
      <c r="J484" s="2">
        <v>22.14999961853027</v>
      </c>
      <c r="K484" s="23">
        <f t="shared" si="80"/>
        <v>158548.15399999998</v>
      </c>
      <c r="L484" s="23">
        <f t="shared" si="79"/>
        <v>19.685641172088403</v>
      </c>
      <c r="M484" s="13" t="s">
        <v>9</v>
      </c>
      <c r="N484" s="7">
        <v>115000</v>
      </c>
      <c r="O484" s="7">
        <v>62278.289126762502</v>
      </c>
      <c r="P484" s="7">
        <f t="shared" si="75"/>
        <v>70770.783098593747</v>
      </c>
      <c r="Q484" s="7">
        <v>0</v>
      </c>
      <c r="R484" s="7">
        <v>0</v>
      </c>
      <c r="S484" s="7">
        <f t="shared" si="76"/>
        <v>0</v>
      </c>
      <c r="T484" s="7">
        <v>3655.4454347652572</v>
      </c>
      <c r="U484" s="7">
        <f t="shared" si="81"/>
        <v>604363.50847325637</v>
      </c>
      <c r="V484" s="7">
        <f t="shared" si="77"/>
        <v>165.332384044208</v>
      </c>
      <c r="W484" s="14" t="s">
        <v>10</v>
      </c>
      <c r="X484" s="7">
        <v>143027.34375</v>
      </c>
      <c r="Y484" s="7">
        <v>1318158.4545454544</v>
      </c>
      <c r="Z484" s="7">
        <v>1456272.7272727273</v>
      </c>
      <c r="AA484" s="7">
        <v>0</v>
      </c>
      <c r="AB484" s="7">
        <v>3809</v>
      </c>
      <c r="AC484" s="7">
        <v>3661</v>
      </c>
      <c r="AD484" s="7">
        <v>1355531.76</v>
      </c>
      <c r="AE484" s="7">
        <v>137500</v>
      </c>
      <c r="AF484" s="7">
        <v>12478.821625442504</v>
      </c>
      <c r="AG484" s="7">
        <f t="shared" si="82"/>
        <v>202677.66493977275</v>
      </c>
      <c r="AH484" s="1">
        <f t="shared" si="78"/>
        <v>16.241731072310742</v>
      </c>
    </row>
    <row r="485" spans="1:34" x14ac:dyDescent="0.25">
      <c r="A485" s="13" t="s">
        <v>0</v>
      </c>
      <c r="B485" s="19">
        <v>46141</v>
      </c>
      <c r="C485" s="7">
        <v>15048</v>
      </c>
      <c r="D485" s="7">
        <v>36450.449627397982</v>
      </c>
      <c r="E485" s="7">
        <v>0</v>
      </c>
      <c r="F485" s="7">
        <v>0</v>
      </c>
      <c r="G485" s="7">
        <v>20921</v>
      </c>
      <c r="H485" s="7">
        <v>17995</v>
      </c>
      <c r="I485" s="7">
        <v>0</v>
      </c>
      <c r="J485" s="2">
        <v>24.14999961853027</v>
      </c>
      <c r="K485" s="23">
        <f t="shared" si="80"/>
        <v>187172.47330997296</v>
      </c>
      <c r="L485" s="23">
        <f t="shared" si="79"/>
        <v>8.9466312943919011</v>
      </c>
      <c r="M485" s="13" t="s">
        <v>9</v>
      </c>
      <c r="N485" s="7">
        <v>116880.86782342196</v>
      </c>
      <c r="O485" s="7">
        <v>61088.610227270692</v>
      </c>
      <c r="P485" s="7">
        <f t="shared" si="75"/>
        <v>69418.875258262153</v>
      </c>
      <c r="Q485" s="7">
        <v>0</v>
      </c>
      <c r="R485" s="7">
        <v>0</v>
      </c>
      <c r="S485" s="7">
        <f t="shared" si="76"/>
        <v>0</v>
      </c>
      <c r="T485" s="7">
        <v>3760.647995227444</v>
      </c>
      <c r="U485" s="7">
        <f t="shared" si="81"/>
        <v>594898.18970640469</v>
      </c>
      <c r="V485" s="7">
        <f t="shared" si="77"/>
        <v>158.19034125538391</v>
      </c>
      <c r="W485" s="14" t="s">
        <v>10</v>
      </c>
      <c r="X485" s="7">
        <v>151480.46875</v>
      </c>
      <c r="Y485" s="7">
        <v>1245752.4545454544</v>
      </c>
      <c r="Z485" s="7">
        <v>1354000</v>
      </c>
      <c r="AA485" s="7">
        <v>3224</v>
      </c>
      <c r="AB485" s="7">
        <v>3849</v>
      </c>
      <c r="AC485" s="7">
        <v>2586</v>
      </c>
      <c r="AD485" s="7">
        <v>1255775.3999999999</v>
      </c>
      <c r="AE485" s="7">
        <v>100000</v>
      </c>
      <c r="AF485" s="7">
        <v>11580.843423690796</v>
      </c>
      <c r="AG485" s="7">
        <f t="shared" si="82"/>
        <v>208340.61501704543</v>
      </c>
      <c r="AH485" s="1">
        <f t="shared" si="78"/>
        <v>17.99010723095051</v>
      </c>
    </row>
    <row r="486" spans="1:34" x14ac:dyDescent="0.25">
      <c r="A486" s="13" t="s">
        <v>0</v>
      </c>
      <c r="B486" s="19">
        <v>46142</v>
      </c>
      <c r="C486" s="7">
        <v>11198</v>
      </c>
      <c r="D486" s="7">
        <v>38704.884027395441</v>
      </c>
      <c r="E486" s="7">
        <v>0</v>
      </c>
      <c r="F486" s="7">
        <v>0</v>
      </c>
      <c r="G486" s="7">
        <v>17652</v>
      </c>
      <c r="H486" s="7">
        <v>18810</v>
      </c>
      <c r="I486" s="7">
        <v>0</v>
      </c>
      <c r="J486" s="2">
        <v>23.899965250000001</v>
      </c>
      <c r="K486" s="23">
        <f t="shared" si="80"/>
        <v>145190.68485397167</v>
      </c>
      <c r="L486" s="23">
        <f t="shared" si="79"/>
        <v>8.2251690943786357</v>
      </c>
      <c r="M486" s="13" t="s">
        <v>9</v>
      </c>
      <c r="N486" s="7">
        <v>114430.26089051366</v>
      </c>
      <c r="O486" s="7">
        <v>72124.171697743805</v>
      </c>
      <c r="P486" s="7">
        <f t="shared" si="75"/>
        <v>81959.286020163418</v>
      </c>
      <c r="Q486" s="7">
        <v>0</v>
      </c>
      <c r="R486" s="7">
        <v>0</v>
      </c>
      <c r="S486" s="7">
        <f t="shared" si="76"/>
        <v>0</v>
      </c>
      <c r="T486" s="7">
        <v>3759.2510041371702</v>
      </c>
      <c r="U486" s="7">
        <f t="shared" si="81"/>
        <v>690347.48755564215</v>
      </c>
      <c r="V486" s="7">
        <f t="shared" si="77"/>
        <v>183.63963640520245</v>
      </c>
      <c r="W486" s="14" t="s">
        <v>10</v>
      </c>
      <c r="X486" s="7">
        <v>141132.8125</v>
      </c>
      <c r="Y486" s="7">
        <v>1028133.0909090908</v>
      </c>
      <c r="Z486" s="7">
        <v>1148090.9090909089</v>
      </c>
      <c r="AA486" s="7">
        <v>6481</v>
      </c>
      <c r="AB486" s="7">
        <v>3526</v>
      </c>
      <c r="AC486" s="7">
        <v>0</v>
      </c>
      <c r="AD486" s="7">
        <v>1075294.44</v>
      </c>
      <c r="AE486" s="7">
        <v>87500</v>
      </c>
      <c r="AF486" s="7">
        <v>9929.4239490890504</v>
      </c>
      <c r="AG486" s="7">
        <f t="shared" si="82"/>
        <v>195158.35315681819</v>
      </c>
      <c r="AH486" s="1">
        <f t="shared" si="78"/>
        <v>19.654549363331647</v>
      </c>
    </row>
    <row r="487" spans="1:34" x14ac:dyDescent="0.25">
      <c r="A487" s="15" t="s">
        <v>1</v>
      </c>
      <c r="B487" s="20">
        <v>45658</v>
      </c>
      <c r="C487" s="7">
        <v>2944</v>
      </c>
      <c r="D487" s="7">
        <v>7923.0000000008295</v>
      </c>
      <c r="E487" s="7">
        <v>0</v>
      </c>
      <c r="F487" s="7">
        <v>372</v>
      </c>
      <c r="G487" s="7">
        <v>8203</v>
      </c>
      <c r="H487" s="7">
        <v>6107</v>
      </c>
      <c r="I487" s="7">
        <v>0</v>
      </c>
      <c r="J487" s="2">
        <v>19.45000076293945</v>
      </c>
      <c r="K487" s="23">
        <f>C487*8.012+D487*0.58+E487*6.7+F487*5</f>
        <v>30042.668000000482</v>
      </c>
      <c r="L487" s="23">
        <f t="shared" si="79"/>
        <v>3.6624000975253543</v>
      </c>
      <c r="M487" s="12" t="s">
        <v>11</v>
      </c>
      <c r="N487" s="7">
        <v>33411</v>
      </c>
      <c r="O487" s="7">
        <v>39928.940000000017</v>
      </c>
      <c r="P487" s="7">
        <f t="shared" si="75"/>
        <v>45373.79545454547</v>
      </c>
      <c r="Q487" s="7">
        <v>57743</v>
      </c>
      <c r="R487" s="7">
        <v>0</v>
      </c>
      <c r="S487" s="7">
        <f t="shared" si="76"/>
        <v>0</v>
      </c>
      <c r="T487" s="3">
        <v>7128</v>
      </c>
      <c r="U487" s="7">
        <f>N487*0.58+P487*5.822+Q487*4.2+S487*9.12</f>
        <v>526065.21713636373</v>
      </c>
      <c r="V487" s="7">
        <f t="shared" si="77"/>
        <v>73.802639890062252</v>
      </c>
      <c r="W487" s="16"/>
      <c r="X487" s="11"/>
      <c r="AA487" s="11"/>
      <c r="AB487" s="11"/>
      <c r="AC487" s="11"/>
      <c r="AD487" s="11"/>
      <c r="AE487" s="11"/>
    </row>
    <row r="488" spans="1:34" x14ac:dyDescent="0.25">
      <c r="A488" s="15" t="s">
        <v>1</v>
      </c>
      <c r="B488" s="21">
        <v>45659</v>
      </c>
      <c r="C488" s="7">
        <v>4610</v>
      </c>
      <c r="D488" s="7">
        <v>13235.400000000662</v>
      </c>
      <c r="E488" s="7">
        <v>0</v>
      </c>
      <c r="F488" s="7">
        <v>396</v>
      </c>
      <c r="G488" s="7">
        <v>8272</v>
      </c>
      <c r="H488" s="7">
        <v>9030</v>
      </c>
      <c r="I488" s="7">
        <v>0</v>
      </c>
      <c r="J488" s="2">
        <v>20.39999961853027</v>
      </c>
      <c r="K488" s="23">
        <f>C488*8.012+D488*0.58+E488*6.7+F488*5</f>
        <v>46591.852000000385</v>
      </c>
      <c r="L488" s="23">
        <f t="shared" si="79"/>
        <v>5.6324772727273196</v>
      </c>
      <c r="M488" s="12" t="s">
        <v>11</v>
      </c>
      <c r="N488" s="7">
        <v>35488</v>
      </c>
      <c r="O488" s="7">
        <v>43765.62000000001</v>
      </c>
      <c r="P488" s="7">
        <f t="shared" si="75"/>
        <v>49733.659090909103</v>
      </c>
      <c r="Q488" s="7">
        <v>66153</v>
      </c>
      <c r="R488" s="7">
        <v>0</v>
      </c>
      <c r="S488" s="7">
        <f t="shared" si="76"/>
        <v>0</v>
      </c>
      <c r="T488" s="3">
        <v>8303</v>
      </c>
      <c r="U488" s="7">
        <f t="shared" ref="U488:U517" si="83">N488*0.58+P488*5.822+Q488*4.2+S488*9.12</f>
        <v>587975.00322727277</v>
      </c>
      <c r="V488" s="7">
        <f t="shared" si="77"/>
        <v>70.814766136007805</v>
      </c>
      <c r="W488" s="16"/>
      <c r="X488" s="11"/>
      <c r="AA488" s="11"/>
      <c r="AB488" s="11"/>
      <c r="AC488" s="11"/>
      <c r="AD488" s="11"/>
      <c r="AE488" s="11"/>
    </row>
    <row r="489" spans="1:34" x14ac:dyDescent="0.25">
      <c r="A489" s="15" t="s">
        <v>1</v>
      </c>
      <c r="B489" s="21">
        <v>45660</v>
      </c>
      <c r="C489" s="7">
        <v>2040</v>
      </c>
      <c r="D489" s="7">
        <v>12825</v>
      </c>
      <c r="E489" s="7">
        <v>4875</v>
      </c>
      <c r="F489" s="7">
        <v>389</v>
      </c>
      <c r="G489" s="7">
        <v>6326</v>
      </c>
      <c r="H489" s="7">
        <v>9643</v>
      </c>
      <c r="I489" s="7">
        <v>28749</v>
      </c>
      <c r="J489" s="2">
        <v>20.39999961853027</v>
      </c>
      <c r="K489" s="23">
        <f t="shared" ref="K489:K517" si="84">C489*8.012+D489*0.58+E489*6.7+F489*5</f>
        <v>58390.479999999996</v>
      </c>
      <c r="L489" s="23">
        <f t="shared" si="79"/>
        <v>9.2302371166613959</v>
      </c>
      <c r="M489" s="12" t="s">
        <v>11</v>
      </c>
      <c r="N489" s="7">
        <v>37852</v>
      </c>
      <c r="O489" s="7">
        <v>45831.849999999991</v>
      </c>
      <c r="P489" s="7">
        <f t="shared" si="75"/>
        <v>52081.647727272721</v>
      </c>
      <c r="Q489" s="7">
        <v>52673</v>
      </c>
      <c r="R489" s="7">
        <v>4496.8800000000037</v>
      </c>
      <c r="S489" s="7">
        <f t="shared" si="76"/>
        <v>5995.8400000000047</v>
      </c>
      <c r="T489" s="3">
        <v>8864</v>
      </c>
      <c r="U489" s="7">
        <f t="shared" si="83"/>
        <v>601082.17386818188</v>
      </c>
      <c r="V489" s="7">
        <f t="shared" si="77"/>
        <v>67.811617088016902</v>
      </c>
      <c r="W489" s="16"/>
      <c r="X489" s="11"/>
      <c r="AA489" s="11"/>
      <c r="AB489" s="11"/>
      <c r="AC489" s="11"/>
      <c r="AD489" s="11"/>
      <c r="AE489" s="11"/>
    </row>
    <row r="490" spans="1:34" x14ac:dyDescent="0.25">
      <c r="A490" s="15" t="s">
        <v>1</v>
      </c>
      <c r="B490" s="21">
        <v>45661</v>
      </c>
      <c r="C490" s="7">
        <v>4600</v>
      </c>
      <c r="D490" s="7">
        <v>14876.999999999169</v>
      </c>
      <c r="E490" s="7">
        <v>0</v>
      </c>
      <c r="F490" s="7">
        <v>406</v>
      </c>
      <c r="G490" s="7">
        <v>7545</v>
      </c>
      <c r="H490" s="7">
        <v>10404</v>
      </c>
      <c r="I490" s="7">
        <v>0</v>
      </c>
      <c r="J490" s="2">
        <v>21.14999961853027</v>
      </c>
      <c r="K490" s="23">
        <f t="shared" si="84"/>
        <v>47513.85999999952</v>
      </c>
      <c r="L490" s="23">
        <f t="shared" si="79"/>
        <v>6.2973969516235284</v>
      </c>
      <c r="M490" s="12" t="s">
        <v>11</v>
      </c>
      <c r="N490" s="7">
        <v>39228</v>
      </c>
      <c r="O490" s="7">
        <v>51536.189999999995</v>
      </c>
      <c r="P490" s="7">
        <f t="shared" si="75"/>
        <v>58563.852272727265</v>
      </c>
      <c r="Q490" s="7">
        <v>43903</v>
      </c>
      <c r="R490" s="7">
        <v>7494.8000000000065</v>
      </c>
      <c r="S490" s="7">
        <f t="shared" si="76"/>
        <v>9993.0666666666748</v>
      </c>
      <c r="T490" s="3">
        <v>8761</v>
      </c>
      <c r="U490" s="7">
        <f t="shared" si="83"/>
        <v>639240.35593181814</v>
      </c>
      <c r="V490" s="7">
        <f t="shared" si="77"/>
        <v>72.964314111610335</v>
      </c>
      <c r="W490" s="16"/>
      <c r="X490" s="11"/>
      <c r="AA490" s="11"/>
      <c r="AB490" s="11"/>
      <c r="AC490" s="11"/>
      <c r="AD490" s="11"/>
      <c r="AE490" s="11"/>
    </row>
    <row r="491" spans="1:34" x14ac:dyDescent="0.25">
      <c r="A491" s="15" t="s">
        <v>1</v>
      </c>
      <c r="B491" s="21">
        <v>45662</v>
      </c>
      <c r="C491" s="8">
        <v>2480</v>
      </c>
      <c r="D491" s="8">
        <v>9359.3999999990046</v>
      </c>
      <c r="E491" s="8">
        <v>0</v>
      </c>
      <c r="F491" s="8">
        <v>115</v>
      </c>
      <c r="G491" s="8">
        <v>4776</v>
      </c>
      <c r="H491" s="8">
        <v>6744</v>
      </c>
      <c r="I491" s="8">
        <v>0</v>
      </c>
      <c r="J491" s="2">
        <v>18.25</v>
      </c>
      <c r="K491" s="23">
        <f t="shared" si="84"/>
        <v>25873.211999999425</v>
      </c>
      <c r="L491" s="23">
        <f t="shared" si="79"/>
        <v>5.4173391959797792</v>
      </c>
      <c r="M491" s="12" t="s">
        <v>11</v>
      </c>
      <c r="N491" s="8">
        <v>38679</v>
      </c>
      <c r="O491" s="8">
        <v>52000.480000000003</v>
      </c>
      <c r="P491" s="7">
        <f t="shared" si="75"/>
        <v>59091.454545454551</v>
      </c>
      <c r="Q491" s="8">
        <v>42329</v>
      </c>
      <c r="R491" s="8">
        <v>11616.939999999986</v>
      </c>
      <c r="S491" s="7">
        <f t="shared" si="76"/>
        <v>15489.253333333314</v>
      </c>
      <c r="T491" s="3">
        <v>8348</v>
      </c>
      <c r="U491" s="7">
        <f t="shared" si="83"/>
        <v>685508.05876363616</v>
      </c>
      <c r="V491" s="7">
        <f t="shared" si="77"/>
        <v>82.116442113516555</v>
      </c>
      <c r="W491" s="16"/>
      <c r="X491" s="11"/>
      <c r="AA491" s="11"/>
      <c r="AB491" s="11"/>
      <c r="AC491" s="11"/>
      <c r="AD491" s="11"/>
      <c r="AE491" s="11"/>
    </row>
    <row r="492" spans="1:34" x14ac:dyDescent="0.25">
      <c r="A492" s="15" t="s">
        <v>1</v>
      </c>
      <c r="B492" s="21">
        <v>45663</v>
      </c>
      <c r="C492" s="7">
        <v>4318</v>
      </c>
      <c r="D492" s="7">
        <v>6897.0000000033169</v>
      </c>
      <c r="E492" s="7">
        <v>0</v>
      </c>
      <c r="F492" s="7">
        <v>179</v>
      </c>
      <c r="G492" s="7">
        <v>6094</v>
      </c>
      <c r="H492" s="7">
        <v>4022</v>
      </c>
      <c r="I492" s="7">
        <v>0</v>
      </c>
      <c r="J492" s="2">
        <v>19.95000076293945</v>
      </c>
      <c r="K492" s="23">
        <f t="shared" si="84"/>
        <v>39491.076000001922</v>
      </c>
      <c r="L492" s="23">
        <f t="shared" si="79"/>
        <v>6.4803209714476404</v>
      </c>
      <c r="M492" s="12" t="s">
        <v>11</v>
      </c>
      <c r="N492" s="7">
        <v>32695</v>
      </c>
      <c r="O492" s="7">
        <v>31573.839999999997</v>
      </c>
      <c r="P492" s="7">
        <f t="shared" si="75"/>
        <v>35879.363636363632</v>
      </c>
      <c r="Q492" s="7">
        <v>57312</v>
      </c>
      <c r="R492" s="7">
        <v>0</v>
      </c>
      <c r="S492" s="7">
        <f t="shared" si="76"/>
        <v>0</v>
      </c>
      <c r="T492" s="3">
        <v>7494</v>
      </c>
      <c r="U492" s="7">
        <f t="shared" si="83"/>
        <v>468563.1550909091</v>
      </c>
      <c r="V492" s="7">
        <f t="shared" si="77"/>
        <v>62.525107431399668</v>
      </c>
      <c r="W492" s="16"/>
      <c r="X492" s="11"/>
      <c r="AA492" s="11"/>
      <c r="AB492" s="11"/>
      <c r="AC492" s="11"/>
      <c r="AD492" s="11"/>
      <c r="AE492" s="11"/>
    </row>
    <row r="493" spans="1:34" x14ac:dyDescent="0.25">
      <c r="A493" s="15" t="s">
        <v>1</v>
      </c>
      <c r="B493" s="21">
        <v>45664</v>
      </c>
      <c r="C493" s="7">
        <v>2834</v>
      </c>
      <c r="D493" s="7">
        <v>14648.999999998339</v>
      </c>
      <c r="E493" s="7">
        <v>0</v>
      </c>
      <c r="F493" s="7">
        <v>451</v>
      </c>
      <c r="G493" s="7">
        <v>7266</v>
      </c>
      <c r="H493" s="7">
        <v>10002</v>
      </c>
      <c r="I493" s="7">
        <v>0</v>
      </c>
      <c r="J493" s="2">
        <v>21.14999961853027</v>
      </c>
      <c r="K493" s="23">
        <f t="shared" si="84"/>
        <v>33457.427999999039</v>
      </c>
      <c r="L493" s="23">
        <f t="shared" si="79"/>
        <v>4.6046556564821142</v>
      </c>
      <c r="M493" s="12" t="s">
        <v>11</v>
      </c>
      <c r="N493" s="7">
        <v>33157</v>
      </c>
      <c r="O493" s="7">
        <v>29287.679999999993</v>
      </c>
      <c r="P493" s="7">
        <f t="shared" si="75"/>
        <v>33281.454545454537</v>
      </c>
      <c r="Q493" s="7">
        <v>67855</v>
      </c>
      <c r="R493" s="7">
        <v>15364.34</v>
      </c>
      <c r="S493" s="7">
        <f t="shared" si="76"/>
        <v>20485.786666666667</v>
      </c>
      <c r="T493" s="3">
        <v>7780</v>
      </c>
      <c r="U493" s="7">
        <f t="shared" si="83"/>
        <v>684817.06276363623</v>
      </c>
      <c r="V493" s="7">
        <f t="shared" si="77"/>
        <v>88.022758709978945</v>
      </c>
      <c r="W493" s="16"/>
      <c r="X493" s="11"/>
      <c r="AA493" s="11"/>
      <c r="AB493" s="11"/>
      <c r="AC493" s="11"/>
      <c r="AD493" s="11"/>
      <c r="AE493" s="11"/>
    </row>
    <row r="494" spans="1:34" x14ac:dyDescent="0.25">
      <c r="A494" s="15" t="s">
        <v>1</v>
      </c>
      <c r="B494" s="21">
        <v>45665</v>
      </c>
      <c r="C494" s="7">
        <v>4488</v>
      </c>
      <c r="D494" s="7">
        <v>14945.400000000662</v>
      </c>
      <c r="E494" s="7">
        <v>0</v>
      </c>
      <c r="F494" s="7">
        <v>430</v>
      </c>
      <c r="G494" s="7">
        <v>7224</v>
      </c>
      <c r="H494" s="7">
        <v>9852</v>
      </c>
      <c r="I494" s="7">
        <v>0</v>
      </c>
      <c r="J494" s="2">
        <v>22.54999923706055</v>
      </c>
      <c r="K494" s="23">
        <f t="shared" si="84"/>
        <v>46776.18800000038</v>
      </c>
      <c r="L494" s="23">
        <f t="shared" si="79"/>
        <v>6.4751090808416913</v>
      </c>
      <c r="M494" s="12" t="s">
        <v>11</v>
      </c>
      <c r="N494" s="7">
        <v>31847</v>
      </c>
      <c r="O494" s="7">
        <v>24143.08</v>
      </c>
      <c r="P494" s="7">
        <f t="shared" si="75"/>
        <v>27435.318181818184</v>
      </c>
      <c r="Q494" s="7">
        <v>65103</v>
      </c>
      <c r="R494" s="7">
        <v>4496.8800000000037</v>
      </c>
      <c r="S494" s="7">
        <f t="shared" si="76"/>
        <v>5995.8400000000047</v>
      </c>
      <c r="T494" s="3">
        <v>7832</v>
      </c>
      <c r="U494" s="7">
        <f t="shared" si="83"/>
        <v>506314.34325454553</v>
      </c>
      <c r="V494" s="7">
        <f t="shared" si="77"/>
        <v>64.646877330764241</v>
      </c>
      <c r="W494" s="16"/>
      <c r="X494" s="11"/>
      <c r="AA494" s="11"/>
      <c r="AB494" s="11"/>
      <c r="AC494" s="11"/>
      <c r="AD494" s="11"/>
      <c r="AE494" s="11"/>
    </row>
    <row r="495" spans="1:34" x14ac:dyDescent="0.25">
      <c r="A495" s="15" t="s">
        <v>1</v>
      </c>
      <c r="B495" s="21">
        <v>45666</v>
      </c>
      <c r="C495" s="7">
        <v>3337</v>
      </c>
      <c r="D495" s="7">
        <v>6874.199999998672</v>
      </c>
      <c r="E495" s="7">
        <v>3850</v>
      </c>
      <c r="F495" s="7">
        <v>461</v>
      </c>
      <c r="G495" s="7">
        <v>10532</v>
      </c>
      <c r="H495" s="7">
        <v>4543</v>
      </c>
      <c r="I495" s="7">
        <v>23950</v>
      </c>
      <c r="J495" s="2">
        <v>23.20000076293945</v>
      </c>
      <c r="K495" s="23">
        <f t="shared" si="84"/>
        <v>58823.07999999923</v>
      </c>
      <c r="L495" s="23">
        <f t="shared" si="79"/>
        <v>5.5851766046334248</v>
      </c>
      <c r="M495" s="12" t="s">
        <v>11</v>
      </c>
      <c r="N495" s="7">
        <v>16536</v>
      </c>
      <c r="O495" s="7">
        <v>11698.429999999997</v>
      </c>
      <c r="P495" s="7">
        <f t="shared" si="75"/>
        <v>13293.67045454545</v>
      </c>
      <c r="Q495" s="7">
        <v>19525</v>
      </c>
      <c r="R495" s="7">
        <v>10808.320000000023</v>
      </c>
      <c r="S495" s="7">
        <f t="shared" si="76"/>
        <v>14411.093333333365</v>
      </c>
      <c r="T495" s="3">
        <v>2956</v>
      </c>
      <c r="U495" s="7">
        <f t="shared" si="83"/>
        <v>300420.80058636388</v>
      </c>
      <c r="V495" s="7">
        <f t="shared" si="77"/>
        <v>101.63085270174692</v>
      </c>
      <c r="W495" s="16"/>
      <c r="X495" s="11"/>
      <c r="AA495" s="11"/>
      <c r="AB495" s="11"/>
      <c r="AC495" s="11"/>
      <c r="AD495" s="11"/>
      <c r="AE495" s="11"/>
    </row>
    <row r="496" spans="1:34" x14ac:dyDescent="0.25">
      <c r="A496" s="15" t="s">
        <v>1</v>
      </c>
      <c r="B496" s="21">
        <v>45667</v>
      </c>
      <c r="C496" s="8">
        <v>4750</v>
      </c>
      <c r="D496" s="8">
        <v>13030.20000000033</v>
      </c>
      <c r="E496" s="8">
        <v>0</v>
      </c>
      <c r="F496" s="8">
        <v>458</v>
      </c>
      <c r="G496" s="8">
        <v>9085</v>
      </c>
      <c r="H496" s="8">
        <v>8842</v>
      </c>
      <c r="I496" s="8">
        <v>0</v>
      </c>
      <c r="J496" s="2">
        <v>22.79999923706055</v>
      </c>
      <c r="K496" s="23">
        <f t="shared" si="84"/>
        <v>47904.516000000192</v>
      </c>
      <c r="L496" s="23">
        <f t="shared" si="79"/>
        <v>5.2729241607044788</v>
      </c>
      <c r="M496" s="12" t="s">
        <v>11</v>
      </c>
      <c r="N496" s="8">
        <v>27082</v>
      </c>
      <c r="O496" s="8">
        <v>24607.370000000003</v>
      </c>
      <c r="P496" s="7">
        <f t="shared" si="75"/>
        <v>27962.920454545456</v>
      </c>
      <c r="Q496" s="8">
        <v>62720</v>
      </c>
      <c r="R496" s="8">
        <v>1498.9600000000014</v>
      </c>
      <c r="S496" s="7">
        <f t="shared" si="76"/>
        <v>1998.6133333333353</v>
      </c>
      <c r="T496" s="3">
        <v>7075</v>
      </c>
      <c r="U496" s="7">
        <f t="shared" si="83"/>
        <v>460159.03648636368</v>
      </c>
      <c r="V496" s="7">
        <f t="shared" si="77"/>
        <v>65.040146499839395</v>
      </c>
      <c r="W496" s="16"/>
      <c r="X496" s="11"/>
      <c r="AA496" s="11"/>
      <c r="AB496" s="11"/>
      <c r="AC496" s="11"/>
      <c r="AD496" s="11"/>
      <c r="AE496" s="11"/>
    </row>
    <row r="497" spans="1:31" x14ac:dyDescent="0.25">
      <c r="A497" s="15" t="s">
        <v>1</v>
      </c>
      <c r="B497" s="21">
        <v>45668</v>
      </c>
      <c r="C497" s="7">
        <v>3300</v>
      </c>
      <c r="D497" s="7">
        <v>12619.799999999668</v>
      </c>
      <c r="E497" s="7">
        <v>0</v>
      </c>
      <c r="F497" s="7">
        <v>522</v>
      </c>
      <c r="G497" s="7">
        <v>8677</v>
      </c>
      <c r="H497" s="7">
        <v>10014</v>
      </c>
      <c r="I497" s="7">
        <v>0</v>
      </c>
      <c r="J497" s="2">
        <v>20.64999961853027</v>
      </c>
      <c r="K497" s="23">
        <f t="shared" si="84"/>
        <v>36369.083999999806</v>
      </c>
      <c r="L497" s="23">
        <f t="shared" si="79"/>
        <v>4.191435288694227</v>
      </c>
      <c r="M497" s="12" t="s">
        <v>11</v>
      </c>
      <c r="N497" s="7">
        <v>31174</v>
      </c>
      <c r="O497" s="7">
        <v>29714.560000000005</v>
      </c>
      <c r="P497" s="7">
        <f t="shared" si="75"/>
        <v>33766.545454545463</v>
      </c>
      <c r="Q497" s="7">
        <v>49266</v>
      </c>
      <c r="R497" s="7">
        <v>10867.460000000001</v>
      </c>
      <c r="S497" s="7">
        <f t="shared" si="76"/>
        <v>14489.946666666669</v>
      </c>
      <c r="T497" s="3">
        <v>6900</v>
      </c>
      <c r="U497" s="7">
        <f t="shared" si="83"/>
        <v>553735.26123636367</v>
      </c>
      <c r="V497" s="7">
        <f t="shared" si="77"/>
        <v>80.251487135704878</v>
      </c>
      <c r="W497" s="16"/>
      <c r="X497" s="11"/>
      <c r="AA497" s="11"/>
      <c r="AB497" s="11"/>
      <c r="AC497" s="11"/>
      <c r="AD497" s="11"/>
      <c r="AE497" s="11"/>
    </row>
    <row r="498" spans="1:31" x14ac:dyDescent="0.25">
      <c r="A498" s="15" t="s">
        <v>1</v>
      </c>
      <c r="B498" s="21">
        <v>45669</v>
      </c>
      <c r="C498" s="7">
        <v>2440</v>
      </c>
      <c r="D498" s="7">
        <v>10316.999999999171</v>
      </c>
      <c r="E498" s="7">
        <v>0</v>
      </c>
      <c r="F498" s="7">
        <v>121</v>
      </c>
      <c r="G498" s="7">
        <v>6839</v>
      </c>
      <c r="H498" s="7">
        <v>7831</v>
      </c>
      <c r="I498" s="7">
        <v>0</v>
      </c>
      <c r="J498" s="2">
        <v>20.39999961853027</v>
      </c>
      <c r="K498" s="23">
        <f t="shared" si="84"/>
        <v>26138.139999999519</v>
      </c>
      <c r="L498" s="23">
        <f t="shared" si="79"/>
        <v>3.821924257932376</v>
      </c>
      <c r="M498" s="12" t="s">
        <v>11</v>
      </c>
      <c r="N498" s="7">
        <v>33196</v>
      </c>
      <c r="O498" s="7">
        <v>39928.939999999995</v>
      </c>
      <c r="P498" s="7">
        <f t="shared" si="75"/>
        <v>45373.795454545449</v>
      </c>
      <c r="Q498" s="7">
        <v>50740</v>
      </c>
      <c r="R498" s="7">
        <v>10867.460000000001</v>
      </c>
      <c r="S498" s="7">
        <f t="shared" si="76"/>
        <v>14489.946666666669</v>
      </c>
      <c r="T498" s="3">
        <v>8006</v>
      </c>
      <c r="U498" s="7">
        <f t="shared" si="83"/>
        <v>628676.23073636356</v>
      </c>
      <c r="V498" s="7">
        <f t="shared" si="77"/>
        <v>78.52563461608338</v>
      </c>
      <c r="W498" s="16"/>
      <c r="X498" s="11"/>
      <c r="AA498" s="11"/>
      <c r="AB498" s="11"/>
      <c r="AC498" s="11"/>
      <c r="AD498" s="11"/>
      <c r="AE498" s="11"/>
    </row>
    <row r="499" spans="1:31" x14ac:dyDescent="0.25">
      <c r="A499" s="15" t="s">
        <v>1</v>
      </c>
      <c r="B499" s="21">
        <v>45670</v>
      </c>
      <c r="C499" s="7">
        <v>4907</v>
      </c>
      <c r="D499" s="7">
        <v>2998.2000000011612</v>
      </c>
      <c r="E499" s="7">
        <v>3775</v>
      </c>
      <c r="F499" s="7">
        <v>574</v>
      </c>
      <c r="G499" s="7">
        <v>8228</v>
      </c>
      <c r="H499" s="7">
        <v>2700</v>
      </c>
      <c r="I499" s="7">
        <v>28046</v>
      </c>
      <c r="J499" s="2">
        <v>18</v>
      </c>
      <c r="K499" s="23">
        <f t="shared" si="84"/>
        <v>69216.34000000068</v>
      </c>
      <c r="L499" s="23">
        <f t="shared" si="79"/>
        <v>8.412292173067657</v>
      </c>
      <c r="M499" s="12" t="s">
        <v>11</v>
      </c>
      <c r="N499" s="7">
        <v>31918</v>
      </c>
      <c r="O499" s="7">
        <v>39438.490000000005</v>
      </c>
      <c r="P499" s="7">
        <f t="shared" si="75"/>
        <v>44816.465909090912</v>
      </c>
      <c r="Q499" s="7">
        <v>38655</v>
      </c>
      <c r="R499" s="7">
        <v>8619.0200000000168</v>
      </c>
      <c r="S499" s="7">
        <f t="shared" si="76"/>
        <v>11492.026666666688</v>
      </c>
      <c r="T499" s="3">
        <v>7540</v>
      </c>
      <c r="U499" s="7">
        <f t="shared" si="83"/>
        <v>546592.18772272754</v>
      </c>
      <c r="V499" s="7">
        <f t="shared" si="77"/>
        <v>72.492332589221164</v>
      </c>
      <c r="W499" s="16"/>
      <c r="X499" s="11"/>
      <c r="AA499" s="11"/>
      <c r="AB499" s="11"/>
      <c r="AC499" s="11"/>
      <c r="AD499" s="11"/>
      <c r="AE499" s="11"/>
    </row>
    <row r="500" spans="1:31" x14ac:dyDescent="0.25">
      <c r="A500" s="15" t="s">
        <v>1</v>
      </c>
      <c r="B500" s="21">
        <v>45671</v>
      </c>
      <c r="C500" s="7">
        <v>3870</v>
      </c>
      <c r="D500" s="7">
        <v>14113.199999997012</v>
      </c>
      <c r="E500" s="7">
        <v>0</v>
      </c>
      <c r="F500" s="7">
        <v>440</v>
      </c>
      <c r="G500" s="7">
        <v>8934</v>
      </c>
      <c r="H500" s="7">
        <v>10241</v>
      </c>
      <c r="I500" s="7">
        <v>0</v>
      </c>
      <c r="J500" s="2">
        <v>18.35000038146973</v>
      </c>
      <c r="K500" s="23">
        <f t="shared" si="84"/>
        <v>41392.095999998266</v>
      </c>
      <c r="L500" s="23">
        <f t="shared" si="79"/>
        <v>4.6330978285200652</v>
      </c>
      <c r="M500" s="12" t="s">
        <v>11</v>
      </c>
      <c r="N500" s="7">
        <v>31882</v>
      </c>
      <c r="O500" s="7">
        <v>49254.5</v>
      </c>
      <c r="P500" s="7">
        <f t="shared" si="75"/>
        <v>55971.022727272728</v>
      </c>
      <c r="Q500" s="7">
        <v>38176</v>
      </c>
      <c r="R500" s="7">
        <v>11242.199999999993</v>
      </c>
      <c r="S500" s="7">
        <f t="shared" si="76"/>
        <v>14989.599999999991</v>
      </c>
      <c r="T500" s="3">
        <v>8164</v>
      </c>
      <c r="U500" s="7">
        <f t="shared" si="83"/>
        <v>641399.20631818171</v>
      </c>
      <c r="V500" s="7">
        <f t="shared" si="77"/>
        <v>78.564331984098686</v>
      </c>
      <c r="W500" s="16"/>
      <c r="X500" s="11"/>
      <c r="AA500" s="11"/>
      <c r="AB500" s="11"/>
      <c r="AC500" s="11"/>
      <c r="AD500" s="11"/>
      <c r="AE500" s="11"/>
    </row>
    <row r="501" spans="1:31" x14ac:dyDescent="0.25">
      <c r="A501" s="15" t="s">
        <v>1</v>
      </c>
      <c r="B501" s="21">
        <v>45672</v>
      </c>
      <c r="C501" s="8">
        <v>4688</v>
      </c>
      <c r="D501" s="8">
        <v>13030.200000000332</v>
      </c>
      <c r="E501" s="8">
        <v>0</v>
      </c>
      <c r="F501" s="8">
        <v>512</v>
      </c>
      <c r="G501" s="8">
        <v>9113</v>
      </c>
      <c r="H501" s="8">
        <v>9344</v>
      </c>
      <c r="I501" s="8">
        <v>0</v>
      </c>
      <c r="J501" s="2">
        <v>17.39999961853027</v>
      </c>
      <c r="K501" s="23">
        <f t="shared" si="84"/>
        <v>47677.772000000194</v>
      </c>
      <c r="L501" s="23">
        <f t="shared" si="79"/>
        <v>5.2318415450455609</v>
      </c>
      <c r="M501" s="12" t="s">
        <v>11</v>
      </c>
      <c r="N501" s="8">
        <v>34808</v>
      </c>
      <c r="O501" s="8">
        <v>52107.12999999999</v>
      </c>
      <c r="P501" s="7">
        <f t="shared" si="75"/>
        <v>59212.647727272713</v>
      </c>
      <c r="Q501" s="8">
        <v>40530</v>
      </c>
      <c r="R501" s="8">
        <v>10058.840000000006</v>
      </c>
      <c r="S501" s="7">
        <f t="shared" si="76"/>
        <v>13411.786666666674</v>
      </c>
      <c r="T501" s="3">
        <v>7240</v>
      </c>
      <c r="U501" s="7">
        <f t="shared" si="83"/>
        <v>657466.16946818179</v>
      </c>
      <c r="V501" s="7">
        <f t="shared" si="77"/>
        <v>90.810244401682567</v>
      </c>
      <c r="W501" s="16"/>
      <c r="X501" s="11"/>
      <c r="AA501" s="11"/>
      <c r="AB501" s="11"/>
      <c r="AC501" s="11"/>
      <c r="AD501" s="11"/>
      <c r="AE501" s="11"/>
    </row>
    <row r="502" spans="1:31" x14ac:dyDescent="0.25">
      <c r="A502" s="15" t="s">
        <v>1</v>
      </c>
      <c r="B502" s="21">
        <v>45673</v>
      </c>
      <c r="C502" s="7">
        <v>3320</v>
      </c>
      <c r="D502" s="7">
        <v>15241.800000002986</v>
      </c>
      <c r="E502" s="7">
        <v>7000</v>
      </c>
      <c r="F502" s="7">
        <v>530</v>
      </c>
      <c r="G502" s="7">
        <v>9599</v>
      </c>
      <c r="H502" s="7">
        <v>10604</v>
      </c>
      <c r="I502" s="7">
        <v>50000</v>
      </c>
      <c r="J502" s="2">
        <v>15.80000019073486</v>
      </c>
      <c r="K502" s="23">
        <f t="shared" si="84"/>
        <v>84990.084000001734</v>
      </c>
      <c r="L502" s="23">
        <f t="shared" si="79"/>
        <v>8.8540560475051286</v>
      </c>
      <c r="M502" s="12" t="s">
        <v>11</v>
      </c>
      <c r="N502" s="7">
        <v>32400</v>
      </c>
      <c r="O502" s="7">
        <v>48441.150000000009</v>
      </c>
      <c r="P502" s="7">
        <f t="shared" si="75"/>
        <v>55046.761363636375</v>
      </c>
      <c r="Q502" s="7">
        <v>39430</v>
      </c>
      <c r="R502" s="7">
        <v>13115.899999999987</v>
      </c>
      <c r="S502" s="7">
        <f t="shared" si="76"/>
        <v>17487.86666666665</v>
      </c>
      <c r="T502" s="3">
        <v>7792</v>
      </c>
      <c r="U502" s="7">
        <f t="shared" si="83"/>
        <v>664369.5886590908</v>
      </c>
      <c r="V502" s="7">
        <f t="shared" si="77"/>
        <v>85.263037558918228</v>
      </c>
      <c r="W502" s="16"/>
      <c r="X502" s="11"/>
      <c r="AA502" s="11"/>
      <c r="AB502" s="11"/>
      <c r="AC502" s="11"/>
      <c r="AD502" s="11"/>
      <c r="AE502" s="11"/>
    </row>
    <row r="503" spans="1:31" x14ac:dyDescent="0.25">
      <c r="A503" s="15" t="s">
        <v>1</v>
      </c>
      <c r="B503" s="21">
        <v>45674</v>
      </c>
      <c r="C503" s="7">
        <v>5200</v>
      </c>
      <c r="D503" s="7">
        <v>15104.999999999998</v>
      </c>
      <c r="E503" s="7">
        <v>0</v>
      </c>
      <c r="F503" s="7">
        <v>489</v>
      </c>
      <c r="G503" s="7">
        <v>9741</v>
      </c>
      <c r="H503" s="7">
        <v>11081</v>
      </c>
      <c r="I503" s="7">
        <v>0</v>
      </c>
      <c r="J503" s="2">
        <v>18.04999923706055</v>
      </c>
      <c r="K503" s="23">
        <f t="shared" si="84"/>
        <v>52868.3</v>
      </c>
      <c r="L503" s="23">
        <f t="shared" si="79"/>
        <v>5.4273996509598605</v>
      </c>
      <c r="M503" s="12" t="s">
        <v>11</v>
      </c>
      <c r="N503" s="7">
        <v>31937</v>
      </c>
      <c r="O503" s="7">
        <v>47798.55000000001</v>
      </c>
      <c r="P503" s="7">
        <f t="shared" si="75"/>
        <v>54316.534090909103</v>
      </c>
      <c r="Q503" s="7">
        <v>46258</v>
      </c>
      <c r="R503" s="7">
        <v>2544.0399999999972</v>
      </c>
      <c r="S503" s="7">
        <f t="shared" si="76"/>
        <v>3392.0533333333296</v>
      </c>
      <c r="T503" s="3">
        <v>7744</v>
      </c>
      <c r="U503" s="7">
        <f t="shared" si="83"/>
        <v>559973.44787727285</v>
      </c>
      <c r="V503" s="7">
        <f t="shared" si="77"/>
        <v>72.310620851920561</v>
      </c>
      <c r="W503" s="16"/>
      <c r="X503" s="11"/>
      <c r="AA503" s="11"/>
      <c r="AB503" s="11"/>
      <c r="AC503" s="11"/>
      <c r="AD503" s="11"/>
      <c r="AE503" s="11"/>
    </row>
    <row r="504" spans="1:31" x14ac:dyDescent="0.25">
      <c r="A504" s="15" t="s">
        <v>1</v>
      </c>
      <c r="B504" s="21">
        <v>45675</v>
      </c>
      <c r="C504" s="7">
        <v>2260</v>
      </c>
      <c r="D504" s="7">
        <v>14432.399999999832</v>
      </c>
      <c r="E504" s="7">
        <v>0</v>
      </c>
      <c r="F504" s="7">
        <v>536</v>
      </c>
      <c r="G504" s="7">
        <v>9634</v>
      </c>
      <c r="H504" s="7">
        <v>10297</v>
      </c>
      <c r="I504" s="7">
        <v>0</v>
      </c>
      <c r="J504" s="2">
        <v>18.35000038146973</v>
      </c>
      <c r="K504" s="23">
        <f t="shared" si="84"/>
        <v>29157.911999999906</v>
      </c>
      <c r="L504" s="23">
        <f t="shared" si="79"/>
        <v>3.0265634212165149</v>
      </c>
      <c r="M504" s="12" t="s">
        <v>11</v>
      </c>
      <c r="N504" s="7">
        <v>33419</v>
      </c>
      <c r="O504" s="7">
        <v>50607.610000000015</v>
      </c>
      <c r="P504" s="7">
        <f t="shared" si="75"/>
        <v>57508.647727272742</v>
      </c>
      <c r="Q504" s="7">
        <v>48865</v>
      </c>
      <c r="R504" s="7">
        <v>8993.7600000000075</v>
      </c>
      <c r="S504" s="7">
        <f t="shared" si="76"/>
        <v>11991.680000000009</v>
      </c>
      <c r="T504" s="3">
        <v>8615</v>
      </c>
      <c r="U504" s="7">
        <f t="shared" si="83"/>
        <v>668795.48866818205</v>
      </c>
      <c r="V504" s="7">
        <f t="shared" si="77"/>
        <v>77.631513484408828</v>
      </c>
      <c r="W504" s="16"/>
      <c r="X504" s="11"/>
      <c r="AA504" s="11"/>
      <c r="AB504" s="11"/>
      <c r="AC504" s="11"/>
      <c r="AD504" s="11"/>
      <c r="AE504" s="11"/>
    </row>
    <row r="505" spans="1:31" x14ac:dyDescent="0.25">
      <c r="A505" s="15" t="s">
        <v>1</v>
      </c>
      <c r="B505" s="21">
        <v>45676</v>
      </c>
      <c r="C505" s="7">
        <v>5620</v>
      </c>
      <c r="D505" s="7">
        <v>14546.399999998173</v>
      </c>
      <c r="E505" s="7">
        <v>0</v>
      </c>
      <c r="F505" s="7">
        <v>0</v>
      </c>
      <c r="G505" s="7">
        <v>6829</v>
      </c>
      <c r="H505" s="7">
        <v>10243</v>
      </c>
      <c r="I505" s="7">
        <v>0</v>
      </c>
      <c r="J505" s="2">
        <v>21.29999923706055</v>
      </c>
      <c r="K505" s="23">
        <f t="shared" si="84"/>
        <v>53464.351999998944</v>
      </c>
      <c r="L505" s="23">
        <f t="shared" si="79"/>
        <v>7.829016254209832</v>
      </c>
      <c r="M505" s="12" t="s">
        <v>11</v>
      </c>
      <c r="N505" s="7">
        <v>34180</v>
      </c>
      <c r="O505" s="7">
        <v>51071.899999999987</v>
      </c>
      <c r="P505" s="7">
        <f t="shared" si="75"/>
        <v>58036.249999999985</v>
      </c>
      <c r="Q505" s="7">
        <v>43647</v>
      </c>
      <c r="R505" s="7">
        <v>11991.679999999977</v>
      </c>
      <c r="S505" s="7">
        <f t="shared" si="76"/>
        <v>15988.906666666635</v>
      </c>
      <c r="T505" s="3">
        <v>8748</v>
      </c>
      <c r="U505" s="7">
        <f t="shared" si="83"/>
        <v>686847.67629999958</v>
      </c>
      <c r="V505" s="7">
        <f t="shared" si="77"/>
        <v>78.514823536808365</v>
      </c>
      <c r="W505" s="16"/>
      <c r="X505" s="11"/>
      <c r="AA505" s="11"/>
      <c r="AB505" s="11"/>
      <c r="AC505" s="11"/>
      <c r="AD505" s="11"/>
      <c r="AE505" s="11"/>
    </row>
    <row r="506" spans="1:31" x14ac:dyDescent="0.25">
      <c r="A506" s="15" t="s">
        <v>1</v>
      </c>
      <c r="B506" s="21">
        <v>45677</v>
      </c>
      <c r="C506" s="8">
        <v>2550</v>
      </c>
      <c r="D506" s="8">
        <v>7546.7999999988388</v>
      </c>
      <c r="E506" s="8">
        <v>0</v>
      </c>
      <c r="F506" s="8">
        <v>493</v>
      </c>
      <c r="G506" s="8">
        <v>6710</v>
      </c>
      <c r="H506" s="8">
        <v>6945</v>
      </c>
      <c r="I506" s="8">
        <v>0</v>
      </c>
      <c r="J506" s="2">
        <v>26.25</v>
      </c>
      <c r="K506" s="23">
        <f t="shared" si="84"/>
        <v>27272.743999999329</v>
      </c>
      <c r="L506" s="23">
        <f t="shared" si="79"/>
        <v>4.0644923994037745</v>
      </c>
      <c r="M506" s="12" t="s">
        <v>11</v>
      </c>
      <c r="N506" s="8">
        <v>33236</v>
      </c>
      <c r="O506" s="8">
        <v>52282.48</v>
      </c>
      <c r="P506" s="7">
        <f t="shared" si="75"/>
        <v>59411.909090909096</v>
      </c>
      <c r="Q506" s="8">
        <v>43016</v>
      </c>
      <c r="R506" s="8">
        <v>8244.2800000000243</v>
      </c>
      <c r="S506" s="7">
        <f t="shared" si="76"/>
        <v>10992.373333333366</v>
      </c>
      <c r="T506" s="3">
        <v>7737</v>
      </c>
      <c r="U506" s="7">
        <f t="shared" si="83"/>
        <v>646090.65952727303</v>
      </c>
      <c r="V506" s="7">
        <f t="shared" si="77"/>
        <v>83.506612320960713</v>
      </c>
      <c r="W506" s="16"/>
      <c r="X506" s="11"/>
      <c r="AA506" s="11"/>
      <c r="AB506" s="11"/>
      <c r="AC506" s="11"/>
      <c r="AD506" s="11"/>
      <c r="AE506" s="11"/>
    </row>
    <row r="507" spans="1:31" x14ac:dyDescent="0.25">
      <c r="A507" s="15" t="s">
        <v>1</v>
      </c>
      <c r="B507" s="21">
        <v>45678</v>
      </c>
      <c r="C507" s="7">
        <v>4639</v>
      </c>
      <c r="D507" s="7">
        <v>12961.799999998837</v>
      </c>
      <c r="E507" s="7">
        <v>8075</v>
      </c>
      <c r="F507" s="7">
        <v>521</v>
      </c>
      <c r="G507" s="7">
        <v>9476</v>
      </c>
      <c r="H507" s="7">
        <v>9883</v>
      </c>
      <c r="I507" s="7">
        <v>48000</v>
      </c>
      <c r="J507" s="2">
        <v>25.54999923706055</v>
      </c>
      <c r="K507" s="23">
        <f t="shared" si="84"/>
        <v>101393.01199999933</v>
      </c>
      <c r="L507" s="23">
        <f t="shared" si="79"/>
        <v>10.699980160405165</v>
      </c>
      <c r="M507" s="12" t="s">
        <v>11</v>
      </c>
      <c r="N507" s="7">
        <v>29457</v>
      </c>
      <c r="O507" s="7">
        <v>49326.649999999987</v>
      </c>
      <c r="P507" s="7">
        <f t="shared" si="75"/>
        <v>56053.011363636346</v>
      </c>
      <c r="Q507" s="7">
        <v>39077</v>
      </c>
      <c r="R507" s="7">
        <v>1873.6999999999935</v>
      </c>
      <c r="S507" s="7">
        <f t="shared" si="76"/>
        <v>2498.2666666666578</v>
      </c>
      <c r="T507" s="3">
        <v>6311</v>
      </c>
      <c r="U507" s="7">
        <f t="shared" si="83"/>
        <v>530333.28415909072</v>
      </c>
      <c r="V507" s="7">
        <f t="shared" si="77"/>
        <v>84.033161806225749</v>
      </c>
      <c r="W507" s="16"/>
      <c r="X507" s="11"/>
      <c r="AA507" s="11"/>
      <c r="AB507" s="11"/>
      <c r="AC507" s="11"/>
      <c r="AD507" s="11"/>
      <c r="AE507" s="11"/>
    </row>
    <row r="508" spans="1:31" x14ac:dyDescent="0.25">
      <c r="A508" s="15" t="s">
        <v>1</v>
      </c>
      <c r="B508" s="21">
        <v>45679</v>
      </c>
      <c r="C508" s="7">
        <v>3276</v>
      </c>
      <c r="D508" s="7">
        <v>12562.800000000496</v>
      </c>
      <c r="E508" s="7">
        <v>0</v>
      </c>
      <c r="F508" s="7">
        <v>535</v>
      </c>
      <c r="G508" s="7">
        <v>8406</v>
      </c>
      <c r="H508" s="7">
        <v>9961</v>
      </c>
      <c r="I508" s="7">
        <v>0</v>
      </c>
      <c r="J508" s="2">
        <v>21.60000038146973</v>
      </c>
      <c r="K508" s="23">
        <f t="shared" si="84"/>
        <v>36208.736000000288</v>
      </c>
      <c r="L508" s="23">
        <f t="shared" si="79"/>
        <v>4.3074870330716495</v>
      </c>
      <c r="M508" s="12" t="s">
        <v>11</v>
      </c>
      <c r="N508" s="7">
        <v>29948</v>
      </c>
      <c r="O508" s="7">
        <v>48771.180000000022</v>
      </c>
      <c r="P508" s="7">
        <f t="shared" si="75"/>
        <v>55421.795454545478</v>
      </c>
      <c r="Q508" s="7">
        <v>50281</v>
      </c>
      <c r="R508" s="7">
        <v>0</v>
      </c>
      <c r="S508" s="7">
        <f t="shared" si="76"/>
        <v>0</v>
      </c>
      <c r="T508" s="3">
        <v>8003</v>
      </c>
      <c r="U508" s="7">
        <f t="shared" si="83"/>
        <v>551215.73313636379</v>
      </c>
      <c r="V508" s="7">
        <f t="shared" si="77"/>
        <v>68.87613809026162</v>
      </c>
      <c r="W508" s="16"/>
      <c r="X508" s="11"/>
      <c r="AA508" s="11"/>
      <c r="AB508" s="11"/>
      <c r="AC508" s="11"/>
      <c r="AD508" s="11"/>
      <c r="AE508" s="11"/>
    </row>
    <row r="509" spans="1:31" x14ac:dyDescent="0.25">
      <c r="A509" s="15" t="s">
        <v>1</v>
      </c>
      <c r="B509" s="21">
        <v>45680</v>
      </c>
      <c r="C509" s="7">
        <v>5492</v>
      </c>
      <c r="D509" s="7">
        <v>7638.0000000008295</v>
      </c>
      <c r="E509" s="7">
        <v>2500</v>
      </c>
      <c r="F509" s="7">
        <v>300</v>
      </c>
      <c r="G509" s="7">
        <v>8443</v>
      </c>
      <c r="H509" s="7">
        <v>4893</v>
      </c>
      <c r="I509" s="7">
        <v>16683</v>
      </c>
      <c r="J509" s="2">
        <v>23.85000038146973</v>
      </c>
      <c r="K509" s="23">
        <f t="shared" si="84"/>
        <v>66681.944000000483</v>
      </c>
      <c r="L509" s="23">
        <f t="shared" si="79"/>
        <v>7.8978969560583305</v>
      </c>
      <c r="M509" s="12" t="s">
        <v>11</v>
      </c>
      <c r="N509" s="7">
        <v>31561</v>
      </c>
      <c r="O509" s="7">
        <v>44387.069999999985</v>
      </c>
      <c r="P509" s="7">
        <f t="shared" si="75"/>
        <v>50439.852272727258</v>
      </c>
      <c r="Q509" s="7">
        <v>53900</v>
      </c>
      <c r="R509" s="7">
        <v>22740</v>
      </c>
      <c r="S509" s="7">
        <f t="shared" si="76"/>
        <v>30320</v>
      </c>
      <c r="T509" s="3">
        <v>7807</v>
      </c>
      <c r="U509" s="7">
        <f t="shared" si="83"/>
        <v>814864.59993181797</v>
      </c>
      <c r="V509" s="7">
        <f t="shared" si="77"/>
        <v>104.37614960059152</v>
      </c>
      <c r="W509" s="16"/>
      <c r="X509" s="11"/>
      <c r="AA509" s="11"/>
      <c r="AB509" s="11"/>
      <c r="AC509" s="11"/>
      <c r="AD509" s="11"/>
      <c r="AE509" s="11"/>
    </row>
    <row r="510" spans="1:31" x14ac:dyDescent="0.25">
      <c r="A510" s="15" t="s">
        <v>1</v>
      </c>
      <c r="B510" s="21">
        <v>45681</v>
      </c>
      <c r="C510" s="7">
        <v>4460</v>
      </c>
      <c r="D510" s="7">
        <v>9963.5999999976757</v>
      </c>
      <c r="E510" s="7">
        <v>5700</v>
      </c>
      <c r="F510" s="7">
        <v>0</v>
      </c>
      <c r="G510" s="7">
        <v>8667</v>
      </c>
      <c r="H510" s="7">
        <v>7520</v>
      </c>
      <c r="I510" s="7">
        <v>33507</v>
      </c>
      <c r="J510" s="2">
        <v>19.64999961853027</v>
      </c>
      <c r="K510" s="23">
        <f t="shared" si="84"/>
        <v>79702.407999998657</v>
      </c>
      <c r="L510" s="23">
        <f t="shared" si="79"/>
        <v>9.1960779969999606</v>
      </c>
      <c r="M510" s="12" t="s">
        <v>11</v>
      </c>
      <c r="N510" s="7">
        <v>29572</v>
      </c>
      <c r="O510" s="7">
        <v>42300</v>
      </c>
      <c r="P510" s="7">
        <f t="shared" si="75"/>
        <v>48068.181818181816</v>
      </c>
      <c r="Q510" s="7">
        <v>49903</v>
      </c>
      <c r="R510" s="7">
        <v>0</v>
      </c>
      <c r="S510" s="7">
        <f t="shared" si="76"/>
        <v>0</v>
      </c>
      <c r="T510" s="3">
        <v>7608</v>
      </c>
      <c r="U510" s="7">
        <f t="shared" si="83"/>
        <v>506597.31454545457</v>
      </c>
      <c r="V510" s="7">
        <f t="shared" si="77"/>
        <v>66.587449335627568</v>
      </c>
      <c r="W510" s="16"/>
      <c r="X510" s="11"/>
      <c r="AA510" s="11"/>
      <c r="AB510" s="11"/>
      <c r="AC510" s="11"/>
      <c r="AD510" s="11"/>
      <c r="AE510" s="11"/>
    </row>
    <row r="511" spans="1:31" x14ac:dyDescent="0.25">
      <c r="A511" s="15" t="s">
        <v>1</v>
      </c>
      <c r="B511" s="21">
        <v>45682</v>
      </c>
      <c r="C511" s="8">
        <v>6055</v>
      </c>
      <c r="D511" s="8">
        <v>14603.399999997346</v>
      </c>
      <c r="E511" s="8">
        <v>0</v>
      </c>
      <c r="F511" s="8">
        <v>0</v>
      </c>
      <c r="G511" s="8">
        <v>9794</v>
      </c>
      <c r="H511" s="8">
        <v>10571</v>
      </c>
      <c r="I511" s="8">
        <v>0</v>
      </c>
      <c r="J511" s="2">
        <v>23.20000076293945</v>
      </c>
      <c r="K511" s="23">
        <f t="shared" si="84"/>
        <v>56982.631999998463</v>
      </c>
      <c r="L511" s="23">
        <f t="shared" si="79"/>
        <v>5.8181163977944115</v>
      </c>
      <c r="M511" s="12" t="s">
        <v>11</v>
      </c>
      <c r="N511" s="8">
        <v>29505</v>
      </c>
      <c r="O511" s="8">
        <v>39464.65</v>
      </c>
      <c r="P511" s="7">
        <f t="shared" si="75"/>
        <v>44846.193181818184</v>
      </c>
      <c r="Q511" s="8">
        <v>57062</v>
      </c>
      <c r="R511" s="8">
        <v>0</v>
      </c>
      <c r="S511" s="7">
        <f t="shared" si="76"/>
        <v>0</v>
      </c>
      <c r="T511" s="3">
        <v>7747</v>
      </c>
      <c r="U511" s="7">
        <f t="shared" si="83"/>
        <v>517867.83670454548</v>
      </c>
      <c r="V511" s="7">
        <f t="shared" si="77"/>
        <v>66.847532813288439</v>
      </c>
      <c r="W511" s="16"/>
      <c r="X511" s="11"/>
      <c r="AA511" s="11"/>
      <c r="AB511" s="11"/>
      <c r="AC511" s="11"/>
      <c r="AD511" s="11"/>
      <c r="AE511" s="11"/>
    </row>
    <row r="512" spans="1:31" x14ac:dyDescent="0.25">
      <c r="A512" s="15" t="s">
        <v>1</v>
      </c>
      <c r="B512" s="21">
        <v>45683</v>
      </c>
      <c r="C512" s="7">
        <v>4186</v>
      </c>
      <c r="D512" s="7">
        <v>12300.600000000994</v>
      </c>
      <c r="E512" s="7">
        <v>0</v>
      </c>
      <c r="F512" s="7">
        <v>0</v>
      </c>
      <c r="G512" s="7">
        <v>8466</v>
      </c>
      <c r="H512" s="7">
        <v>9370</v>
      </c>
      <c r="I512" s="7">
        <v>0</v>
      </c>
      <c r="J512" s="2">
        <v>20.85000038146973</v>
      </c>
      <c r="K512" s="23">
        <f t="shared" si="84"/>
        <v>40672.580000000577</v>
      </c>
      <c r="L512" s="23">
        <f t="shared" si="79"/>
        <v>4.8042263170329056</v>
      </c>
      <c r="M512" s="12" t="s">
        <v>11</v>
      </c>
      <c r="N512" s="7">
        <v>30980</v>
      </c>
      <c r="O512" s="7">
        <v>40857.519999999997</v>
      </c>
      <c r="P512" s="7">
        <f t="shared" si="75"/>
        <v>46428.999999999993</v>
      </c>
      <c r="Q512" s="7">
        <v>60740</v>
      </c>
      <c r="R512" s="7">
        <v>0</v>
      </c>
      <c r="S512" s="7">
        <f t="shared" si="76"/>
        <v>0</v>
      </c>
      <c r="T512" s="3">
        <v>7794</v>
      </c>
      <c r="U512" s="7">
        <f t="shared" si="83"/>
        <v>543386.03799999994</v>
      </c>
      <c r="V512" s="7">
        <f t="shared" si="77"/>
        <v>69.718506286887347</v>
      </c>
      <c r="W512" s="16"/>
      <c r="X512" s="11"/>
      <c r="AA512" s="11"/>
      <c r="AB512" s="11"/>
      <c r="AC512" s="11"/>
      <c r="AD512" s="11"/>
      <c r="AE512" s="11"/>
    </row>
    <row r="513" spans="1:31" x14ac:dyDescent="0.25">
      <c r="A513" s="15" t="s">
        <v>1</v>
      </c>
      <c r="B513" s="21">
        <v>45684</v>
      </c>
      <c r="C513" s="7">
        <v>3817</v>
      </c>
      <c r="D513" s="7">
        <v>8675.4000000006617</v>
      </c>
      <c r="E513" s="7">
        <v>0</v>
      </c>
      <c r="F513" s="7">
        <v>130</v>
      </c>
      <c r="G513" s="7">
        <v>7236</v>
      </c>
      <c r="H513" s="7">
        <v>6880</v>
      </c>
      <c r="I513" s="7">
        <v>0</v>
      </c>
      <c r="J513" s="2">
        <v>19.85000038146973</v>
      </c>
      <c r="K513" s="23">
        <f t="shared" si="84"/>
        <v>36263.536000000386</v>
      </c>
      <c r="L513" s="23">
        <f t="shared" si="79"/>
        <v>5.0115444997236578</v>
      </c>
      <c r="M513" s="12" t="s">
        <v>11</v>
      </c>
      <c r="N513" s="7">
        <v>26950</v>
      </c>
      <c r="O513" s="7">
        <v>25425.140000000007</v>
      </c>
      <c r="P513" s="7">
        <f t="shared" si="75"/>
        <v>28892.204545454551</v>
      </c>
      <c r="Q513" s="7">
        <v>47010</v>
      </c>
      <c r="R513" s="7">
        <v>0</v>
      </c>
      <c r="S513" s="7">
        <f t="shared" si="76"/>
        <v>0</v>
      </c>
      <c r="T513" s="3">
        <v>5819</v>
      </c>
      <c r="U513" s="7">
        <f t="shared" si="83"/>
        <v>381283.41486363637</v>
      </c>
      <c r="V513" s="7">
        <f t="shared" si="77"/>
        <v>65.523872635098186</v>
      </c>
      <c r="W513" s="16"/>
      <c r="X513" s="11"/>
      <c r="AA513" s="11"/>
      <c r="AB513" s="11"/>
      <c r="AC513" s="11"/>
      <c r="AD513" s="11"/>
      <c r="AE513" s="11"/>
    </row>
    <row r="514" spans="1:31" x14ac:dyDescent="0.25">
      <c r="A514" s="15" t="s">
        <v>1</v>
      </c>
      <c r="B514" s="21">
        <v>45685</v>
      </c>
      <c r="C514" s="7">
        <v>4818</v>
      </c>
      <c r="D514" s="7">
        <v>13406.400000002321</v>
      </c>
      <c r="E514" s="7">
        <v>6150</v>
      </c>
      <c r="F514" s="7">
        <v>355</v>
      </c>
      <c r="G514" s="7">
        <v>9472</v>
      </c>
      <c r="H514" s="7">
        <v>9911</v>
      </c>
      <c r="I514" s="7">
        <v>43901</v>
      </c>
      <c r="J514" s="2">
        <v>20.45000076293945</v>
      </c>
      <c r="K514" s="23">
        <f t="shared" si="84"/>
        <v>89357.528000001344</v>
      </c>
      <c r="L514" s="23">
        <f t="shared" si="79"/>
        <v>9.4338606418920339</v>
      </c>
      <c r="M514" s="12" t="s">
        <v>11</v>
      </c>
      <c r="N514" s="7">
        <v>33427</v>
      </c>
      <c r="O514" s="7">
        <v>40189.67</v>
      </c>
      <c r="P514" s="7">
        <f t="shared" ref="P514:P577" si="85">O514/0.88</f>
        <v>45670.079545454544</v>
      </c>
      <c r="Q514" s="7">
        <v>68205</v>
      </c>
      <c r="R514" s="7">
        <v>0</v>
      </c>
      <c r="S514" s="7">
        <f t="shared" si="76"/>
        <v>0</v>
      </c>
      <c r="T514" s="3">
        <v>9705</v>
      </c>
      <c r="U514" s="7">
        <f t="shared" si="83"/>
        <v>571739.86311363638</v>
      </c>
      <c r="V514" s="7">
        <f t="shared" si="77"/>
        <v>58.911886977190768</v>
      </c>
      <c r="W514" s="16"/>
      <c r="X514" s="11"/>
      <c r="AA514" s="11"/>
      <c r="AB514" s="11"/>
      <c r="AC514" s="11"/>
      <c r="AD514" s="11"/>
      <c r="AE514" s="11"/>
    </row>
    <row r="515" spans="1:31" x14ac:dyDescent="0.25">
      <c r="A515" s="15" t="s">
        <v>1</v>
      </c>
      <c r="B515" s="21">
        <v>45686</v>
      </c>
      <c r="C515" s="7">
        <v>2902</v>
      </c>
      <c r="D515" s="7">
        <v>12220.799999997178</v>
      </c>
      <c r="E515" s="7">
        <v>0</v>
      </c>
      <c r="F515" s="7">
        <v>612</v>
      </c>
      <c r="G515" s="7">
        <v>9383</v>
      </c>
      <c r="H515" s="7">
        <v>8847</v>
      </c>
      <c r="I515" s="7">
        <v>0</v>
      </c>
      <c r="J515" s="2">
        <v>15.05000019073486</v>
      </c>
      <c r="K515" s="23">
        <f t="shared" si="84"/>
        <v>33398.887999998362</v>
      </c>
      <c r="L515" s="23">
        <f t="shared" si="79"/>
        <v>3.5595106042841693</v>
      </c>
      <c r="M515" s="12" t="s">
        <v>11</v>
      </c>
      <c r="N515" s="7">
        <v>32759</v>
      </c>
      <c r="O515" s="7">
        <v>34821.75</v>
      </c>
      <c r="P515" s="7">
        <f t="shared" si="85"/>
        <v>39570.170454545456</v>
      </c>
      <c r="Q515" s="7">
        <v>62254</v>
      </c>
      <c r="R515" s="7">
        <v>0</v>
      </c>
      <c r="S515" s="7">
        <f t="shared" ref="S515:S578" si="86">R515/0.75</f>
        <v>0</v>
      </c>
      <c r="T515" s="3">
        <v>8584</v>
      </c>
      <c r="U515" s="7">
        <f t="shared" si="83"/>
        <v>510844.55238636368</v>
      </c>
      <c r="V515" s="7">
        <f t="shared" ref="V515:V578" si="87">U515/T515</f>
        <v>59.511247948085234</v>
      </c>
      <c r="W515" s="16"/>
      <c r="X515" s="11"/>
      <c r="AA515" s="11"/>
      <c r="AB515" s="11"/>
      <c r="AC515" s="11"/>
      <c r="AD515" s="11"/>
      <c r="AE515" s="11"/>
    </row>
    <row r="516" spans="1:31" x14ac:dyDescent="0.25">
      <c r="A516" s="15" t="s">
        <v>1</v>
      </c>
      <c r="B516" s="21">
        <v>45687</v>
      </c>
      <c r="C516" s="8">
        <v>4811</v>
      </c>
      <c r="D516" s="8">
        <v>10579.200000002818</v>
      </c>
      <c r="E516" s="8">
        <v>5400</v>
      </c>
      <c r="F516" s="8">
        <v>0</v>
      </c>
      <c r="G516" s="8">
        <v>8213</v>
      </c>
      <c r="H516" s="8">
        <v>7610</v>
      </c>
      <c r="I516" s="8">
        <v>35820</v>
      </c>
      <c r="J516" s="2">
        <v>14.64999961853027</v>
      </c>
      <c r="K516" s="23">
        <f t="shared" si="84"/>
        <v>80861.668000001635</v>
      </c>
      <c r="L516" s="23">
        <f t="shared" si="79"/>
        <v>9.8455701935957176</v>
      </c>
      <c r="M516" s="12" t="s">
        <v>11</v>
      </c>
      <c r="N516" s="8">
        <v>31815</v>
      </c>
      <c r="O516" s="8">
        <v>39486.769999999997</v>
      </c>
      <c r="P516" s="7">
        <f t="shared" si="85"/>
        <v>44871.329545454544</v>
      </c>
      <c r="Q516" s="8">
        <v>53815</v>
      </c>
      <c r="R516" s="8">
        <v>13602</v>
      </c>
      <c r="S516" s="7">
        <f t="shared" si="86"/>
        <v>18136</v>
      </c>
      <c r="T516" s="3">
        <v>7687</v>
      </c>
      <c r="U516" s="7">
        <f t="shared" si="83"/>
        <v>671116.90061363636</v>
      </c>
      <c r="V516" s="7">
        <f t="shared" si="87"/>
        <v>87.305437831876716</v>
      </c>
      <c r="W516" s="16"/>
      <c r="X516" s="11"/>
      <c r="AA516" s="11"/>
      <c r="AB516" s="11"/>
      <c r="AC516" s="11"/>
      <c r="AD516" s="11"/>
      <c r="AE516" s="11"/>
    </row>
    <row r="517" spans="1:31" x14ac:dyDescent="0.25">
      <c r="A517" s="15" t="s">
        <v>1</v>
      </c>
      <c r="B517" s="21">
        <v>45688</v>
      </c>
      <c r="C517" s="7">
        <v>2832</v>
      </c>
      <c r="D517" s="7">
        <v>15150.600000000994</v>
      </c>
      <c r="E517" s="7">
        <v>0</v>
      </c>
      <c r="F517" s="7">
        <v>0</v>
      </c>
      <c r="G517" s="7">
        <v>8787</v>
      </c>
      <c r="H517" s="7">
        <v>9640</v>
      </c>
      <c r="I517" s="7">
        <v>0</v>
      </c>
      <c r="J517" s="2">
        <v>16.29999923706055</v>
      </c>
      <c r="K517" s="23">
        <f t="shared" si="84"/>
        <v>31477.332000000577</v>
      </c>
      <c r="L517" s="23">
        <f t="shared" si="79"/>
        <v>3.5822615227040604</v>
      </c>
      <c r="M517" s="12" t="s">
        <v>11</v>
      </c>
      <c r="N517" s="7">
        <v>33719</v>
      </c>
      <c r="O517" s="7">
        <v>39375.83</v>
      </c>
      <c r="P517" s="7">
        <f t="shared" si="85"/>
        <v>44745.261363636368</v>
      </c>
      <c r="Q517" s="7">
        <v>57374</v>
      </c>
      <c r="R517" s="7">
        <v>13602</v>
      </c>
      <c r="S517" s="7">
        <f t="shared" si="86"/>
        <v>18136</v>
      </c>
      <c r="T517" s="3">
        <v>8877</v>
      </c>
      <c r="U517" s="7">
        <f t="shared" si="83"/>
        <v>686435.05165909091</v>
      </c>
      <c r="V517" s="7">
        <f t="shared" si="87"/>
        <v>77.327368667240165</v>
      </c>
      <c r="W517" s="16"/>
      <c r="X517" s="11"/>
      <c r="AA517" s="11"/>
      <c r="AB517" s="11"/>
      <c r="AC517" s="11"/>
      <c r="AD517" s="11"/>
      <c r="AE517" s="11"/>
    </row>
    <row r="518" spans="1:31" x14ac:dyDescent="0.25">
      <c r="A518" s="15" t="s">
        <v>1</v>
      </c>
      <c r="B518" s="21">
        <v>45689</v>
      </c>
      <c r="C518" s="7">
        <v>5754</v>
      </c>
      <c r="D518" s="7">
        <v>13839.599999999335</v>
      </c>
      <c r="E518" s="7">
        <v>0</v>
      </c>
      <c r="F518" s="7">
        <v>503</v>
      </c>
      <c r="G518" s="7">
        <v>8783</v>
      </c>
      <c r="H518" s="7">
        <v>9652</v>
      </c>
      <c r="I518" s="7">
        <v>0</v>
      </c>
      <c r="J518" s="2">
        <v>17.54999923706055</v>
      </c>
      <c r="K518" s="23">
        <f>C518*8.101+D518*0.57+E518*6.85+F518*5</f>
        <v>57016.725999999624</v>
      </c>
      <c r="L518" s="23">
        <f t="shared" si="79"/>
        <v>6.4917142206534928</v>
      </c>
      <c r="M518" s="12" t="s">
        <v>11</v>
      </c>
      <c r="N518" s="7">
        <v>33629</v>
      </c>
      <c r="O518" s="7">
        <v>36214.62000000001</v>
      </c>
      <c r="P518" s="7">
        <f t="shared" si="85"/>
        <v>41152.977272727287</v>
      </c>
      <c r="Q518" s="7">
        <v>58880</v>
      </c>
      <c r="R518" s="7">
        <v>13602</v>
      </c>
      <c r="S518" s="7">
        <f t="shared" si="86"/>
        <v>18136</v>
      </c>
      <c r="T518" s="2">
        <v>8238</v>
      </c>
      <c r="U518" s="7">
        <f>N518*0.57+P518*5.498+Q518*4.15+S518*9.055</f>
        <v>654001.07904545462</v>
      </c>
      <c r="V518" s="7">
        <f t="shared" si="87"/>
        <v>79.388332003575456</v>
      </c>
      <c r="W518" s="17"/>
      <c r="X518" s="11"/>
      <c r="AA518" s="11"/>
      <c r="AB518" s="11"/>
      <c r="AC518" s="11"/>
      <c r="AD518" s="11"/>
      <c r="AE518" s="11"/>
    </row>
    <row r="519" spans="1:31" x14ac:dyDescent="0.25">
      <c r="A519" s="15" t="s">
        <v>1</v>
      </c>
      <c r="B519" s="21">
        <v>45690</v>
      </c>
      <c r="C519" s="7">
        <v>3770</v>
      </c>
      <c r="D519" s="7">
        <v>12710.99999999751</v>
      </c>
      <c r="E519" s="7">
        <v>0</v>
      </c>
      <c r="F519" s="7">
        <v>90</v>
      </c>
      <c r="G519" s="7">
        <v>9001</v>
      </c>
      <c r="H519" s="7">
        <v>9947</v>
      </c>
      <c r="I519" s="7">
        <v>0</v>
      </c>
      <c r="J519" s="2">
        <v>16.95000076293945</v>
      </c>
      <c r="K519" s="23">
        <f t="shared" ref="K519:K544" si="88">C519*8.101+D519*0.57+E519*6.85+F519*5</f>
        <v>38236.039999998582</v>
      </c>
      <c r="L519" s="23">
        <f t="shared" si="79"/>
        <v>4.2479768914563474</v>
      </c>
      <c r="M519" s="12" t="s">
        <v>11</v>
      </c>
      <c r="N519" s="7">
        <v>33817</v>
      </c>
      <c r="O519" s="7">
        <v>34821.75</v>
      </c>
      <c r="P519" s="7">
        <f t="shared" si="85"/>
        <v>39570.170454545456</v>
      </c>
      <c r="Q519" s="7">
        <v>61462</v>
      </c>
      <c r="R519" s="7">
        <v>6745.3199999999897</v>
      </c>
      <c r="S519" s="7">
        <f t="shared" si="86"/>
        <v>8993.7599999999857</v>
      </c>
      <c r="T519" s="2">
        <v>8391</v>
      </c>
      <c r="U519" s="7">
        <f t="shared" ref="U519:U545" si="89">N519*0.57+P519*5.498+Q519*4.15+S519*9.055</f>
        <v>573338.28395909083</v>
      </c>
      <c r="V519" s="7">
        <f t="shared" si="87"/>
        <v>68.327765934821926</v>
      </c>
      <c r="W519" s="17"/>
      <c r="X519" s="11"/>
      <c r="AA519" s="11"/>
      <c r="AB519" s="11"/>
      <c r="AC519" s="11"/>
      <c r="AD519" s="11"/>
      <c r="AE519" s="11"/>
    </row>
    <row r="520" spans="1:31" x14ac:dyDescent="0.25">
      <c r="A520" s="15" t="s">
        <v>1</v>
      </c>
      <c r="B520" s="21">
        <v>45691</v>
      </c>
      <c r="C520" s="7">
        <v>4405</v>
      </c>
      <c r="D520" s="7">
        <v>8743.7999999980093</v>
      </c>
      <c r="E520" s="7">
        <v>0</v>
      </c>
      <c r="F520" s="7">
        <v>516</v>
      </c>
      <c r="G520" s="7">
        <v>6862</v>
      </c>
      <c r="H520" s="7">
        <v>7145</v>
      </c>
      <c r="I520" s="7">
        <v>0</v>
      </c>
      <c r="J520" s="2">
        <v>16.89999961853027</v>
      </c>
      <c r="K520" s="23">
        <f t="shared" si="88"/>
        <v>43248.870999998871</v>
      </c>
      <c r="L520" s="23">
        <f t="shared" si="79"/>
        <v>6.3026626348001855</v>
      </c>
      <c r="M520" s="12" t="s">
        <v>11</v>
      </c>
      <c r="N520" s="7">
        <v>33690</v>
      </c>
      <c r="O520" s="7">
        <v>45500.419999999976</v>
      </c>
      <c r="P520" s="7">
        <f t="shared" si="85"/>
        <v>51705.022727272699</v>
      </c>
      <c r="Q520" s="7">
        <v>44176</v>
      </c>
      <c r="R520" s="7">
        <v>7120.060000000015</v>
      </c>
      <c r="S520" s="7">
        <f t="shared" si="86"/>
        <v>9493.4133333333539</v>
      </c>
      <c r="T520" s="2">
        <v>8387</v>
      </c>
      <c r="U520" s="7">
        <f t="shared" si="89"/>
        <v>572770.77268787881</v>
      </c>
      <c r="V520" s="7">
        <f t="shared" si="87"/>
        <v>68.292687813029545</v>
      </c>
      <c r="W520" s="17"/>
      <c r="X520" s="11"/>
      <c r="AA520" s="11"/>
      <c r="AB520" s="11"/>
      <c r="AC520" s="11"/>
      <c r="AD520" s="11"/>
      <c r="AE520" s="11"/>
    </row>
    <row r="521" spans="1:31" x14ac:dyDescent="0.25">
      <c r="A521" s="15" t="s">
        <v>1</v>
      </c>
      <c r="B521" s="21">
        <v>45692</v>
      </c>
      <c r="C521" s="7">
        <v>3114</v>
      </c>
      <c r="D521" s="7">
        <v>14398.200000001159</v>
      </c>
      <c r="E521" s="7">
        <v>0</v>
      </c>
      <c r="F521" s="7">
        <v>448</v>
      </c>
      <c r="G521" s="7">
        <v>8753</v>
      </c>
      <c r="H521" s="7">
        <v>9783</v>
      </c>
      <c r="I521" s="7">
        <v>0</v>
      </c>
      <c r="J521" s="2">
        <v>19.39999961853027</v>
      </c>
      <c r="K521" s="23">
        <f t="shared" si="88"/>
        <v>35673.488000000667</v>
      </c>
      <c r="L521" s="23">
        <f t="shared" ref="L521:L584" si="90">K521/G521</f>
        <v>4.0755727179253594</v>
      </c>
      <c r="M521" s="12" t="s">
        <v>11</v>
      </c>
      <c r="N521" s="7">
        <v>34353</v>
      </c>
      <c r="O521" s="7">
        <v>54753.060000000027</v>
      </c>
      <c r="P521" s="7">
        <f t="shared" si="85"/>
        <v>62219.386363636397</v>
      </c>
      <c r="Q521" s="7">
        <v>55767</v>
      </c>
      <c r="R521" s="7">
        <v>0</v>
      </c>
      <c r="S521" s="7">
        <f t="shared" si="86"/>
        <v>0</v>
      </c>
      <c r="T521" s="2">
        <v>8419</v>
      </c>
      <c r="U521" s="7">
        <f t="shared" si="89"/>
        <v>593096.44622727297</v>
      </c>
      <c r="V521" s="7">
        <f t="shared" si="87"/>
        <v>70.447374537032061</v>
      </c>
      <c r="W521" s="17"/>
      <c r="X521" s="11"/>
      <c r="AA521" s="11"/>
      <c r="AB521" s="11"/>
      <c r="AC521" s="11"/>
      <c r="AD521" s="11"/>
      <c r="AE521" s="11"/>
    </row>
    <row r="522" spans="1:31" x14ac:dyDescent="0.25">
      <c r="A522" s="15" t="s">
        <v>1</v>
      </c>
      <c r="B522" s="21">
        <v>45693</v>
      </c>
      <c r="C522" s="8">
        <v>2383</v>
      </c>
      <c r="D522" s="8">
        <v>14261.400000002321</v>
      </c>
      <c r="E522" s="8">
        <v>0</v>
      </c>
      <c r="F522" s="7">
        <v>390</v>
      </c>
      <c r="G522" s="8">
        <v>11550</v>
      </c>
      <c r="H522" s="8">
        <v>9719</v>
      </c>
      <c r="I522" s="8">
        <v>0</v>
      </c>
      <c r="J522" s="2">
        <v>21.39999961853027</v>
      </c>
      <c r="K522" s="23">
        <f t="shared" si="88"/>
        <v>29383.681000001321</v>
      </c>
      <c r="L522" s="23">
        <f t="shared" si="90"/>
        <v>2.5440416450217596</v>
      </c>
      <c r="M522" s="12" t="s">
        <v>11</v>
      </c>
      <c r="N522" s="8">
        <v>25987</v>
      </c>
      <c r="O522" s="8">
        <v>38155.589999999997</v>
      </c>
      <c r="P522" s="7">
        <f t="shared" si="85"/>
        <v>43358.624999999993</v>
      </c>
      <c r="Q522" s="8">
        <v>44945</v>
      </c>
      <c r="R522" s="8">
        <v>0</v>
      </c>
      <c r="S522" s="7">
        <f t="shared" si="86"/>
        <v>0</v>
      </c>
      <c r="T522" s="2">
        <v>5735</v>
      </c>
      <c r="U522" s="7">
        <f t="shared" si="89"/>
        <v>439720.06024999998</v>
      </c>
      <c r="V522" s="7">
        <f t="shared" si="87"/>
        <v>76.673070662598079</v>
      </c>
      <c r="W522" s="17"/>
      <c r="X522" s="11"/>
      <c r="AA522" s="11"/>
      <c r="AB522" s="11"/>
      <c r="AC522" s="11"/>
      <c r="AD522" s="11"/>
      <c r="AE522" s="11"/>
    </row>
    <row r="523" spans="1:31" x14ac:dyDescent="0.25">
      <c r="A523" s="15" t="s">
        <v>1</v>
      </c>
      <c r="B523" s="21">
        <v>45694</v>
      </c>
      <c r="C523" s="7">
        <v>3249</v>
      </c>
      <c r="D523" s="7">
        <v>9758.4000000014912</v>
      </c>
      <c r="E523" s="7">
        <v>0</v>
      </c>
      <c r="F523" s="7">
        <v>416</v>
      </c>
      <c r="G523" s="7">
        <v>11412</v>
      </c>
      <c r="H523" s="7">
        <v>5223</v>
      </c>
      <c r="I523" s="7">
        <v>0</v>
      </c>
      <c r="J523" s="2">
        <v>20</v>
      </c>
      <c r="K523" s="23">
        <f t="shared" si="88"/>
        <v>33962.437000000849</v>
      </c>
      <c r="L523" s="23">
        <f t="shared" si="90"/>
        <v>2.9760284787943263</v>
      </c>
      <c r="M523" s="12" t="s">
        <v>11</v>
      </c>
      <c r="N523" s="7">
        <v>33335</v>
      </c>
      <c r="O523" s="7">
        <v>53515.71</v>
      </c>
      <c r="P523" s="7">
        <f t="shared" si="85"/>
        <v>60813.306818181816</v>
      </c>
      <c r="Q523" s="7">
        <v>57451</v>
      </c>
      <c r="R523" s="7">
        <v>5836.6999999999935</v>
      </c>
      <c r="S523" s="7">
        <f t="shared" si="86"/>
        <v>7782.2666666666582</v>
      </c>
      <c r="T523" s="2">
        <v>9801</v>
      </c>
      <c r="U523" s="7">
        <f t="shared" si="89"/>
        <v>662242.58555303013</v>
      </c>
      <c r="V523" s="7">
        <f t="shared" si="87"/>
        <v>67.568879252426299</v>
      </c>
      <c r="W523" s="17"/>
      <c r="X523" s="11"/>
      <c r="AA523" s="11"/>
      <c r="AB523" s="11"/>
      <c r="AC523" s="11"/>
      <c r="AD523" s="11"/>
      <c r="AE523" s="11"/>
    </row>
    <row r="524" spans="1:31" x14ac:dyDescent="0.25">
      <c r="A524" s="15" t="s">
        <v>1</v>
      </c>
      <c r="B524" s="21">
        <v>45695</v>
      </c>
      <c r="C524" s="7">
        <v>3240</v>
      </c>
      <c r="D524" s="7">
        <v>14591.999999999169</v>
      </c>
      <c r="E524" s="7">
        <v>0</v>
      </c>
      <c r="F524" s="7">
        <v>0</v>
      </c>
      <c r="G524" s="7">
        <v>11663</v>
      </c>
      <c r="H524" s="7">
        <v>9881</v>
      </c>
      <c r="I524" s="7">
        <v>0</v>
      </c>
      <c r="J524" s="2">
        <v>20.70000076293945</v>
      </c>
      <c r="K524" s="23">
        <f t="shared" si="88"/>
        <v>34564.679999999527</v>
      </c>
      <c r="L524" s="23">
        <f t="shared" si="90"/>
        <v>2.9636182800308264</v>
      </c>
      <c r="M524" s="12" t="s">
        <v>11</v>
      </c>
      <c r="N524" s="7">
        <v>32360</v>
      </c>
      <c r="O524" s="7">
        <v>44107.55000000001</v>
      </c>
      <c r="P524" s="7">
        <f t="shared" si="85"/>
        <v>50122.215909090919</v>
      </c>
      <c r="Q524" s="7">
        <v>41845</v>
      </c>
      <c r="R524" s="7">
        <v>10117.979999999983</v>
      </c>
      <c r="S524" s="7">
        <f t="shared" si="86"/>
        <v>13490.639999999978</v>
      </c>
      <c r="T524" s="2">
        <v>8173</v>
      </c>
      <c r="U524" s="7">
        <f t="shared" si="89"/>
        <v>589831.6382681817</v>
      </c>
      <c r="V524" s="7">
        <f t="shared" si="87"/>
        <v>72.168314972247856</v>
      </c>
      <c r="W524" s="17"/>
      <c r="X524" s="11"/>
      <c r="AA524" s="11"/>
      <c r="AB524" s="11"/>
      <c r="AC524" s="11"/>
      <c r="AD524" s="11"/>
      <c r="AE524" s="11"/>
    </row>
    <row r="525" spans="1:31" x14ac:dyDescent="0.25">
      <c r="A525" s="15" t="s">
        <v>1</v>
      </c>
      <c r="B525" s="21">
        <v>45696</v>
      </c>
      <c r="C525" s="7">
        <v>3710</v>
      </c>
      <c r="D525" s="7">
        <v>14124.599999999335</v>
      </c>
      <c r="E525" s="7">
        <v>0</v>
      </c>
      <c r="F525" s="7">
        <v>0</v>
      </c>
      <c r="G525" s="7">
        <v>8880</v>
      </c>
      <c r="H525" s="7">
        <v>9399</v>
      </c>
      <c r="I525" s="7">
        <v>0</v>
      </c>
      <c r="J525" s="2">
        <v>22.45000076293945</v>
      </c>
      <c r="K525" s="23">
        <f t="shared" si="88"/>
        <v>38105.731999999625</v>
      </c>
      <c r="L525" s="23">
        <f t="shared" si="90"/>
        <v>4.2911860360359935</v>
      </c>
      <c r="M525" s="12" t="s">
        <v>11</v>
      </c>
      <c r="N525" s="7">
        <v>33734</v>
      </c>
      <c r="O525" s="7">
        <v>45964.709999999992</v>
      </c>
      <c r="P525" s="7">
        <f t="shared" si="85"/>
        <v>52232.624999999993</v>
      </c>
      <c r="Q525" s="7">
        <v>43196</v>
      </c>
      <c r="R525" s="7">
        <v>10867.460000000001</v>
      </c>
      <c r="S525" s="7">
        <f t="shared" si="86"/>
        <v>14489.946666666669</v>
      </c>
      <c r="T525" s="2">
        <v>8219</v>
      </c>
      <c r="U525" s="7">
        <f t="shared" si="89"/>
        <v>616873.21931666671</v>
      </c>
      <c r="V525" s="7">
        <f t="shared" si="87"/>
        <v>75.054534531775971</v>
      </c>
      <c r="W525" s="17"/>
      <c r="X525" s="11"/>
      <c r="AA525" s="11"/>
      <c r="AB525" s="11"/>
      <c r="AC525" s="11"/>
      <c r="AD525" s="11"/>
      <c r="AE525" s="11"/>
    </row>
    <row r="526" spans="1:31" x14ac:dyDescent="0.25">
      <c r="A526" s="15" t="s">
        <v>1</v>
      </c>
      <c r="B526" s="21">
        <v>45697</v>
      </c>
      <c r="C526" s="7">
        <v>4420</v>
      </c>
      <c r="D526" s="7">
        <v>9724.2000000028183</v>
      </c>
      <c r="E526" s="7">
        <v>0</v>
      </c>
      <c r="F526" s="7">
        <v>0</v>
      </c>
      <c r="G526" s="7">
        <v>6105</v>
      </c>
      <c r="H526" s="7">
        <v>6345</v>
      </c>
      <c r="I526" s="7">
        <v>0</v>
      </c>
      <c r="J526" s="2">
        <v>23.5</v>
      </c>
      <c r="K526" s="23">
        <f t="shared" si="88"/>
        <v>41349.214000001608</v>
      </c>
      <c r="L526" s="23">
        <f t="shared" si="90"/>
        <v>6.7730080262082897</v>
      </c>
      <c r="M526" s="12" t="s">
        <v>11</v>
      </c>
      <c r="N526" s="7">
        <v>33800</v>
      </c>
      <c r="O526" s="7">
        <v>47357.580000000024</v>
      </c>
      <c r="P526" s="7">
        <f t="shared" si="85"/>
        <v>53815.431818181845</v>
      </c>
      <c r="Q526" s="7">
        <v>44533</v>
      </c>
      <c r="R526" s="7">
        <v>10867.459999999968</v>
      </c>
      <c r="S526" s="7">
        <f t="shared" si="86"/>
        <v>14489.946666666625</v>
      </c>
      <c r="T526" s="2">
        <v>7357</v>
      </c>
      <c r="U526" s="7">
        <f t="shared" si="89"/>
        <v>631161.66120303003</v>
      </c>
      <c r="V526" s="7">
        <f t="shared" si="87"/>
        <v>85.790629496130222</v>
      </c>
      <c r="W526" s="17"/>
      <c r="X526" s="11"/>
      <c r="AA526" s="11"/>
      <c r="AB526" s="11"/>
      <c r="AC526" s="11"/>
      <c r="AD526" s="11"/>
      <c r="AE526" s="11"/>
    </row>
    <row r="527" spans="1:31" x14ac:dyDescent="0.25">
      <c r="A527" s="15" t="s">
        <v>1</v>
      </c>
      <c r="B527" s="21">
        <v>45698</v>
      </c>
      <c r="C527" s="8">
        <v>4100</v>
      </c>
      <c r="D527" s="8">
        <v>7991.3999999981743</v>
      </c>
      <c r="E527" s="8">
        <v>0</v>
      </c>
      <c r="F527" s="7">
        <v>385</v>
      </c>
      <c r="G527" s="8">
        <v>7329</v>
      </c>
      <c r="H527" s="8">
        <v>4865</v>
      </c>
      <c r="I527" s="8">
        <v>0</v>
      </c>
      <c r="J527" s="2">
        <v>22.35000038146973</v>
      </c>
      <c r="K527" s="23">
        <f t="shared" si="88"/>
        <v>39694.197999998963</v>
      </c>
      <c r="L527" s="23">
        <f t="shared" si="90"/>
        <v>5.4160455723835401</v>
      </c>
      <c r="M527" s="12" t="s">
        <v>11</v>
      </c>
      <c r="N527" s="8">
        <v>31033</v>
      </c>
      <c r="O527" s="8">
        <v>43073.479999999981</v>
      </c>
      <c r="P527" s="7">
        <f t="shared" si="85"/>
        <v>48947.136363636346</v>
      </c>
      <c r="Q527" s="8">
        <v>53306</v>
      </c>
      <c r="R527" s="8">
        <v>0</v>
      </c>
      <c r="S527" s="7">
        <f t="shared" si="86"/>
        <v>0</v>
      </c>
      <c r="T527" s="2">
        <v>8443</v>
      </c>
      <c r="U527" s="7">
        <f t="shared" si="89"/>
        <v>508020.06572727265</v>
      </c>
      <c r="V527" s="7">
        <f t="shared" si="87"/>
        <v>60.170563274579258</v>
      </c>
      <c r="W527" s="17"/>
      <c r="X527" s="11"/>
      <c r="AA527" s="11"/>
      <c r="AB527" s="11"/>
      <c r="AC527" s="11"/>
      <c r="AD527" s="11"/>
      <c r="AE527" s="11"/>
    </row>
    <row r="528" spans="1:31" x14ac:dyDescent="0.25">
      <c r="A528" s="15" t="s">
        <v>1</v>
      </c>
      <c r="B528" s="21">
        <v>45699</v>
      </c>
      <c r="C528" s="7">
        <v>5591</v>
      </c>
      <c r="D528" s="7">
        <v>9701.4000000023207</v>
      </c>
      <c r="E528" s="7">
        <v>0</v>
      </c>
      <c r="F528" s="7">
        <v>412</v>
      </c>
      <c r="G528" s="7">
        <v>7770</v>
      </c>
      <c r="H528" s="7">
        <v>6495</v>
      </c>
      <c r="I528" s="7">
        <v>0</v>
      </c>
      <c r="J528" s="2">
        <v>21.70000076293945</v>
      </c>
      <c r="K528" s="23">
        <f t="shared" si="88"/>
        <v>52882.489000001326</v>
      </c>
      <c r="L528" s="23">
        <f t="shared" si="90"/>
        <v>6.8059831402833106</v>
      </c>
      <c r="M528" s="12" t="s">
        <v>11</v>
      </c>
      <c r="N528" s="7">
        <v>33938</v>
      </c>
      <c r="O528" s="7">
        <v>45391.119999999988</v>
      </c>
      <c r="P528" s="7">
        <f t="shared" si="85"/>
        <v>51580.818181818169</v>
      </c>
      <c r="Q528" s="7">
        <v>68772</v>
      </c>
      <c r="R528" s="7">
        <v>5461.9600000000028</v>
      </c>
      <c r="S528" s="7">
        <f t="shared" si="86"/>
        <v>7282.6133333333373</v>
      </c>
      <c r="T528" s="2">
        <v>8409</v>
      </c>
      <c r="U528" s="7">
        <f t="shared" si="89"/>
        <v>654283.86209696962</v>
      </c>
      <c r="V528" s="7">
        <f t="shared" si="87"/>
        <v>77.80757070959325</v>
      </c>
      <c r="W528" s="17"/>
      <c r="X528" s="11"/>
      <c r="AA528" s="11"/>
      <c r="AB528" s="11"/>
      <c r="AC528" s="11"/>
      <c r="AD528" s="11"/>
      <c r="AE528" s="11"/>
    </row>
    <row r="529" spans="1:31" x14ac:dyDescent="0.25">
      <c r="A529" s="15" t="s">
        <v>1</v>
      </c>
      <c r="B529" s="21">
        <v>45700</v>
      </c>
      <c r="C529" s="7">
        <v>4673</v>
      </c>
      <c r="D529" s="7">
        <v>14033.400000001493</v>
      </c>
      <c r="E529" s="7">
        <v>0</v>
      </c>
      <c r="F529" s="7">
        <v>0</v>
      </c>
      <c r="G529" s="7">
        <v>8395</v>
      </c>
      <c r="H529" s="7">
        <v>9180</v>
      </c>
      <c r="I529" s="7">
        <v>0</v>
      </c>
      <c r="J529" s="2">
        <v>22.25</v>
      </c>
      <c r="K529" s="23">
        <f t="shared" si="88"/>
        <v>45855.011000000857</v>
      </c>
      <c r="L529" s="23">
        <f t="shared" si="90"/>
        <v>5.4621811792734789</v>
      </c>
      <c r="M529" s="12" t="s">
        <v>11</v>
      </c>
      <c r="N529" s="7">
        <v>33468</v>
      </c>
      <c r="O529" s="7">
        <v>49245.680000000008</v>
      </c>
      <c r="P529" s="7">
        <f t="shared" si="85"/>
        <v>55961.000000000007</v>
      </c>
      <c r="Q529" s="7">
        <v>43521</v>
      </c>
      <c r="R529" s="7">
        <v>6370.5800000000309</v>
      </c>
      <c r="S529" s="7">
        <f t="shared" si="86"/>
        <v>8494.1066666667084</v>
      </c>
      <c r="T529" s="2">
        <v>7883</v>
      </c>
      <c r="U529" s="7">
        <f t="shared" si="89"/>
        <v>584276.62386666716</v>
      </c>
      <c r="V529" s="7">
        <f t="shared" si="87"/>
        <v>74.118561951879627</v>
      </c>
      <c r="W529" s="17"/>
      <c r="X529" s="11"/>
      <c r="AA529" s="11"/>
      <c r="AB529" s="11"/>
      <c r="AC529" s="11"/>
      <c r="AD529" s="11"/>
      <c r="AE529" s="11"/>
    </row>
    <row r="530" spans="1:31" x14ac:dyDescent="0.25">
      <c r="A530" s="15" t="s">
        <v>1</v>
      </c>
      <c r="B530" s="21">
        <v>45701</v>
      </c>
      <c r="C530" s="7">
        <v>5857</v>
      </c>
      <c r="D530" s="7">
        <v>13668.599999997676</v>
      </c>
      <c r="E530" s="7">
        <v>0</v>
      </c>
      <c r="F530" s="7">
        <v>0</v>
      </c>
      <c r="G530" s="7">
        <v>9023</v>
      </c>
      <c r="H530" s="7">
        <v>9755</v>
      </c>
      <c r="I530" s="7">
        <v>0</v>
      </c>
      <c r="J530" s="2">
        <v>24.60000038146973</v>
      </c>
      <c r="K530" s="23">
        <f t="shared" si="88"/>
        <v>55238.658999998683</v>
      </c>
      <c r="L530" s="23">
        <f t="shared" si="90"/>
        <v>6.1219837083008626</v>
      </c>
      <c r="M530" s="12" t="s">
        <v>11</v>
      </c>
      <c r="N530" s="7">
        <v>29901</v>
      </c>
      <c r="O530" s="7">
        <v>40464.409999999989</v>
      </c>
      <c r="P530" s="7">
        <f t="shared" si="85"/>
        <v>45982.284090909081</v>
      </c>
      <c r="Q530" s="7">
        <v>33373</v>
      </c>
      <c r="R530" s="7">
        <v>11457.800000000007</v>
      </c>
      <c r="S530" s="7">
        <f t="shared" si="86"/>
        <v>15277.066666666675</v>
      </c>
      <c r="T530" s="2">
        <v>6422</v>
      </c>
      <c r="U530" s="7">
        <f t="shared" si="89"/>
        <v>546685.95659848489</v>
      </c>
      <c r="V530" s="7">
        <f t="shared" si="87"/>
        <v>85.127056461925392</v>
      </c>
      <c r="W530" s="17"/>
      <c r="X530" s="11"/>
      <c r="AA530" s="11"/>
      <c r="AB530" s="11"/>
      <c r="AC530" s="11"/>
      <c r="AD530" s="11"/>
      <c r="AE530" s="11"/>
    </row>
    <row r="531" spans="1:31" x14ac:dyDescent="0.25">
      <c r="A531" s="15" t="s">
        <v>1</v>
      </c>
      <c r="B531" s="21">
        <v>45702</v>
      </c>
      <c r="C531" s="7">
        <v>5245</v>
      </c>
      <c r="D531" s="7">
        <v>11901.599999998507</v>
      </c>
      <c r="E531" s="7">
        <v>6750</v>
      </c>
      <c r="F531" s="7">
        <v>0</v>
      </c>
      <c r="G531" s="7">
        <v>8964</v>
      </c>
      <c r="H531" s="7">
        <v>8435</v>
      </c>
      <c r="I531" s="7">
        <v>45279</v>
      </c>
      <c r="J531" s="2">
        <v>27.04999923706055</v>
      </c>
      <c r="K531" s="23">
        <f t="shared" si="88"/>
        <v>95511.156999999148</v>
      </c>
      <c r="L531" s="23">
        <f t="shared" si="90"/>
        <v>10.654970660419361</v>
      </c>
      <c r="M531" s="12" t="s">
        <v>11</v>
      </c>
      <c r="N531" s="7">
        <v>33688</v>
      </c>
      <c r="O531" s="7">
        <v>37607</v>
      </c>
      <c r="P531" s="7">
        <f t="shared" si="85"/>
        <v>42735.227272727272</v>
      </c>
      <c r="Q531" s="7">
        <v>67621</v>
      </c>
      <c r="R531" s="7">
        <v>0</v>
      </c>
      <c r="S531" s="7">
        <f t="shared" si="86"/>
        <v>0</v>
      </c>
      <c r="T531" s="2">
        <v>7765</v>
      </c>
      <c r="U531" s="7">
        <f t="shared" si="89"/>
        <v>534787.5895454546</v>
      </c>
      <c r="V531" s="7">
        <f t="shared" si="87"/>
        <v>68.871550488790035</v>
      </c>
      <c r="W531" s="17"/>
      <c r="X531" s="11"/>
      <c r="AA531" s="11"/>
      <c r="AB531" s="11"/>
      <c r="AC531" s="11"/>
      <c r="AD531" s="11"/>
      <c r="AE531" s="11"/>
    </row>
    <row r="532" spans="1:31" x14ac:dyDescent="0.25">
      <c r="A532" s="15" t="s">
        <v>1</v>
      </c>
      <c r="B532" s="21">
        <v>45703</v>
      </c>
      <c r="C532" s="8">
        <v>5090</v>
      </c>
      <c r="D532" s="8">
        <v>13383.599999997676</v>
      </c>
      <c r="E532" s="8">
        <v>0</v>
      </c>
      <c r="F532" s="7">
        <v>0</v>
      </c>
      <c r="G532" s="8">
        <v>9184</v>
      </c>
      <c r="H532" s="8">
        <v>10141</v>
      </c>
      <c r="I532" s="8">
        <v>0</v>
      </c>
      <c r="J532" s="2">
        <v>15.44999980926514</v>
      </c>
      <c r="K532" s="23">
        <f t="shared" si="88"/>
        <v>48862.741999998681</v>
      </c>
      <c r="L532" s="23">
        <f t="shared" si="90"/>
        <v>5.3204205139371386</v>
      </c>
      <c r="M532" s="12" t="s">
        <v>11</v>
      </c>
      <c r="N532" s="8">
        <v>34501</v>
      </c>
      <c r="O532" s="8">
        <v>44107.55000000001</v>
      </c>
      <c r="P532" s="7">
        <f t="shared" si="85"/>
        <v>50122.215909090919</v>
      </c>
      <c r="Q532" s="8">
        <v>62128</v>
      </c>
      <c r="R532" s="8">
        <v>0</v>
      </c>
      <c r="S532" s="7">
        <f t="shared" si="86"/>
        <v>0</v>
      </c>
      <c r="T532" s="2">
        <v>8910</v>
      </c>
      <c r="U532" s="7">
        <f t="shared" si="89"/>
        <v>553068.71306818188</v>
      </c>
      <c r="V532" s="7">
        <f t="shared" si="87"/>
        <v>62.072807302826249</v>
      </c>
      <c r="W532" s="17"/>
      <c r="X532" s="11"/>
      <c r="AA532" s="11"/>
      <c r="AB532" s="11"/>
      <c r="AC532" s="11"/>
      <c r="AD532" s="11"/>
      <c r="AE532" s="11"/>
    </row>
    <row r="533" spans="1:31" x14ac:dyDescent="0.25">
      <c r="A533" s="15" t="s">
        <v>1</v>
      </c>
      <c r="B533" s="21">
        <v>45704</v>
      </c>
      <c r="C533" s="7">
        <v>4400</v>
      </c>
      <c r="D533" s="7">
        <v>13474.799999999666</v>
      </c>
      <c r="E533" s="7">
        <v>0</v>
      </c>
      <c r="F533" s="7">
        <v>0</v>
      </c>
      <c r="G533" s="7">
        <v>8287</v>
      </c>
      <c r="H533" s="7">
        <v>8960</v>
      </c>
      <c r="I533" s="7">
        <v>0</v>
      </c>
      <c r="J533" s="2">
        <v>19.45000076293945</v>
      </c>
      <c r="K533" s="23">
        <f t="shared" si="88"/>
        <v>43325.035999999811</v>
      </c>
      <c r="L533" s="23">
        <f t="shared" si="90"/>
        <v>5.228072402558201</v>
      </c>
      <c r="M533" s="12" t="s">
        <v>11</v>
      </c>
      <c r="N533" s="7">
        <v>33753</v>
      </c>
      <c r="O533" s="7">
        <v>37143.200000000012</v>
      </c>
      <c r="P533" s="7">
        <f t="shared" si="85"/>
        <v>42208.181818181831</v>
      </c>
      <c r="Q533" s="7">
        <v>55875</v>
      </c>
      <c r="R533" s="7">
        <v>4871.6199999999963</v>
      </c>
      <c r="S533" s="7">
        <f t="shared" si="86"/>
        <v>6495.4933333333283</v>
      </c>
      <c r="T533" s="2">
        <v>7233.9999999999991</v>
      </c>
      <c r="U533" s="7">
        <f t="shared" si="89"/>
        <v>541997.735769697</v>
      </c>
      <c r="V533" s="7">
        <f t="shared" si="87"/>
        <v>74.923657142617785</v>
      </c>
      <c r="W533" s="17"/>
      <c r="X533" s="11"/>
      <c r="AA533" s="11"/>
      <c r="AB533" s="11"/>
      <c r="AC533" s="11"/>
      <c r="AD533" s="11"/>
      <c r="AE533" s="11"/>
    </row>
    <row r="534" spans="1:31" x14ac:dyDescent="0.25">
      <c r="A534" s="15" t="s">
        <v>1</v>
      </c>
      <c r="B534" s="21">
        <v>45705</v>
      </c>
      <c r="C534" s="7">
        <v>5325</v>
      </c>
      <c r="D534" s="7">
        <v>8618.400000001493</v>
      </c>
      <c r="E534" s="7">
        <v>0</v>
      </c>
      <c r="F534" s="7">
        <v>267</v>
      </c>
      <c r="G534" s="7">
        <v>6896</v>
      </c>
      <c r="H534" s="7">
        <v>7111</v>
      </c>
      <c r="I534" s="7">
        <v>0</v>
      </c>
      <c r="J534" s="2">
        <v>17.10000038146973</v>
      </c>
      <c r="K534" s="23">
        <f t="shared" si="88"/>
        <v>49385.313000000853</v>
      </c>
      <c r="L534" s="23">
        <f t="shared" si="90"/>
        <v>7.1614433004641604</v>
      </c>
      <c r="M534" s="12" t="s">
        <v>11</v>
      </c>
      <c r="N534" s="7">
        <v>34425</v>
      </c>
      <c r="O534" s="7">
        <v>39198.729999999967</v>
      </c>
      <c r="P534" s="7">
        <f t="shared" si="85"/>
        <v>44544.011363636324</v>
      </c>
      <c r="Q534" s="7">
        <v>51909</v>
      </c>
      <c r="R534" s="7">
        <v>13115.90000000002</v>
      </c>
      <c r="S534" s="7">
        <f t="shared" si="86"/>
        <v>17487.866666666694</v>
      </c>
      <c r="T534" s="2">
        <v>8167</v>
      </c>
      <c r="U534" s="7">
        <f t="shared" si="89"/>
        <v>638300.20714393933</v>
      </c>
      <c r="V534" s="7">
        <f t="shared" si="87"/>
        <v>78.156018996441702</v>
      </c>
      <c r="W534" s="17"/>
      <c r="X534" s="11"/>
      <c r="AA534" s="11"/>
      <c r="AB534" s="11"/>
      <c r="AC534" s="11"/>
      <c r="AD534" s="11"/>
      <c r="AE534" s="11"/>
    </row>
    <row r="535" spans="1:31" x14ac:dyDescent="0.25">
      <c r="A535" s="15" t="s">
        <v>1</v>
      </c>
      <c r="B535" s="21">
        <v>45706</v>
      </c>
      <c r="C535" s="7">
        <v>3490</v>
      </c>
      <c r="D535" s="7">
        <v>10031.999999999169</v>
      </c>
      <c r="E535" s="7">
        <v>4250</v>
      </c>
      <c r="F535" s="7">
        <v>403</v>
      </c>
      <c r="G535" s="7">
        <v>8205</v>
      </c>
      <c r="H535" s="7">
        <v>7159</v>
      </c>
      <c r="I535" s="7">
        <v>28285</v>
      </c>
      <c r="J535" s="2">
        <v>16.85000038146973</v>
      </c>
      <c r="K535" s="23">
        <f t="shared" si="88"/>
        <v>65118.22999999953</v>
      </c>
      <c r="L535" s="23">
        <f t="shared" si="90"/>
        <v>7.9364082876294368</v>
      </c>
      <c r="M535" s="12" t="s">
        <v>11</v>
      </c>
      <c r="N535" s="7">
        <v>34544</v>
      </c>
      <c r="O535" s="7">
        <v>43628.040000000008</v>
      </c>
      <c r="P535" s="7">
        <f t="shared" si="85"/>
        <v>49577.318181818191</v>
      </c>
      <c r="Q535" s="7">
        <v>43595</v>
      </c>
      <c r="R535" s="7">
        <v>9269.3599999999878</v>
      </c>
      <c r="S535" s="7">
        <f t="shared" si="86"/>
        <v>12359.146666666651</v>
      </c>
      <c r="T535" s="2">
        <v>7266</v>
      </c>
      <c r="U535" s="7">
        <f t="shared" si="89"/>
        <v>585097.49843030295</v>
      </c>
      <c r="V535" s="7">
        <f t="shared" si="87"/>
        <v>80.525392021786814</v>
      </c>
      <c r="W535" s="17"/>
      <c r="X535" s="11"/>
      <c r="AA535" s="11"/>
      <c r="AB535" s="11"/>
      <c r="AC535" s="11"/>
      <c r="AD535" s="11"/>
      <c r="AE535" s="11"/>
    </row>
    <row r="536" spans="1:31" x14ac:dyDescent="0.25">
      <c r="A536" s="15" t="s">
        <v>1</v>
      </c>
      <c r="B536" s="21">
        <v>45707</v>
      </c>
      <c r="C536" s="7">
        <v>5990</v>
      </c>
      <c r="D536" s="7">
        <v>13155.600000000995</v>
      </c>
      <c r="E536" s="7">
        <v>0</v>
      </c>
      <c r="F536" s="7">
        <v>0</v>
      </c>
      <c r="G536" s="7">
        <v>7257</v>
      </c>
      <c r="H536" s="7">
        <v>9426</v>
      </c>
      <c r="I536" s="7">
        <v>0</v>
      </c>
      <c r="J536" s="2">
        <v>21.5</v>
      </c>
      <c r="K536" s="23">
        <f t="shared" si="88"/>
        <v>56023.682000000568</v>
      </c>
      <c r="L536" s="23">
        <f t="shared" si="90"/>
        <v>7.7199506683203207</v>
      </c>
      <c r="M536" s="12" t="s">
        <v>11</v>
      </c>
      <c r="N536" s="7">
        <v>34576</v>
      </c>
      <c r="O536" s="7">
        <v>45742.780000000013</v>
      </c>
      <c r="P536" s="7">
        <f t="shared" si="85"/>
        <v>51980.431818181831</v>
      </c>
      <c r="Q536" s="7">
        <v>43486</v>
      </c>
      <c r="R536" s="7">
        <v>11991.680000000011</v>
      </c>
      <c r="S536" s="7">
        <f t="shared" si="86"/>
        <v>15988.906666666682</v>
      </c>
      <c r="T536" s="2">
        <v>7932</v>
      </c>
      <c r="U536" s="7">
        <f t="shared" si="89"/>
        <v>630743.18400303053</v>
      </c>
      <c r="V536" s="7">
        <f t="shared" si="87"/>
        <v>79.518807867250445</v>
      </c>
      <c r="W536" s="17"/>
      <c r="X536" s="11"/>
      <c r="AA536" s="11"/>
      <c r="AB536" s="11"/>
      <c r="AC536" s="11"/>
      <c r="AD536" s="11"/>
      <c r="AE536" s="11"/>
    </row>
    <row r="537" spans="1:31" x14ac:dyDescent="0.25">
      <c r="A537" s="15" t="s">
        <v>1</v>
      </c>
      <c r="B537" s="21">
        <v>45708</v>
      </c>
      <c r="C537" s="8">
        <v>3989</v>
      </c>
      <c r="D537" s="8">
        <v>14991.000000001659</v>
      </c>
      <c r="E537" s="8">
        <v>5900</v>
      </c>
      <c r="F537" s="7">
        <v>376</v>
      </c>
      <c r="G537" s="8">
        <v>8633</v>
      </c>
      <c r="H537" s="8">
        <v>10799</v>
      </c>
      <c r="I537" s="8">
        <v>39379</v>
      </c>
      <c r="J537" s="2">
        <v>21.75</v>
      </c>
      <c r="K537" s="23">
        <f t="shared" si="88"/>
        <v>83154.759000000951</v>
      </c>
      <c r="L537" s="23">
        <f t="shared" si="90"/>
        <v>9.6321972663038284</v>
      </c>
      <c r="M537" s="12" t="s">
        <v>11</v>
      </c>
      <c r="N537" s="8">
        <v>31762</v>
      </c>
      <c r="O537" s="8">
        <v>37498.189999999995</v>
      </c>
      <c r="P537" s="7">
        <f t="shared" si="85"/>
        <v>42611.579545454537</v>
      </c>
      <c r="Q537" s="8">
        <v>46175</v>
      </c>
      <c r="R537" s="8">
        <v>9249.3599999999878</v>
      </c>
      <c r="S537" s="7">
        <f t="shared" si="86"/>
        <v>12332.479999999983</v>
      </c>
      <c r="T537" s="2">
        <v>7938</v>
      </c>
      <c r="U537" s="7">
        <f t="shared" si="89"/>
        <v>555679.66074090893</v>
      </c>
      <c r="V537" s="7">
        <f t="shared" si="87"/>
        <v>70.002476787718436</v>
      </c>
      <c r="W537" s="17"/>
      <c r="X537" s="11"/>
      <c r="AA537" s="11"/>
      <c r="AB537" s="11"/>
      <c r="AC537" s="11"/>
      <c r="AD537" s="11"/>
      <c r="AE537" s="11"/>
    </row>
    <row r="538" spans="1:31" x14ac:dyDescent="0.25">
      <c r="A538" s="15" t="s">
        <v>1</v>
      </c>
      <c r="B538" s="21">
        <v>45709</v>
      </c>
      <c r="C538" s="7">
        <v>3800</v>
      </c>
      <c r="D538" s="7">
        <v>13326.599999998505</v>
      </c>
      <c r="E538" s="7">
        <v>0</v>
      </c>
      <c r="F538" s="7">
        <v>591</v>
      </c>
      <c r="G538" s="7">
        <v>8632</v>
      </c>
      <c r="H538" s="7">
        <v>10167</v>
      </c>
      <c r="I538" s="7">
        <v>0</v>
      </c>
      <c r="J538" s="2">
        <v>21</v>
      </c>
      <c r="K538" s="23">
        <f t="shared" si="88"/>
        <v>41334.961999999148</v>
      </c>
      <c r="L538" s="23">
        <f t="shared" si="90"/>
        <v>4.7885729842445723</v>
      </c>
      <c r="M538" s="12" t="s">
        <v>11</v>
      </c>
      <c r="N538" s="7">
        <v>32641</v>
      </c>
      <c r="O538" s="7">
        <v>35750.33</v>
      </c>
      <c r="P538" s="7">
        <f t="shared" si="85"/>
        <v>40625.375</v>
      </c>
      <c r="Q538" s="7">
        <v>50109</v>
      </c>
      <c r="R538" s="7">
        <v>11991.680000000011</v>
      </c>
      <c r="S538" s="7">
        <f t="shared" si="86"/>
        <v>15988.906666666682</v>
      </c>
      <c r="T538" s="2">
        <v>6981</v>
      </c>
      <c r="U538" s="7">
        <f t="shared" si="89"/>
        <v>594695.58161666687</v>
      </c>
      <c r="V538" s="7">
        <f t="shared" si="87"/>
        <v>85.18773551305928</v>
      </c>
      <c r="W538" s="17"/>
      <c r="X538" s="11"/>
      <c r="AA538" s="11"/>
      <c r="AB538" s="11"/>
      <c r="AC538" s="11"/>
      <c r="AD538" s="11"/>
      <c r="AE538" s="11"/>
    </row>
    <row r="539" spans="1:31" x14ac:dyDescent="0.25">
      <c r="A539" s="15" t="s">
        <v>1</v>
      </c>
      <c r="B539" s="21">
        <v>45710</v>
      </c>
      <c r="C539" s="7">
        <v>5670</v>
      </c>
      <c r="D539" s="7">
        <v>14660.400000000662</v>
      </c>
      <c r="E539" s="7">
        <v>0</v>
      </c>
      <c r="F539" s="7">
        <v>544</v>
      </c>
      <c r="G539" s="7">
        <v>9774</v>
      </c>
      <c r="H539" s="7">
        <v>10633</v>
      </c>
      <c r="I539" s="7">
        <v>0</v>
      </c>
      <c r="J539" s="2">
        <v>19.70000076293945</v>
      </c>
      <c r="K539" s="23">
        <f t="shared" si="88"/>
        <v>57009.098000000384</v>
      </c>
      <c r="L539" s="23">
        <f t="shared" si="90"/>
        <v>5.832729486392509</v>
      </c>
      <c r="M539" s="12" t="s">
        <v>11</v>
      </c>
      <c r="N539" s="7">
        <v>33731</v>
      </c>
      <c r="O539" s="7">
        <v>33893.17</v>
      </c>
      <c r="P539" s="7">
        <f t="shared" si="85"/>
        <v>38514.965909090904</v>
      </c>
      <c r="Q539" s="7">
        <v>54062</v>
      </c>
      <c r="R539" s="7">
        <v>10492.719999999976</v>
      </c>
      <c r="S539" s="7">
        <f t="shared" si="86"/>
        <v>13990.2933333333</v>
      </c>
      <c r="T539" s="2">
        <v>7724</v>
      </c>
      <c r="U539" s="7">
        <f t="shared" si="89"/>
        <v>582021.3587015149</v>
      </c>
      <c r="V539" s="7">
        <f t="shared" si="87"/>
        <v>75.352325051982774</v>
      </c>
      <c r="W539" s="17"/>
      <c r="X539" s="11"/>
      <c r="AA539" s="11"/>
      <c r="AB539" s="11"/>
      <c r="AC539" s="11"/>
      <c r="AD539" s="11"/>
      <c r="AE539" s="11"/>
    </row>
    <row r="540" spans="1:31" x14ac:dyDescent="0.25">
      <c r="A540" s="15" t="s">
        <v>1</v>
      </c>
      <c r="B540" s="21">
        <v>45711</v>
      </c>
      <c r="C540" s="7">
        <v>4460</v>
      </c>
      <c r="D540" s="7">
        <v>14078.999999998339</v>
      </c>
      <c r="E540" s="7">
        <v>0</v>
      </c>
      <c r="F540" s="7">
        <v>93</v>
      </c>
      <c r="G540" s="7">
        <v>7843</v>
      </c>
      <c r="H540" s="7">
        <v>9973</v>
      </c>
      <c r="I540" s="7">
        <v>0</v>
      </c>
      <c r="J540" s="2">
        <v>22.39999961853027</v>
      </c>
      <c r="K540" s="23">
        <f t="shared" si="88"/>
        <v>44620.489999999059</v>
      </c>
      <c r="L540" s="23">
        <f t="shared" si="90"/>
        <v>5.6892120362105141</v>
      </c>
      <c r="M540" s="12" t="s">
        <v>11</v>
      </c>
      <c r="N540" s="7">
        <v>35085</v>
      </c>
      <c r="O540" s="7">
        <v>38536.07</v>
      </c>
      <c r="P540" s="7">
        <f t="shared" si="85"/>
        <v>43790.988636363632</v>
      </c>
      <c r="Q540" s="7">
        <v>48757</v>
      </c>
      <c r="R540" s="7">
        <v>10492.720000000008</v>
      </c>
      <c r="S540" s="7">
        <f t="shared" si="86"/>
        <v>13990.293333333344</v>
      </c>
      <c r="T540" s="2">
        <v>7275</v>
      </c>
      <c r="U540" s="7">
        <f t="shared" si="89"/>
        <v>589784.96165606065</v>
      </c>
      <c r="V540" s="7">
        <f t="shared" si="87"/>
        <v>81.070097822138919</v>
      </c>
      <c r="W540" s="17"/>
      <c r="X540" s="11"/>
      <c r="AA540" s="11"/>
      <c r="AB540" s="11"/>
      <c r="AC540" s="11"/>
      <c r="AD540" s="11"/>
      <c r="AE540" s="11"/>
    </row>
    <row r="541" spans="1:31" x14ac:dyDescent="0.25">
      <c r="A541" s="15" t="s">
        <v>1</v>
      </c>
      <c r="B541" s="21">
        <v>45712</v>
      </c>
      <c r="C541" s="7">
        <v>4710</v>
      </c>
      <c r="D541" s="7">
        <v>8891.9999999991705</v>
      </c>
      <c r="E541" s="7">
        <v>0</v>
      </c>
      <c r="F541" s="7">
        <v>452</v>
      </c>
      <c r="G541" s="7">
        <v>6717</v>
      </c>
      <c r="H541" s="7">
        <v>6761</v>
      </c>
      <c r="I541" s="7">
        <v>0</v>
      </c>
      <c r="J541" s="2">
        <v>22.29999923706055</v>
      </c>
      <c r="K541" s="23">
        <f t="shared" si="88"/>
        <v>45484.149999999536</v>
      </c>
      <c r="L541" s="23">
        <f t="shared" si="90"/>
        <v>6.7714976924221428</v>
      </c>
      <c r="M541" s="12" t="s">
        <v>11</v>
      </c>
      <c r="N541" s="7">
        <v>32551</v>
      </c>
      <c r="O541" s="7">
        <v>30043.75</v>
      </c>
      <c r="P541" s="7">
        <f t="shared" si="85"/>
        <v>34140.625</v>
      </c>
      <c r="Q541" s="7">
        <v>54280</v>
      </c>
      <c r="R541" s="7">
        <v>8619.0200000000168</v>
      </c>
      <c r="S541" s="7">
        <f t="shared" si="86"/>
        <v>11492.026666666688</v>
      </c>
      <c r="T541" s="2">
        <v>7349</v>
      </c>
      <c r="U541" s="7">
        <f t="shared" si="89"/>
        <v>535581.52771666693</v>
      </c>
      <c r="V541" s="7">
        <f t="shared" si="87"/>
        <v>72.878150458112245</v>
      </c>
      <c r="W541" s="17"/>
      <c r="X541" s="11"/>
      <c r="AA541" s="11"/>
      <c r="AB541" s="11"/>
      <c r="AC541" s="11"/>
      <c r="AD541" s="11"/>
      <c r="AE541" s="11"/>
    </row>
    <row r="542" spans="1:31" x14ac:dyDescent="0.25">
      <c r="A542" s="15" t="s">
        <v>1</v>
      </c>
      <c r="B542" s="21">
        <v>45713</v>
      </c>
      <c r="C542" s="8">
        <v>4645</v>
      </c>
      <c r="D542" s="8">
        <v>12973.200000001159</v>
      </c>
      <c r="E542" s="8">
        <v>0</v>
      </c>
      <c r="F542" s="7">
        <v>431</v>
      </c>
      <c r="G542" s="8">
        <v>8976</v>
      </c>
      <c r="H542" s="8">
        <v>9295</v>
      </c>
      <c r="I542" s="8">
        <v>0</v>
      </c>
      <c r="J542" s="2">
        <v>21.95000076293945</v>
      </c>
      <c r="K542" s="23">
        <f t="shared" si="88"/>
        <v>47178.869000000661</v>
      </c>
      <c r="L542" s="23">
        <f t="shared" si="90"/>
        <v>5.2561128565063129</v>
      </c>
      <c r="M542" s="12" t="s">
        <v>11</v>
      </c>
      <c r="N542" s="8">
        <v>34112</v>
      </c>
      <c r="O542" s="8">
        <v>28764.109999999993</v>
      </c>
      <c r="P542" s="7">
        <f t="shared" si="85"/>
        <v>32686.488636363629</v>
      </c>
      <c r="Q542" s="8">
        <v>64500</v>
      </c>
      <c r="R542" s="8">
        <v>11616.940000000019</v>
      </c>
      <c r="S542" s="7">
        <f t="shared" si="86"/>
        <v>15489.253333333358</v>
      </c>
      <c r="T542" s="2">
        <v>9472</v>
      </c>
      <c r="U542" s="7">
        <f t="shared" si="89"/>
        <v>607084.34345606086</v>
      </c>
      <c r="V542" s="7">
        <f t="shared" si="87"/>
        <v>64.092519368249668</v>
      </c>
      <c r="W542" s="17"/>
      <c r="X542" s="11"/>
      <c r="AA542" s="11"/>
      <c r="AB542" s="11"/>
      <c r="AC542" s="11"/>
      <c r="AD542" s="11"/>
      <c r="AE542" s="11"/>
    </row>
    <row r="543" spans="1:31" x14ac:dyDescent="0.25">
      <c r="A543" s="15" t="s">
        <v>1</v>
      </c>
      <c r="B543" s="21">
        <v>45714</v>
      </c>
      <c r="C543" s="7">
        <v>5886</v>
      </c>
      <c r="D543" s="7">
        <v>15298.800000002155</v>
      </c>
      <c r="E543" s="7">
        <v>0</v>
      </c>
      <c r="F543" s="7">
        <v>459</v>
      </c>
      <c r="G543" s="7">
        <v>9291</v>
      </c>
      <c r="H543" s="7">
        <v>10274</v>
      </c>
      <c r="I543" s="7">
        <v>0</v>
      </c>
      <c r="J543" s="2">
        <v>20.04999923706055</v>
      </c>
      <c r="K543" s="23">
        <f t="shared" si="88"/>
        <v>58697.802000001233</v>
      </c>
      <c r="L543" s="23">
        <f t="shared" si="90"/>
        <v>6.3177055214725257</v>
      </c>
      <c r="M543" s="12" t="s">
        <v>11</v>
      </c>
      <c r="N543" s="7">
        <v>20166</v>
      </c>
      <c r="O543" s="7">
        <v>14728.099999999999</v>
      </c>
      <c r="P543" s="7">
        <f t="shared" si="85"/>
        <v>16736.477272727272</v>
      </c>
      <c r="Q543" s="7">
        <v>34469</v>
      </c>
      <c r="R543" s="7">
        <v>4732.479999999985</v>
      </c>
      <c r="S543" s="7">
        <f t="shared" si="86"/>
        <v>6309.9733333333133</v>
      </c>
      <c r="T543" s="2">
        <v>3601</v>
      </c>
      <c r="U543" s="7">
        <f t="shared" si="89"/>
        <v>303694.93057878769</v>
      </c>
      <c r="V543" s="7">
        <f t="shared" si="87"/>
        <v>84.336276195164587</v>
      </c>
      <c r="W543" s="17"/>
      <c r="X543" s="11"/>
      <c r="AA543" s="11"/>
      <c r="AB543" s="11"/>
      <c r="AC543" s="11"/>
      <c r="AD543" s="11"/>
      <c r="AE543" s="11"/>
    </row>
    <row r="544" spans="1:31" x14ac:dyDescent="0.25">
      <c r="A544" s="15" t="s">
        <v>1</v>
      </c>
      <c r="B544" s="21">
        <v>45715</v>
      </c>
      <c r="C544" s="7">
        <v>4700</v>
      </c>
      <c r="D544" s="7">
        <v>11924.399999999005</v>
      </c>
      <c r="E544" s="7">
        <v>0</v>
      </c>
      <c r="F544" s="7">
        <v>470</v>
      </c>
      <c r="G544" s="7">
        <v>8437</v>
      </c>
      <c r="H544" s="7">
        <v>6782</v>
      </c>
      <c r="I544" s="7">
        <v>0</v>
      </c>
      <c r="J544" s="2">
        <v>14.60000038146973</v>
      </c>
      <c r="K544" s="23">
        <f t="shared" si="88"/>
        <v>47221.60799999944</v>
      </c>
      <c r="L544" s="23">
        <f t="shared" si="90"/>
        <v>5.5969666943225604</v>
      </c>
      <c r="M544" s="12" t="s">
        <v>11</v>
      </c>
      <c r="N544" s="7">
        <v>31573</v>
      </c>
      <c r="O544" s="7">
        <v>20818.310000000005</v>
      </c>
      <c r="P544" s="7">
        <f t="shared" si="85"/>
        <v>23657.17045454546</v>
      </c>
      <c r="Q544" s="7">
        <v>70573</v>
      </c>
      <c r="R544" s="7">
        <v>5621.1000000000131</v>
      </c>
      <c r="S544" s="7">
        <f t="shared" si="86"/>
        <v>7494.8000000000175</v>
      </c>
      <c r="T544" s="2">
        <v>7073</v>
      </c>
      <c r="U544" s="7">
        <f t="shared" si="89"/>
        <v>508807.09715909109</v>
      </c>
      <c r="V544" s="7">
        <f t="shared" si="87"/>
        <v>71.936532893975837</v>
      </c>
      <c r="W544" s="17"/>
      <c r="X544" s="11"/>
      <c r="AA544" s="11"/>
      <c r="AB544" s="11"/>
      <c r="AC544" s="11"/>
      <c r="AD544" s="11"/>
      <c r="AE544" s="11"/>
    </row>
    <row r="545" spans="1:31" x14ac:dyDescent="0.25">
      <c r="A545" s="15" t="s">
        <v>1</v>
      </c>
      <c r="B545" s="21">
        <v>45716</v>
      </c>
      <c r="C545" s="7">
        <v>6746</v>
      </c>
      <c r="D545" s="7">
        <v>11969.999999999998</v>
      </c>
      <c r="E545" s="7">
        <v>0</v>
      </c>
      <c r="F545" s="7">
        <v>0</v>
      </c>
      <c r="G545" s="7">
        <v>3031</v>
      </c>
      <c r="H545" s="7">
        <v>7091</v>
      </c>
      <c r="I545" s="7">
        <v>0</v>
      </c>
      <c r="J545" s="2">
        <v>16.75</v>
      </c>
      <c r="K545" s="23">
        <f>C545*8.101+D545*0.57+E545*6.85+F545*5</f>
        <v>61472.246000000006</v>
      </c>
      <c r="L545" s="23">
        <f t="shared" si="90"/>
        <v>20.28117650940284</v>
      </c>
      <c r="M545" s="12" t="s">
        <v>11</v>
      </c>
      <c r="N545" s="7">
        <v>30734</v>
      </c>
      <c r="O545" s="7">
        <v>30947.190000000002</v>
      </c>
      <c r="P545" s="7">
        <f t="shared" si="85"/>
        <v>35167.261363636368</v>
      </c>
      <c r="Q545" s="7">
        <v>39365</v>
      </c>
      <c r="R545" s="7">
        <v>7770.3999999999869</v>
      </c>
      <c r="S545" s="7">
        <f t="shared" si="86"/>
        <v>10360.533333333316</v>
      </c>
      <c r="T545" s="2">
        <v>5821</v>
      </c>
      <c r="U545" s="7">
        <f t="shared" si="89"/>
        <v>468047.36231060594</v>
      </c>
      <c r="V545" s="7">
        <f t="shared" si="87"/>
        <v>80.406693405017336</v>
      </c>
      <c r="W545" s="17"/>
      <c r="X545" s="11"/>
      <c r="AA545" s="11"/>
      <c r="AB545" s="11"/>
      <c r="AC545" s="11"/>
      <c r="AD545" s="11"/>
      <c r="AE545" s="11"/>
    </row>
    <row r="546" spans="1:31" x14ac:dyDescent="0.25">
      <c r="A546" s="15" t="s">
        <v>1</v>
      </c>
      <c r="B546" s="21">
        <v>45717</v>
      </c>
      <c r="C546" s="7">
        <v>3996</v>
      </c>
      <c r="D546" s="7">
        <v>12357.600000000164</v>
      </c>
      <c r="E546" s="7">
        <v>0</v>
      </c>
      <c r="F546" s="7">
        <v>0</v>
      </c>
      <c r="G546" s="7">
        <v>4306</v>
      </c>
      <c r="H546" s="7">
        <v>8260</v>
      </c>
      <c r="I546" s="7">
        <v>0</v>
      </c>
      <c r="J546" s="2">
        <v>18.14999961853027</v>
      </c>
      <c r="K546" s="23">
        <f>C546*8.002+D546*0.57+E546*7.1+F546*5</f>
        <v>39019.824000000095</v>
      </c>
      <c r="L546" s="23">
        <f t="shared" si="90"/>
        <v>9.061733395262447</v>
      </c>
      <c r="M546" s="12" t="s">
        <v>11</v>
      </c>
      <c r="N546" s="7">
        <v>32969</v>
      </c>
      <c r="O546" s="7">
        <v>34821.749999999993</v>
      </c>
      <c r="P546" s="7">
        <f t="shared" si="85"/>
        <v>39570.170454545449</v>
      </c>
      <c r="Q546" s="7">
        <v>54109</v>
      </c>
      <c r="R546" s="7">
        <v>11616.939999999986</v>
      </c>
      <c r="S546" s="7">
        <f t="shared" si="86"/>
        <v>15489.253333333314</v>
      </c>
      <c r="T546" s="2">
        <v>7010</v>
      </c>
      <c r="U546" s="7">
        <f>N546*0.57+P546*5.245+Q546*4.18+S546*8.97</f>
        <v>591452.09643409075</v>
      </c>
      <c r="V546" s="7">
        <f t="shared" si="87"/>
        <v>84.372624312994404</v>
      </c>
      <c r="W546" s="17"/>
      <c r="X546" s="11"/>
      <c r="AA546" s="11"/>
      <c r="AB546" s="11"/>
      <c r="AC546" s="11"/>
      <c r="AD546" s="11"/>
      <c r="AE546" s="11"/>
    </row>
    <row r="547" spans="1:31" x14ac:dyDescent="0.25">
      <c r="A547" s="15" t="s">
        <v>1</v>
      </c>
      <c r="B547" s="21">
        <v>45718</v>
      </c>
      <c r="C547" s="7">
        <v>3810</v>
      </c>
      <c r="D547" s="7">
        <v>10134.599999999335</v>
      </c>
      <c r="E547" s="7">
        <v>0</v>
      </c>
      <c r="F547" s="7">
        <v>0</v>
      </c>
      <c r="G547" s="7">
        <v>4706</v>
      </c>
      <c r="H547" s="7">
        <v>6656</v>
      </c>
      <c r="I547" s="7">
        <v>0</v>
      </c>
      <c r="J547" s="2">
        <v>19.85000038146973</v>
      </c>
      <c r="K547" s="23">
        <f t="shared" ref="K547:K575" si="91">C547*8.002+D547*0.57+E547*7.1+F547*5</f>
        <v>36264.341999999626</v>
      </c>
      <c r="L547" s="23">
        <f t="shared" si="90"/>
        <v>7.705980025499283</v>
      </c>
      <c r="M547" s="12" t="s">
        <v>11</v>
      </c>
      <c r="N547" s="7">
        <v>30938</v>
      </c>
      <c r="O547" s="7">
        <v>36214.62000000001</v>
      </c>
      <c r="P547" s="7">
        <f t="shared" si="85"/>
        <v>41152.977272727287</v>
      </c>
      <c r="Q547" s="7">
        <v>40998</v>
      </c>
      <c r="R547" s="7">
        <v>7869.5399999999991</v>
      </c>
      <c r="S547" s="7">
        <f t="shared" si="86"/>
        <v>10492.72</v>
      </c>
      <c r="T547" s="2">
        <v>6493</v>
      </c>
      <c r="U547" s="7">
        <f>N547*0.57+P547*5.245+Q547*4.18+S547*8.97</f>
        <v>498973.36419545463</v>
      </c>
      <c r="V547" s="7">
        <f t="shared" si="87"/>
        <v>76.8478922216933</v>
      </c>
      <c r="W547" s="17"/>
      <c r="X547" s="11"/>
      <c r="AA547" s="11"/>
      <c r="AB547" s="11"/>
      <c r="AC547" s="11"/>
      <c r="AD547" s="11"/>
      <c r="AE547" s="11"/>
    </row>
    <row r="548" spans="1:31" x14ac:dyDescent="0.25">
      <c r="A548" s="15" t="s">
        <v>1</v>
      </c>
      <c r="B548" s="21">
        <v>45719</v>
      </c>
      <c r="C548" s="7">
        <v>4500</v>
      </c>
      <c r="D548" s="7">
        <v>7387.1999999995014</v>
      </c>
      <c r="E548" s="7">
        <v>0</v>
      </c>
      <c r="F548" s="7">
        <v>140</v>
      </c>
      <c r="G548" s="7">
        <v>5602</v>
      </c>
      <c r="H548" s="7">
        <v>6104</v>
      </c>
      <c r="I548" s="7">
        <v>0</v>
      </c>
      <c r="J548" s="2">
        <v>18.45000076293945</v>
      </c>
      <c r="K548" s="23">
        <f t="shared" si="91"/>
        <v>40919.703999999714</v>
      </c>
      <c r="L548" s="23">
        <f t="shared" si="90"/>
        <v>7.304481256693987</v>
      </c>
      <c r="M548" s="12" t="s">
        <v>11</v>
      </c>
      <c r="N548" s="7">
        <v>33454</v>
      </c>
      <c r="O548" s="7">
        <v>43628.459999999992</v>
      </c>
      <c r="P548" s="7">
        <f t="shared" si="85"/>
        <v>49577.795454545449</v>
      </c>
      <c r="Q548" s="7">
        <v>41722</v>
      </c>
      <c r="R548" s="7">
        <v>8244.2799999999916</v>
      </c>
      <c r="S548" s="7">
        <f t="shared" si="86"/>
        <v>10992.373333333322</v>
      </c>
      <c r="T548" s="2">
        <v>7091</v>
      </c>
      <c r="U548" s="7">
        <f t="shared" ref="U548:U575" si="92">N548*0.57+P548*5.245+Q548*4.18+S548*8.97</f>
        <v>552103.86595909076</v>
      </c>
      <c r="V548" s="7">
        <f t="shared" si="87"/>
        <v>77.859803407007576</v>
      </c>
      <c r="W548" s="17"/>
      <c r="X548" s="11"/>
      <c r="AA548" s="11"/>
      <c r="AB548" s="11"/>
      <c r="AC548" s="11"/>
      <c r="AD548" s="11"/>
      <c r="AE548" s="11"/>
    </row>
    <row r="549" spans="1:31" x14ac:dyDescent="0.25">
      <c r="A549" s="15" t="s">
        <v>1</v>
      </c>
      <c r="B549" s="21">
        <v>45720</v>
      </c>
      <c r="C549" s="7">
        <v>5811</v>
      </c>
      <c r="D549" s="7">
        <v>12368.999999998339</v>
      </c>
      <c r="E549" s="7">
        <v>0</v>
      </c>
      <c r="F549" s="7">
        <v>90</v>
      </c>
      <c r="G549" s="7">
        <v>8867</v>
      </c>
      <c r="H549" s="7">
        <v>8867</v>
      </c>
      <c r="I549" s="7">
        <v>0</v>
      </c>
      <c r="J549" s="2">
        <v>17.95000076293945</v>
      </c>
      <c r="K549" s="23">
        <f t="shared" si="91"/>
        <v>53999.951999999059</v>
      </c>
      <c r="L549" s="23">
        <f t="shared" si="90"/>
        <v>6.0899912033381138</v>
      </c>
      <c r="M549" s="12" t="s">
        <v>11</v>
      </c>
      <c r="N549" s="7">
        <v>34109</v>
      </c>
      <c r="O549" s="7">
        <v>48357.10000000002</v>
      </c>
      <c r="P549" s="7">
        <f t="shared" si="85"/>
        <v>54951.250000000022</v>
      </c>
      <c r="Q549" s="7">
        <v>41088</v>
      </c>
      <c r="R549" s="7">
        <v>11123.059999999981</v>
      </c>
      <c r="S549" s="7">
        <f t="shared" si="86"/>
        <v>14830.746666666642</v>
      </c>
      <c r="T549" s="2">
        <v>7383</v>
      </c>
      <c r="U549" s="7">
        <f t="shared" si="92"/>
        <v>612441.07384999993</v>
      </c>
      <c r="V549" s="7">
        <f t="shared" si="87"/>
        <v>82.952874691859662</v>
      </c>
      <c r="W549" s="17"/>
      <c r="X549" s="11"/>
      <c r="AA549" s="11"/>
      <c r="AB549" s="11"/>
      <c r="AC549" s="11"/>
      <c r="AD549" s="11"/>
      <c r="AE549" s="11"/>
    </row>
    <row r="550" spans="1:31" x14ac:dyDescent="0.25">
      <c r="A550" s="15" t="s">
        <v>1</v>
      </c>
      <c r="B550" s="21">
        <v>45721</v>
      </c>
      <c r="C550" s="8">
        <v>3864</v>
      </c>
      <c r="D550" s="8">
        <v>10921.200000001991</v>
      </c>
      <c r="E550" s="8">
        <v>0</v>
      </c>
      <c r="F550" s="7">
        <v>140</v>
      </c>
      <c r="G550" s="8">
        <v>8644</v>
      </c>
      <c r="H550" s="8">
        <v>7432</v>
      </c>
      <c r="I550" s="8">
        <v>0</v>
      </c>
      <c r="J550" s="2">
        <v>16.25</v>
      </c>
      <c r="K550" s="23">
        <f t="shared" si="91"/>
        <v>37844.81200000114</v>
      </c>
      <c r="L550" s="23">
        <f t="shared" si="90"/>
        <v>4.3781596483110992</v>
      </c>
      <c r="M550" s="12" t="s">
        <v>11</v>
      </c>
      <c r="N550" s="8">
        <v>32402</v>
      </c>
      <c r="O550" s="8">
        <v>39555.83</v>
      </c>
      <c r="P550" s="7">
        <f t="shared" si="85"/>
        <v>44949.806818181823</v>
      </c>
      <c r="Q550" s="8">
        <v>43389</v>
      </c>
      <c r="R550" s="8">
        <v>8244.2800000000243</v>
      </c>
      <c r="S550" s="7">
        <f t="shared" si="86"/>
        <v>10992.373333333366</v>
      </c>
      <c r="T550" s="2">
        <v>6408</v>
      </c>
      <c r="U550" s="7">
        <f t="shared" si="92"/>
        <v>534198.48556136386</v>
      </c>
      <c r="V550" s="7">
        <f t="shared" si="87"/>
        <v>83.364307983983124</v>
      </c>
      <c r="W550" s="17"/>
      <c r="X550" s="11"/>
      <c r="AA550" s="11"/>
      <c r="AB550" s="11"/>
      <c r="AC550" s="11"/>
      <c r="AD550" s="11"/>
      <c r="AE550" s="11"/>
    </row>
    <row r="551" spans="1:31" x14ac:dyDescent="0.25">
      <c r="A551" s="15" t="s">
        <v>1</v>
      </c>
      <c r="B551" s="21">
        <v>45722</v>
      </c>
      <c r="C551" s="7">
        <v>6055</v>
      </c>
      <c r="D551" s="7">
        <v>13235.399999996514</v>
      </c>
      <c r="E551" s="7">
        <v>6175</v>
      </c>
      <c r="F551" s="7">
        <v>0</v>
      </c>
      <c r="G551" s="7">
        <v>10785</v>
      </c>
      <c r="H551" s="7">
        <v>9468</v>
      </c>
      <c r="I551" s="7">
        <v>44080</v>
      </c>
      <c r="J551" s="2">
        <v>19.35000038146973</v>
      </c>
      <c r="K551" s="23">
        <f t="shared" si="91"/>
        <v>99838.787999998021</v>
      </c>
      <c r="L551" s="23">
        <f t="shared" si="90"/>
        <v>9.2571894297633772</v>
      </c>
      <c r="M551" s="12" t="s">
        <v>11</v>
      </c>
      <c r="N551" s="7">
        <v>32432</v>
      </c>
      <c r="O551" s="7">
        <v>32500.299999999988</v>
      </c>
      <c r="P551" s="7">
        <f t="shared" si="85"/>
        <v>36932.159090909081</v>
      </c>
      <c r="Q551" s="7">
        <v>49766</v>
      </c>
      <c r="R551" s="7">
        <v>11497.800000000007</v>
      </c>
      <c r="S551" s="7">
        <f t="shared" si="86"/>
        <v>15330.400000000009</v>
      </c>
      <c r="T551" s="2">
        <v>6544</v>
      </c>
      <c r="U551" s="7">
        <f t="shared" si="92"/>
        <v>557730.98243181815</v>
      </c>
      <c r="V551" s="7">
        <f t="shared" si="87"/>
        <v>85.227839613664145</v>
      </c>
      <c r="W551" s="17"/>
      <c r="X551" s="11"/>
      <c r="AA551" s="11"/>
      <c r="AB551" s="11"/>
      <c r="AC551" s="11"/>
      <c r="AD551" s="11"/>
      <c r="AE551" s="11"/>
    </row>
    <row r="552" spans="1:31" x14ac:dyDescent="0.25">
      <c r="A552" s="15" t="s">
        <v>1</v>
      </c>
      <c r="B552" s="21">
        <v>45723</v>
      </c>
      <c r="C552" s="7">
        <v>4681</v>
      </c>
      <c r="D552" s="7">
        <v>11514.000000002488</v>
      </c>
      <c r="E552" s="7">
        <v>0</v>
      </c>
      <c r="F552" s="7">
        <v>145</v>
      </c>
      <c r="G552" s="7">
        <v>13715</v>
      </c>
      <c r="H552" s="7">
        <v>8772</v>
      </c>
      <c r="I552" s="7">
        <v>0</v>
      </c>
      <c r="J552" s="2">
        <v>14.75</v>
      </c>
      <c r="K552" s="23">
        <f t="shared" si="91"/>
        <v>44745.342000001416</v>
      </c>
      <c r="L552" s="23">
        <f t="shared" si="90"/>
        <v>3.2625112650383823</v>
      </c>
      <c r="M552" s="12" t="s">
        <v>11</v>
      </c>
      <c r="N552" s="7">
        <v>34311</v>
      </c>
      <c r="O552" s="7">
        <v>42366.349999999991</v>
      </c>
      <c r="P552" s="7">
        <f t="shared" si="85"/>
        <v>48143.579545454537</v>
      </c>
      <c r="Q552" s="7">
        <v>51270</v>
      </c>
      <c r="R552" s="7">
        <v>11616.940000000019</v>
      </c>
      <c r="S552" s="7">
        <f t="shared" si="86"/>
        <v>15489.253333333358</v>
      </c>
      <c r="T552" s="2">
        <v>8032</v>
      </c>
      <c r="U552" s="7">
        <f t="shared" si="92"/>
        <v>625317.54711590928</v>
      </c>
      <c r="V552" s="7">
        <f t="shared" si="87"/>
        <v>77.853280268415006</v>
      </c>
      <c r="W552" s="17"/>
      <c r="X552" s="11"/>
      <c r="AA552" s="11"/>
      <c r="AB552" s="11"/>
      <c r="AC552" s="11"/>
      <c r="AD552" s="11"/>
      <c r="AE552" s="11"/>
    </row>
    <row r="553" spans="1:31" x14ac:dyDescent="0.25">
      <c r="A553" s="15" t="s">
        <v>1</v>
      </c>
      <c r="B553" s="21">
        <v>45724</v>
      </c>
      <c r="C553" s="7">
        <v>6090</v>
      </c>
      <c r="D553" s="7">
        <v>8903.4000000014912</v>
      </c>
      <c r="E553" s="7">
        <v>5750</v>
      </c>
      <c r="F553" s="7">
        <v>52</v>
      </c>
      <c r="G553" s="7">
        <v>9574</v>
      </c>
      <c r="H553" s="7">
        <v>4238</v>
      </c>
      <c r="I553" s="7">
        <v>28800</v>
      </c>
      <c r="J553" s="2">
        <v>15.75</v>
      </c>
      <c r="K553" s="23">
        <f t="shared" si="91"/>
        <v>94892.118000000861</v>
      </c>
      <c r="L553" s="23">
        <f t="shared" si="90"/>
        <v>9.9114391059119349</v>
      </c>
      <c r="M553" s="12" t="s">
        <v>11</v>
      </c>
      <c r="N553" s="7">
        <v>35449</v>
      </c>
      <c r="O553" s="7">
        <v>47357.58</v>
      </c>
      <c r="P553" s="7">
        <f t="shared" si="85"/>
        <v>53815.431818181823</v>
      </c>
      <c r="Q553" s="7">
        <v>47521</v>
      </c>
      <c r="R553" s="7">
        <v>7869.5399999999991</v>
      </c>
      <c r="S553" s="7">
        <f t="shared" si="86"/>
        <v>10492.72</v>
      </c>
      <c r="T553" s="2">
        <v>9015</v>
      </c>
      <c r="U553" s="7">
        <f t="shared" si="92"/>
        <v>595225.34828636365</v>
      </c>
      <c r="V553" s="7">
        <f t="shared" si="87"/>
        <v>66.026106299097464</v>
      </c>
      <c r="W553" s="17"/>
      <c r="X553" s="11"/>
      <c r="AA553" s="11"/>
      <c r="AB553" s="11"/>
      <c r="AC553" s="11"/>
      <c r="AD553" s="11"/>
      <c r="AE553" s="11"/>
    </row>
    <row r="554" spans="1:31" x14ac:dyDescent="0.25">
      <c r="A554" s="15" t="s">
        <v>1</v>
      </c>
      <c r="B554" s="21">
        <v>45725</v>
      </c>
      <c r="C554" s="7">
        <v>5350</v>
      </c>
      <c r="D554" s="7">
        <v>10510.799999997178</v>
      </c>
      <c r="E554" s="7">
        <v>0</v>
      </c>
      <c r="F554" s="7">
        <v>0</v>
      </c>
      <c r="G554" s="7">
        <v>8552</v>
      </c>
      <c r="H554" s="7">
        <v>8120</v>
      </c>
      <c r="I554" s="7">
        <v>0</v>
      </c>
      <c r="J554" s="2">
        <v>17.25</v>
      </c>
      <c r="K554" s="23">
        <f t="shared" si="91"/>
        <v>48801.855999998399</v>
      </c>
      <c r="L554" s="23">
        <f t="shared" si="90"/>
        <v>5.7064845650138443</v>
      </c>
      <c r="M554" s="12" t="s">
        <v>11</v>
      </c>
      <c r="N554" s="7">
        <v>35080</v>
      </c>
      <c r="O554" s="7">
        <v>47357.580000000024</v>
      </c>
      <c r="P554" s="7">
        <f t="shared" si="85"/>
        <v>53815.431818181845</v>
      </c>
      <c r="Q554" s="7">
        <v>38771</v>
      </c>
      <c r="R554" s="7">
        <v>11242.199999999993</v>
      </c>
      <c r="S554" s="7">
        <f t="shared" si="86"/>
        <v>14989.599999999991</v>
      </c>
      <c r="T554" s="2">
        <v>7705</v>
      </c>
      <c r="U554" s="7">
        <f t="shared" si="92"/>
        <v>598777.03188636375</v>
      </c>
      <c r="V554" s="7">
        <f t="shared" si="87"/>
        <v>77.712788044953115</v>
      </c>
      <c r="W554" s="17"/>
      <c r="X554" s="11"/>
      <c r="AA554" s="11"/>
      <c r="AB554" s="11"/>
      <c r="AC554" s="11"/>
      <c r="AD554" s="11"/>
      <c r="AE554" s="11"/>
    </row>
    <row r="555" spans="1:31" x14ac:dyDescent="0.25">
      <c r="A555" s="15" t="s">
        <v>1</v>
      </c>
      <c r="B555" s="21">
        <v>45726</v>
      </c>
      <c r="C555" s="8">
        <v>5773</v>
      </c>
      <c r="D555" s="8">
        <v>3591.0000000016585</v>
      </c>
      <c r="E555" s="8">
        <v>0</v>
      </c>
      <c r="F555" s="7">
        <v>0</v>
      </c>
      <c r="G555" s="8">
        <v>5336</v>
      </c>
      <c r="H555" s="8">
        <v>2007</v>
      </c>
      <c r="I555" s="8">
        <v>0</v>
      </c>
      <c r="J555" s="2">
        <v>17.54999923706055</v>
      </c>
      <c r="K555" s="23">
        <f t="shared" si="91"/>
        <v>48242.416000000951</v>
      </c>
      <c r="L555" s="23">
        <f t="shared" si="90"/>
        <v>9.0409325337333115</v>
      </c>
      <c r="M555" s="12" t="s">
        <v>11</v>
      </c>
      <c r="N555" s="8">
        <v>36530</v>
      </c>
      <c r="O555" s="8">
        <v>48906.95</v>
      </c>
      <c r="P555" s="7">
        <f t="shared" si="85"/>
        <v>55576.079545454544</v>
      </c>
      <c r="Q555" s="8">
        <v>51856</v>
      </c>
      <c r="R555" s="8">
        <v>0</v>
      </c>
      <c r="S555" s="7">
        <f t="shared" si="86"/>
        <v>0</v>
      </c>
      <c r="T555" s="2">
        <v>8773</v>
      </c>
      <c r="U555" s="7">
        <f t="shared" si="92"/>
        <v>529076.71721590904</v>
      </c>
      <c r="V555" s="7">
        <f t="shared" si="87"/>
        <v>60.307388261245755</v>
      </c>
      <c r="W555" s="17"/>
      <c r="X555" s="11"/>
      <c r="AA555" s="11"/>
      <c r="AB555" s="11"/>
      <c r="AC555" s="11"/>
      <c r="AD555" s="11"/>
      <c r="AE555" s="11"/>
    </row>
    <row r="556" spans="1:31" x14ac:dyDescent="0.25">
      <c r="A556" s="15" t="s">
        <v>1</v>
      </c>
      <c r="B556" s="21">
        <v>45727</v>
      </c>
      <c r="C556" s="7">
        <v>4427</v>
      </c>
      <c r="D556" s="7">
        <v>12699.599999999336</v>
      </c>
      <c r="E556" s="7">
        <v>5850</v>
      </c>
      <c r="F556" s="7">
        <v>0</v>
      </c>
      <c r="G556" s="7">
        <v>8597</v>
      </c>
      <c r="H556" s="7">
        <v>10296</v>
      </c>
      <c r="I556" s="7">
        <v>32400</v>
      </c>
      <c r="J556" s="2">
        <v>20.29999923706055</v>
      </c>
      <c r="K556" s="23">
        <f t="shared" si="91"/>
        <v>84198.625999999611</v>
      </c>
      <c r="L556" s="23">
        <f t="shared" si="90"/>
        <v>9.7939544026985708</v>
      </c>
      <c r="M556" s="12" t="s">
        <v>11</v>
      </c>
      <c r="N556" s="7">
        <v>35531</v>
      </c>
      <c r="O556" s="7">
        <v>48662.599999999991</v>
      </c>
      <c r="P556" s="7">
        <f t="shared" si="85"/>
        <v>55298.409090909081</v>
      </c>
      <c r="Q556" s="7">
        <v>54229</v>
      </c>
      <c r="R556" s="7">
        <v>0</v>
      </c>
      <c r="S556" s="7">
        <f t="shared" si="86"/>
        <v>0</v>
      </c>
      <c r="T556" s="2">
        <v>8272</v>
      </c>
      <c r="U556" s="7">
        <f t="shared" si="92"/>
        <v>536970.04568181816</v>
      </c>
      <c r="V556" s="7">
        <f t="shared" si="87"/>
        <v>64.914173800993495</v>
      </c>
      <c r="W556" s="17"/>
      <c r="X556" s="11"/>
      <c r="AA556" s="11"/>
      <c r="AB556" s="11"/>
      <c r="AC556" s="11"/>
      <c r="AD556" s="11"/>
      <c r="AE556" s="11"/>
    </row>
    <row r="557" spans="1:31" x14ac:dyDescent="0.25">
      <c r="A557" s="15" t="s">
        <v>1</v>
      </c>
      <c r="B557" s="21">
        <v>45728</v>
      </c>
      <c r="C557" s="7">
        <v>6537</v>
      </c>
      <c r="D557" s="7">
        <v>10898.400000001493</v>
      </c>
      <c r="E557" s="7">
        <v>0</v>
      </c>
      <c r="F557" s="7">
        <v>39</v>
      </c>
      <c r="G557" s="7">
        <v>7990</v>
      </c>
      <c r="H557" s="7">
        <v>8476</v>
      </c>
      <c r="I557" s="7">
        <v>0</v>
      </c>
      <c r="J557" s="2">
        <v>17.79999923706055</v>
      </c>
      <c r="K557" s="23">
        <f t="shared" si="91"/>
        <v>58716.162000000855</v>
      </c>
      <c r="L557" s="23">
        <f t="shared" si="90"/>
        <v>7.3487061326659395</v>
      </c>
      <c r="M557" s="12" t="s">
        <v>11</v>
      </c>
      <c r="N557" s="7">
        <v>34870</v>
      </c>
      <c r="O557" s="7">
        <v>49956.92</v>
      </c>
      <c r="P557" s="7">
        <f t="shared" si="85"/>
        <v>56769.227272727272</v>
      </c>
      <c r="Q557" s="7">
        <v>54229</v>
      </c>
      <c r="R557" s="7">
        <v>0</v>
      </c>
      <c r="S557" s="7">
        <f t="shared" si="86"/>
        <v>0</v>
      </c>
      <c r="T557" s="2">
        <v>7578</v>
      </c>
      <c r="U557" s="7">
        <f t="shared" si="92"/>
        <v>544307.71704545454</v>
      </c>
      <c r="V557" s="7">
        <f t="shared" si="87"/>
        <v>71.827357752105371</v>
      </c>
      <c r="W557" s="17"/>
      <c r="X557" s="11"/>
      <c r="AA557" s="11"/>
      <c r="AB557" s="11"/>
      <c r="AC557" s="11"/>
      <c r="AD557" s="11"/>
      <c r="AE557" s="11"/>
    </row>
    <row r="558" spans="1:31" x14ac:dyDescent="0.25">
      <c r="A558" s="15" t="s">
        <v>1</v>
      </c>
      <c r="B558" s="21">
        <v>45729</v>
      </c>
      <c r="C558" s="7">
        <v>3790</v>
      </c>
      <c r="D558" s="7">
        <v>13098.599999997678</v>
      </c>
      <c r="E558" s="7">
        <v>0</v>
      </c>
      <c r="F558" s="7">
        <v>0</v>
      </c>
      <c r="G558" s="7">
        <v>7897</v>
      </c>
      <c r="H558" s="7">
        <v>9334</v>
      </c>
      <c r="I558" s="7">
        <v>0</v>
      </c>
      <c r="J558" s="2">
        <v>14.39999961853027</v>
      </c>
      <c r="K558" s="23">
        <f t="shared" si="91"/>
        <v>37793.781999998675</v>
      </c>
      <c r="L558" s="23">
        <f t="shared" si="90"/>
        <v>4.78584044573872</v>
      </c>
      <c r="M558" s="12" t="s">
        <v>11</v>
      </c>
      <c r="N558" s="7">
        <v>31993</v>
      </c>
      <c r="O558" s="7">
        <v>35881.509999999995</v>
      </c>
      <c r="P558" s="7">
        <f t="shared" si="85"/>
        <v>40774.443181818177</v>
      </c>
      <c r="Q558" s="7">
        <v>51887</v>
      </c>
      <c r="R558" s="7">
        <v>0</v>
      </c>
      <c r="S558" s="7">
        <f t="shared" si="86"/>
        <v>0</v>
      </c>
      <c r="T558" s="2">
        <v>5960</v>
      </c>
      <c r="U558" s="7">
        <f t="shared" si="92"/>
        <v>448985.62448863633</v>
      </c>
      <c r="V558" s="7">
        <f t="shared" si="87"/>
        <v>75.3331584712477</v>
      </c>
      <c r="W558" s="17"/>
      <c r="X558" s="11"/>
      <c r="AA558" s="11"/>
      <c r="AB558" s="11"/>
      <c r="AC558" s="11"/>
      <c r="AD558" s="11"/>
      <c r="AE558" s="11"/>
    </row>
    <row r="559" spans="1:31" x14ac:dyDescent="0.25">
      <c r="A559" s="15" t="s">
        <v>1</v>
      </c>
      <c r="B559" s="21">
        <v>45730</v>
      </c>
      <c r="C559" s="7">
        <v>2900</v>
      </c>
      <c r="D559" s="7">
        <v>10168.800000002155</v>
      </c>
      <c r="E559" s="7">
        <v>6500</v>
      </c>
      <c r="F559" s="7">
        <v>0</v>
      </c>
      <c r="G559" s="7">
        <v>7617</v>
      </c>
      <c r="H559" s="7">
        <v>7197</v>
      </c>
      <c r="I559" s="7">
        <v>47904</v>
      </c>
      <c r="J559" s="2">
        <v>17.14999961853027</v>
      </c>
      <c r="K559" s="23">
        <f t="shared" si="91"/>
        <v>75152.016000001226</v>
      </c>
      <c r="L559" s="23">
        <f t="shared" si="90"/>
        <v>9.8663536825523472</v>
      </c>
      <c r="M559" s="12" t="s">
        <v>11</v>
      </c>
      <c r="N559" s="7">
        <v>31424</v>
      </c>
      <c r="O559" s="7">
        <v>44045.619999999995</v>
      </c>
      <c r="P559" s="7">
        <f t="shared" si="85"/>
        <v>50051.840909090904</v>
      </c>
      <c r="Q559" s="7">
        <v>47095</v>
      </c>
      <c r="R559" s="7">
        <v>0</v>
      </c>
      <c r="S559" s="7">
        <f t="shared" si="86"/>
        <v>0</v>
      </c>
      <c r="T559" s="2">
        <v>5878</v>
      </c>
      <c r="U559" s="7">
        <f t="shared" si="92"/>
        <v>477290.6855681818</v>
      </c>
      <c r="V559" s="7">
        <f t="shared" si="87"/>
        <v>81.199504179683871</v>
      </c>
      <c r="W559" s="17"/>
      <c r="X559" s="11"/>
      <c r="AA559" s="11"/>
      <c r="AB559" s="11"/>
      <c r="AC559" s="11"/>
      <c r="AD559" s="11"/>
      <c r="AE559" s="11"/>
    </row>
    <row r="560" spans="1:31" x14ac:dyDescent="0.25">
      <c r="A560" s="15" t="s">
        <v>1</v>
      </c>
      <c r="B560" s="21">
        <v>45731</v>
      </c>
      <c r="C560" s="8">
        <v>5770</v>
      </c>
      <c r="D560" s="8">
        <v>12745.200000000332</v>
      </c>
      <c r="E560" s="8">
        <v>0</v>
      </c>
      <c r="F560" s="7">
        <v>0</v>
      </c>
      <c r="G560" s="8">
        <v>8448</v>
      </c>
      <c r="H560" s="8">
        <v>9506</v>
      </c>
      <c r="I560" s="8">
        <v>0</v>
      </c>
      <c r="J560" s="2">
        <v>19.39999961853027</v>
      </c>
      <c r="K560" s="23">
        <f t="shared" si="91"/>
        <v>53436.304000000193</v>
      </c>
      <c r="L560" s="23">
        <f t="shared" si="90"/>
        <v>6.3253200757575989</v>
      </c>
      <c r="M560" s="12" t="s">
        <v>11</v>
      </c>
      <c r="N560" s="8">
        <v>34386</v>
      </c>
      <c r="O560" s="8">
        <v>41786.100000000013</v>
      </c>
      <c r="P560" s="7">
        <f t="shared" si="85"/>
        <v>47484.204545454559</v>
      </c>
      <c r="Q560" s="8">
        <v>54271</v>
      </c>
      <c r="R560" s="8">
        <v>0</v>
      </c>
      <c r="S560" s="7">
        <f t="shared" si="86"/>
        <v>0</v>
      </c>
      <c r="T560" s="2">
        <v>6304</v>
      </c>
      <c r="U560" s="7">
        <f t="shared" si="92"/>
        <v>495507.45284090913</v>
      </c>
      <c r="V560" s="7">
        <f t="shared" si="87"/>
        <v>78.602070564865031</v>
      </c>
      <c r="W560" s="17"/>
      <c r="X560" s="11"/>
      <c r="AA560" s="11"/>
      <c r="AB560" s="11"/>
      <c r="AC560" s="11"/>
      <c r="AD560" s="11"/>
      <c r="AE560" s="11"/>
    </row>
    <row r="561" spans="1:31" x14ac:dyDescent="0.25">
      <c r="A561" s="15" t="s">
        <v>1</v>
      </c>
      <c r="B561" s="21">
        <v>45732</v>
      </c>
      <c r="C561" s="7">
        <v>3550</v>
      </c>
      <c r="D561" s="7">
        <v>10966.799999998837</v>
      </c>
      <c r="E561" s="7">
        <v>0</v>
      </c>
      <c r="F561" s="7">
        <v>0</v>
      </c>
      <c r="G561" s="7">
        <v>8859</v>
      </c>
      <c r="H561" s="7">
        <v>9672</v>
      </c>
      <c r="I561" s="7">
        <v>0</v>
      </c>
      <c r="J561" s="2">
        <v>19.75</v>
      </c>
      <c r="K561" s="23">
        <f t="shared" si="91"/>
        <v>34658.175999999337</v>
      </c>
      <c r="L561" s="23">
        <f t="shared" si="90"/>
        <v>3.9121995710576067</v>
      </c>
      <c r="M561" s="12" t="s">
        <v>11</v>
      </c>
      <c r="N561" s="7">
        <v>34773</v>
      </c>
      <c r="O561" s="7">
        <v>39000.359999999993</v>
      </c>
      <c r="P561" s="7">
        <f t="shared" si="85"/>
        <v>44318.590909090904</v>
      </c>
      <c r="Q561" s="7">
        <v>65559</v>
      </c>
      <c r="R561" s="7">
        <v>0</v>
      </c>
      <c r="S561" s="7">
        <f t="shared" si="86"/>
        <v>0</v>
      </c>
      <c r="T561" s="2">
        <v>6487</v>
      </c>
      <c r="U561" s="7">
        <f t="shared" si="92"/>
        <v>526308.23931818176</v>
      </c>
      <c r="V561" s="7">
        <f t="shared" si="87"/>
        <v>81.132763884412171</v>
      </c>
      <c r="W561" s="17"/>
      <c r="X561" s="11"/>
      <c r="AA561" s="11"/>
      <c r="AB561" s="11"/>
      <c r="AC561" s="11"/>
      <c r="AD561" s="11"/>
      <c r="AE561" s="11"/>
    </row>
    <row r="562" spans="1:31" x14ac:dyDescent="0.25">
      <c r="A562" s="15" t="s">
        <v>1</v>
      </c>
      <c r="B562" s="21">
        <v>45733</v>
      </c>
      <c r="C562" s="7">
        <v>4785</v>
      </c>
      <c r="D562" s="7">
        <v>8481.599999998507</v>
      </c>
      <c r="E562" s="7">
        <v>0</v>
      </c>
      <c r="F562" s="7">
        <v>119</v>
      </c>
      <c r="G562" s="7">
        <v>5843</v>
      </c>
      <c r="H562" s="7">
        <v>6002</v>
      </c>
      <c r="I562" s="7">
        <v>0</v>
      </c>
      <c r="J562" s="2">
        <v>19.64999961853027</v>
      </c>
      <c r="K562" s="23">
        <f t="shared" si="91"/>
        <v>43719.081999999151</v>
      </c>
      <c r="L562" s="23">
        <f t="shared" si="90"/>
        <v>7.4823005305492298</v>
      </c>
      <c r="M562" s="12" t="s">
        <v>11</v>
      </c>
      <c r="N562" s="7">
        <v>33985</v>
      </c>
      <c r="O562" s="7">
        <v>36172.44999999999</v>
      </c>
      <c r="P562" s="7">
        <f t="shared" si="85"/>
        <v>41105.056818181809</v>
      </c>
      <c r="Q562" s="7">
        <v>56070</v>
      </c>
      <c r="R562" s="7">
        <v>0</v>
      </c>
      <c r="S562" s="7">
        <f t="shared" si="86"/>
        <v>0</v>
      </c>
      <c r="T562" s="2">
        <v>6802</v>
      </c>
      <c r="U562" s="7">
        <f t="shared" si="92"/>
        <v>469340.07301136357</v>
      </c>
      <c r="V562" s="7">
        <f t="shared" si="87"/>
        <v>69.000304764975525</v>
      </c>
      <c r="W562" s="17"/>
      <c r="X562" s="11"/>
      <c r="AA562" s="11"/>
      <c r="AB562" s="11"/>
      <c r="AC562" s="11"/>
      <c r="AD562" s="11"/>
      <c r="AE562" s="11"/>
    </row>
    <row r="563" spans="1:31" x14ac:dyDescent="0.25">
      <c r="A563" s="15" t="s">
        <v>1</v>
      </c>
      <c r="B563" s="21">
        <v>45734</v>
      </c>
      <c r="C563" s="7">
        <v>4460</v>
      </c>
      <c r="D563" s="7">
        <v>6862.8000000004977</v>
      </c>
      <c r="E563" s="7">
        <v>6100</v>
      </c>
      <c r="F563" s="7">
        <v>70</v>
      </c>
      <c r="G563" s="7">
        <v>7502</v>
      </c>
      <c r="H563" s="7">
        <v>4533</v>
      </c>
      <c r="I563" s="7">
        <v>45240</v>
      </c>
      <c r="J563" s="2">
        <v>22.10000038146973</v>
      </c>
      <c r="K563" s="23">
        <f t="shared" si="91"/>
        <v>83260.716000000291</v>
      </c>
      <c r="L563" s="23">
        <f t="shared" si="90"/>
        <v>11.098469208211183</v>
      </c>
      <c r="M563" s="12" t="s">
        <v>11</v>
      </c>
      <c r="N563" s="7">
        <v>34010</v>
      </c>
      <c r="O563" s="7">
        <v>47298.07</v>
      </c>
      <c r="P563" s="7">
        <f t="shared" si="85"/>
        <v>53747.806818181816</v>
      </c>
      <c r="Q563" s="7">
        <v>50133</v>
      </c>
      <c r="R563" s="7">
        <v>0</v>
      </c>
      <c r="S563" s="7">
        <f t="shared" si="86"/>
        <v>0</v>
      </c>
      <c r="T563" s="2">
        <v>6709</v>
      </c>
      <c r="U563" s="7">
        <f t="shared" si="92"/>
        <v>510848.8867613636</v>
      </c>
      <c r="V563" s="7">
        <f t="shared" si="87"/>
        <v>76.143819758736569</v>
      </c>
      <c r="W563" s="17"/>
      <c r="X563" s="11"/>
      <c r="AA563" s="11"/>
      <c r="AB563" s="11"/>
      <c r="AC563" s="11"/>
      <c r="AD563" s="11"/>
      <c r="AE563" s="11"/>
    </row>
    <row r="564" spans="1:31" x14ac:dyDescent="0.25">
      <c r="A564" s="15" t="s">
        <v>1</v>
      </c>
      <c r="B564" s="21">
        <v>45735</v>
      </c>
      <c r="C564" s="7">
        <v>3703</v>
      </c>
      <c r="D564" s="7">
        <v>10191.600000002652</v>
      </c>
      <c r="E564" s="7">
        <v>0</v>
      </c>
      <c r="F564" s="7">
        <v>49</v>
      </c>
      <c r="G564" s="7">
        <v>7823</v>
      </c>
      <c r="H564" s="7">
        <v>8954</v>
      </c>
      <c r="I564" s="7">
        <v>0</v>
      </c>
      <c r="J564" s="2">
        <v>23.89999961853027</v>
      </c>
      <c r="K564" s="23">
        <f t="shared" si="91"/>
        <v>35685.618000001516</v>
      </c>
      <c r="L564" s="23">
        <f t="shared" si="90"/>
        <v>4.5616282755977906</v>
      </c>
      <c r="M564" s="12" t="s">
        <v>11</v>
      </c>
      <c r="N564" s="7">
        <v>35181</v>
      </c>
      <c r="O564" s="7">
        <v>41831.360000000001</v>
      </c>
      <c r="P564" s="7">
        <f t="shared" si="85"/>
        <v>47535.636363636368</v>
      </c>
      <c r="Q564" s="7">
        <v>50930</v>
      </c>
      <c r="R564" s="7">
        <v>0</v>
      </c>
      <c r="S564" s="7">
        <f t="shared" si="86"/>
        <v>0</v>
      </c>
      <c r="T564" s="2">
        <v>6810</v>
      </c>
      <c r="U564" s="7">
        <f t="shared" si="92"/>
        <v>482264.98272727279</v>
      </c>
      <c r="V564" s="7">
        <f t="shared" si="87"/>
        <v>70.817178080363107</v>
      </c>
      <c r="W564" s="17"/>
      <c r="X564" s="11"/>
      <c r="AA564" s="11"/>
      <c r="AB564" s="11"/>
      <c r="AC564" s="11"/>
      <c r="AD564" s="11"/>
      <c r="AE564" s="11"/>
    </row>
    <row r="565" spans="1:31" x14ac:dyDescent="0.25">
      <c r="A565" s="15" t="s">
        <v>1</v>
      </c>
      <c r="B565" s="21">
        <v>45736</v>
      </c>
      <c r="C565" s="8">
        <v>6198</v>
      </c>
      <c r="D565" s="8">
        <v>11399.999999999998</v>
      </c>
      <c r="E565" s="8">
        <v>0</v>
      </c>
      <c r="F565" s="7">
        <v>50</v>
      </c>
      <c r="G565" s="8">
        <v>8268</v>
      </c>
      <c r="H565" s="8">
        <v>9069</v>
      </c>
      <c r="I565" s="8">
        <v>0</v>
      </c>
      <c r="J565" s="2">
        <v>19.54999923706055</v>
      </c>
      <c r="K565" s="23">
        <f t="shared" si="91"/>
        <v>56344.396000000001</v>
      </c>
      <c r="L565" s="23">
        <f t="shared" si="90"/>
        <v>6.8147552007740684</v>
      </c>
      <c r="M565" s="12" t="s">
        <v>11</v>
      </c>
      <c r="N565" s="8">
        <v>34399</v>
      </c>
      <c r="O565" s="8">
        <v>48061.39</v>
      </c>
      <c r="P565" s="7">
        <f t="shared" si="85"/>
        <v>54615.215909090912</v>
      </c>
      <c r="Q565" s="8">
        <v>51610</v>
      </c>
      <c r="R565" s="8">
        <v>0</v>
      </c>
      <c r="S565" s="7">
        <f t="shared" si="86"/>
        <v>0</v>
      </c>
      <c r="T565" s="2">
        <v>7013</v>
      </c>
      <c r="U565" s="7">
        <f t="shared" si="92"/>
        <v>521794.03744318179</v>
      </c>
      <c r="V565" s="7">
        <f t="shared" si="87"/>
        <v>74.403826813515153</v>
      </c>
      <c r="W565" s="17"/>
      <c r="X565" s="11"/>
      <c r="AA565" s="11"/>
      <c r="AB565" s="11"/>
      <c r="AC565" s="11"/>
      <c r="AD565" s="11"/>
      <c r="AE565" s="11"/>
    </row>
    <row r="566" spans="1:31" x14ac:dyDescent="0.25">
      <c r="A566" s="15" t="s">
        <v>1</v>
      </c>
      <c r="B566" s="21">
        <v>45737</v>
      </c>
      <c r="C566" s="7">
        <v>4320</v>
      </c>
      <c r="D566" s="7">
        <v>11525.400000000662</v>
      </c>
      <c r="E566" s="7">
        <v>0</v>
      </c>
      <c r="F566" s="7">
        <v>70</v>
      </c>
      <c r="G566" s="7">
        <v>8211</v>
      </c>
      <c r="H566" s="7">
        <v>9370</v>
      </c>
      <c r="I566" s="7">
        <v>0</v>
      </c>
      <c r="J566" s="2">
        <v>15.25</v>
      </c>
      <c r="K566" s="23">
        <f t="shared" si="91"/>
        <v>41488.118000000373</v>
      </c>
      <c r="L566" s="23">
        <f t="shared" si="90"/>
        <v>5.0527485080989374</v>
      </c>
      <c r="M566" s="12" t="s">
        <v>11</v>
      </c>
      <c r="N566" s="7">
        <v>33211</v>
      </c>
      <c r="O566" s="7">
        <v>37542.960000000006</v>
      </c>
      <c r="P566" s="7">
        <f t="shared" si="85"/>
        <v>42662.454545454551</v>
      </c>
      <c r="Q566" s="7">
        <v>58965</v>
      </c>
      <c r="R566" s="7">
        <v>0</v>
      </c>
      <c r="S566" s="7">
        <f t="shared" si="86"/>
        <v>0</v>
      </c>
      <c r="T566" s="2">
        <v>7481</v>
      </c>
      <c r="U566" s="7">
        <f t="shared" si="92"/>
        <v>489168.54409090907</v>
      </c>
      <c r="V566" s="7">
        <f t="shared" si="87"/>
        <v>65.388122455675585</v>
      </c>
      <c r="W566" s="17"/>
      <c r="X566" s="11"/>
      <c r="AA566" s="11"/>
      <c r="AB566" s="11"/>
      <c r="AC566" s="11"/>
      <c r="AD566" s="11"/>
      <c r="AE566" s="11"/>
    </row>
    <row r="567" spans="1:31" x14ac:dyDescent="0.25">
      <c r="A567" s="15" t="s">
        <v>1</v>
      </c>
      <c r="B567" s="21">
        <v>45738</v>
      </c>
      <c r="C567" s="7">
        <v>6855</v>
      </c>
      <c r="D567" s="7">
        <v>12110</v>
      </c>
      <c r="E567" s="7">
        <v>6100</v>
      </c>
      <c r="F567" s="7">
        <v>73</v>
      </c>
      <c r="G567" s="7">
        <v>8520</v>
      </c>
      <c r="H567" s="7">
        <v>9370</v>
      </c>
      <c r="I567" s="7">
        <v>38250</v>
      </c>
      <c r="J567" s="2">
        <v>16.5</v>
      </c>
      <c r="K567" s="23">
        <f t="shared" si="91"/>
        <v>105431.41</v>
      </c>
      <c r="L567" s="23">
        <f t="shared" si="90"/>
        <v>12.374578638497653</v>
      </c>
      <c r="M567" s="12" t="s">
        <v>11</v>
      </c>
      <c r="N567" s="7">
        <v>34193</v>
      </c>
      <c r="O567" s="7">
        <v>46893.289999999994</v>
      </c>
      <c r="P567" s="7">
        <f t="shared" si="85"/>
        <v>53287.829545454537</v>
      </c>
      <c r="Q567" s="7">
        <v>48673</v>
      </c>
      <c r="R567" s="7">
        <v>2997.9200000000028</v>
      </c>
      <c r="S567" s="7">
        <f t="shared" si="86"/>
        <v>3997.2266666666706</v>
      </c>
      <c r="T567" s="2">
        <v>7947</v>
      </c>
      <c r="U567" s="7">
        <f t="shared" si="92"/>
        <v>538292.93916590908</v>
      </c>
      <c r="V567" s="7">
        <f t="shared" si="87"/>
        <v>67.735364183454024</v>
      </c>
      <c r="W567" s="17"/>
      <c r="X567" s="11"/>
      <c r="AA567" s="11"/>
      <c r="AB567" s="11"/>
      <c r="AC567" s="11"/>
      <c r="AD567" s="11"/>
      <c r="AE567" s="11"/>
    </row>
    <row r="568" spans="1:31" x14ac:dyDescent="0.25">
      <c r="A568" s="15" t="s">
        <v>1</v>
      </c>
      <c r="B568" s="21">
        <v>45739</v>
      </c>
      <c r="C568" s="7">
        <v>3810</v>
      </c>
      <c r="D568" s="7">
        <v>11901.599999998507</v>
      </c>
      <c r="E568" s="7">
        <v>0</v>
      </c>
      <c r="F568" s="7">
        <v>30</v>
      </c>
      <c r="G568" s="7">
        <v>8530</v>
      </c>
      <c r="H568" s="7">
        <v>9480</v>
      </c>
      <c r="I568" s="7">
        <v>0</v>
      </c>
      <c r="J568" s="2">
        <v>16.25</v>
      </c>
      <c r="K568" s="23">
        <f t="shared" si="91"/>
        <v>37421.531999999148</v>
      </c>
      <c r="L568" s="23">
        <f t="shared" si="90"/>
        <v>4.3870494724500757</v>
      </c>
      <c r="M568" s="12" t="s">
        <v>11</v>
      </c>
      <c r="N568" s="7">
        <v>35131</v>
      </c>
      <c r="O568" s="7">
        <v>48286.16</v>
      </c>
      <c r="P568" s="7">
        <f t="shared" si="85"/>
        <v>54870.636363636368</v>
      </c>
      <c r="Q568" s="7">
        <v>41666</v>
      </c>
      <c r="R568" s="7">
        <v>10117.979999999983</v>
      </c>
      <c r="S568" s="7">
        <f t="shared" si="86"/>
        <v>13490.639999999978</v>
      </c>
      <c r="T568" s="2">
        <v>8381</v>
      </c>
      <c r="U568" s="7">
        <f t="shared" si="92"/>
        <v>602996.07852727256</v>
      </c>
      <c r="V568" s="7">
        <f t="shared" si="87"/>
        <v>71.947986937987423</v>
      </c>
      <c r="W568" s="17"/>
      <c r="X568" s="11"/>
      <c r="AA568" s="11"/>
      <c r="AB568" s="11"/>
      <c r="AC568" s="11"/>
      <c r="AD568" s="11"/>
      <c r="AE568" s="11"/>
    </row>
    <row r="569" spans="1:31" x14ac:dyDescent="0.25">
      <c r="A569" s="15" t="s">
        <v>1</v>
      </c>
      <c r="B569" s="21">
        <v>45740</v>
      </c>
      <c r="C569" s="7">
        <v>5330</v>
      </c>
      <c r="D569" s="7">
        <v>7478.3999999973448</v>
      </c>
      <c r="E569" s="7">
        <v>0</v>
      </c>
      <c r="F569" s="7">
        <v>75</v>
      </c>
      <c r="G569" s="7">
        <v>5547</v>
      </c>
      <c r="H569" s="7">
        <v>6535</v>
      </c>
      <c r="I569" s="7">
        <v>0</v>
      </c>
      <c r="J569" s="2">
        <v>18.39999961853027</v>
      </c>
      <c r="K569" s="23">
        <f t="shared" si="91"/>
        <v>47288.347999998492</v>
      </c>
      <c r="L569" s="23">
        <f t="shared" si="90"/>
        <v>8.5250311880292937</v>
      </c>
      <c r="M569" s="12" t="s">
        <v>11</v>
      </c>
      <c r="N569" s="7">
        <v>30980</v>
      </c>
      <c r="O569" s="7">
        <v>37465.62000000001</v>
      </c>
      <c r="P569" s="7">
        <f t="shared" si="85"/>
        <v>42574.568181818191</v>
      </c>
      <c r="Q569" s="7">
        <v>41495</v>
      </c>
      <c r="R569" s="7">
        <v>6370.5799999999972</v>
      </c>
      <c r="S569" s="7">
        <f t="shared" si="86"/>
        <v>8494.1066666666629</v>
      </c>
      <c r="T569" s="2">
        <v>6368</v>
      </c>
      <c r="U569" s="7">
        <f t="shared" si="92"/>
        <v>490603.44691363641</v>
      </c>
      <c r="V569" s="7">
        <f t="shared" si="87"/>
        <v>77.04199857312129</v>
      </c>
      <c r="W569" s="17"/>
      <c r="X569" s="11"/>
      <c r="AA569" s="11"/>
      <c r="AB569" s="11"/>
      <c r="AC569" s="11"/>
      <c r="AD569" s="11"/>
      <c r="AE569" s="11"/>
    </row>
    <row r="570" spans="1:31" x14ac:dyDescent="0.25">
      <c r="A570" s="15" t="s">
        <v>1</v>
      </c>
      <c r="B570" s="21">
        <v>45741</v>
      </c>
      <c r="C570" s="8">
        <v>4884</v>
      </c>
      <c r="D570" s="8">
        <v>11616.600000002652</v>
      </c>
      <c r="E570" s="8">
        <v>4800</v>
      </c>
      <c r="F570" s="7">
        <v>0</v>
      </c>
      <c r="G570" s="8">
        <v>9081</v>
      </c>
      <c r="H570" s="8">
        <v>9463</v>
      </c>
      <c r="I570" s="8">
        <v>30544</v>
      </c>
      <c r="J570" s="2">
        <v>21.20000076293945</v>
      </c>
      <c r="K570" s="23">
        <f t="shared" si="91"/>
        <v>79783.230000001524</v>
      </c>
      <c r="L570" s="23">
        <f t="shared" si="90"/>
        <v>8.7857317476050572</v>
      </c>
      <c r="M570" s="12" t="s">
        <v>11</v>
      </c>
      <c r="N570" s="8">
        <v>21090</v>
      </c>
      <c r="O570" s="8">
        <v>19842.599999999995</v>
      </c>
      <c r="P570" s="7">
        <f t="shared" si="85"/>
        <v>22548.409090909085</v>
      </c>
      <c r="Q570" s="8">
        <v>30750</v>
      </c>
      <c r="R570" s="8">
        <v>3372.660000000028</v>
      </c>
      <c r="S570" s="7">
        <f t="shared" si="86"/>
        <v>4496.8800000000374</v>
      </c>
      <c r="T570" s="2">
        <v>3776</v>
      </c>
      <c r="U570" s="7">
        <f t="shared" si="92"/>
        <v>299159.71928181848</v>
      </c>
      <c r="V570" s="7">
        <f t="shared" si="87"/>
        <v>79.226620572515486</v>
      </c>
      <c r="W570" s="17"/>
      <c r="X570" s="11"/>
      <c r="AA570" s="11"/>
      <c r="AB570" s="11"/>
      <c r="AC570" s="11"/>
      <c r="AD570" s="11"/>
      <c r="AE570" s="11"/>
    </row>
    <row r="571" spans="1:31" x14ac:dyDescent="0.25">
      <c r="A571" s="15" t="s">
        <v>1</v>
      </c>
      <c r="B571" s="21">
        <v>45742</v>
      </c>
      <c r="C571" s="7">
        <v>5072</v>
      </c>
      <c r="D571" s="7">
        <v>13520.400000000664</v>
      </c>
      <c r="E571" s="7">
        <v>0</v>
      </c>
      <c r="F571" s="7">
        <v>114</v>
      </c>
      <c r="G571" s="7">
        <v>10673</v>
      </c>
      <c r="H571" s="7">
        <v>10324</v>
      </c>
      <c r="I571" s="7">
        <v>0</v>
      </c>
      <c r="J571" s="2">
        <v>24.20000076293945</v>
      </c>
      <c r="K571" s="23">
        <f t="shared" si="91"/>
        <v>48862.772000000376</v>
      </c>
      <c r="L571" s="23">
        <f t="shared" si="90"/>
        <v>4.5781665885880614</v>
      </c>
      <c r="M571" s="12" t="s">
        <v>11</v>
      </c>
      <c r="N571" s="7">
        <v>29928</v>
      </c>
      <c r="O571" s="7">
        <v>29492.389999999985</v>
      </c>
      <c r="P571" s="7">
        <f t="shared" si="85"/>
        <v>33514.07954545453</v>
      </c>
      <c r="Q571" s="7">
        <v>64261</v>
      </c>
      <c r="R571" s="7">
        <v>5836.6999999999935</v>
      </c>
      <c r="S571" s="7">
        <f t="shared" si="86"/>
        <v>7782.2666666666582</v>
      </c>
      <c r="T571" s="2">
        <v>6602</v>
      </c>
      <c r="U571" s="7">
        <f t="shared" si="92"/>
        <v>531258.2192159089</v>
      </c>
      <c r="V571" s="7">
        <f t="shared" si="87"/>
        <v>80.469284946366088</v>
      </c>
      <c r="W571" s="17"/>
      <c r="X571" s="11"/>
      <c r="AA571" s="11"/>
      <c r="AB571" s="11"/>
      <c r="AC571" s="11"/>
      <c r="AD571" s="11"/>
      <c r="AE571" s="11"/>
    </row>
    <row r="572" spans="1:31" x14ac:dyDescent="0.25">
      <c r="A572" s="15" t="s">
        <v>1</v>
      </c>
      <c r="B572" s="21">
        <v>45743</v>
      </c>
      <c r="C572" s="7">
        <v>5308</v>
      </c>
      <c r="D572" s="7">
        <v>12642.599999996017</v>
      </c>
      <c r="E572" s="7">
        <v>8450</v>
      </c>
      <c r="F572" s="7">
        <v>0</v>
      </c>
      <c r="G572" s="7">
        <v>8202</v>
      </c>
      <c r="H572" s="7">
        <v>9235</v>
      </c>
      <c r="I572" s="7">
        <v>65654</v>
      </c>
      <c r="J572" s="2">
        <v>29.45000076293945</v>
      </c>
      <c r="K572" s="23">
        <f t="shared" si="91"/>
        <v>109675.89799999773</v>
      </c>
      <c r="L572" s="23">
        <f t="shared" si="90"/>
        <v>13.371848085832447</v>
      </c>
      <c r="M572" s="12" t="s">
        <v>11</v>
      </c>
      <c r="N572" s="7">
        <v>34675</v>
      </c>
      <c r="O572" s="7">
        <v>45500.42000000002</v>
      </c>
      <c r="P572" s="7">
        <f t="shared" si="85"/>
        <v>51705.02272727275</v>
      </c>
      <c r="Q572" s="7">
        <v>40803</v>
      </c>
      <c r="R572" s="7">
        <v>8244.2799999999916</v>
      </c>
      <c r="S572" s="7">
        <f t="shared" si="86"/>
        <v>10992.373333333322</v>
      </c>
      <c r="T572" s="2">
        <v>7012</v>
      </c>
      <c r="U572" s="7">
        <f t="shared" si="92"/>
        <v>560115.72300454555</v>
      </c>
      <c r="V572" s="7">
        <f t="shared" si="87"/>
        <v>79.879595408520473</v>
      </c>
      <c r="W572" s="17"/>
      <c r="X572" s="11"/>
      <c r="AA572" s="11"/>
      <c r="AB572" s="11"/>
      <c r="AC572" s="11"/>
      <c r="AD572" s="11"/>
      <c r="AE572" s="11"/>
    </row>
    <row r="573" spans="1:31" x14ac:dyDescent="0.25">
      <c r="A573" s="15" t="s">
        <v>1</v>
      </c>
      <c r="B573" s="21">
        <v>45744</v>
      </c>
      <c r="C573" s="7">
        <v>4638</v>
      </c>
      <c r="D573" s="7">
        <v>11616.600000002652</v>
      </c>
      <c r="E573" s="7">
        <v>8175</v>
      </c>
      <c r="F573" s="7">
        <v>0</v>
      </c>
      <c r="G573" s="7">
        <v>9958</v>
      </c>
      <c r="H573" s="7">
        <v>9370</v>
      </c>
      <c r="I573" s="7">
        <v>63200</v>
      </c>
      <c r="J573" s="2">
        <v>30.85000038146973</v>
      </c>
      <c r="K573" s="23">
        <f t="shared" si="91"/>
        <v>101777.23800000153</v>
      </c>
      <c r="L573" s="23">
        <f t="shared" si="90"/>
        <v>10.220650532235542</v>
      </c>
      <c r="M573" s="12" t="s">
        <v>11</v>
      </c>
      <c r="N573" s="7">
        <v>33998</v>
      </c>
      <c r="O573" s="7">
        <v>45440.849999999984</v>
      </c>
      <c r="P573" s="7">
        <f t="shared" si="85"/>
        <v>51637.32954545453</v>
      </c>
      <c r="Q573" s="7">
        <v>50812</v>
      </c>
      <c r="R573" s="7">
        <v>6960.9200000000019</v>
      </c>
      <c r="S573" s="7">
        <f t="shared" si="86"/>
        <v>9281.2266666666692</v>
      </c>
      <c r="T573" s="2">
        <v>6008</v>
      </c>
      <c r="U573" s="7">
        <f t="shared" si="92"/>
        <v>585863.416665909</v>
      </c>
      <c r="V573" s="7">
        <f t="shared" si="87"/>
        <v>97.513884265297776</v>
      </c>
      <c r="W573" s="17"/>
      <c r="X573" s="11"/>
      <c r="AA573" s="11"/>
      <c r="AB573" s="11"/>
      <c r="AC573" s="11"/>
      <c r="AD573" s="11"/>
      <c r="AE573" s="11"/>
    </row>
    <row r="574" spans="1:31" x14ac:dyDescent="0.25">
      <c r="A574" s="15" t="s">
        <v>1</v>
      </c>
      <c r="B574" s="21">
        <v>45745</v>
      </c>
      <c r="C574" s="7">
        <v>4823</v>
      </c>
      <c r="D574" s="7">
        <v>12916.199999997843</v>
      </c>
      <c r="E574" s="7">
        <v>0</v>
      </c>
      <c r="F574" s="7">
        <v>0</v>
      </c>
      <c r="G574" s="7">
        <v>9836</v>
      </c>
      <c r="H574" s="7">
        <v>10010</v>
      </c>
      <c r="I574" s="7">
        <v>0</v>
      </c>
      <c r="J574" s="2">
        <v>33.849998474121087</v>
      </c>
      <c r="K574" s="23">
        <f t="shared" si="91"/>
        <v>45955.879999998768</v>
      </c>
      <c r="L574" s="23">
        <f t="shared" si="90"/>
        <v>4.6722122814150842</v>
      </c>
      <c r="M574" s="12" t="s">
        <v>11</v>
      </c>
      <c r="N574" s="7">
        <v>32337</v>
      </c>
      <c r="O574" s="7">
        <v>42250.39</v>
      </c>
      <c r="P574" s="7">
        <f t="shared" si="85"/>
        <v>48011.806818181816</v>
      </c>
      <c r="Q574" s="7">
        <v>45992</v>
      </c>
      <c r="R574" s="7">
        <v>1124.2200000000093</v>
      </c>
      <c r="S574" s="7">
        <f t="shared" si="86"/>
        <v>1498.9600000000125</v>
      </c>
      <c r="T574" s="2">
        <v>6864</v>
      </c>
      <c r="U574" s="7">
        <f t="shared" si="92"/>
        <v>475946.24796136376</v>
      </c>
      <c r="V574" s="7">
        <f t="shared" si="87"/>
        <v>69.339488339359519</v>
      </c>
      <c r="W574" s="17"/>
      <c r="X574" s="11"/>
      <c r="AA574" s="11"/>
      <c r="AB574" s="11"/>
      <c r="AC574" s="11"/>
      <c r="AD574" s="11"/>
      <c r="AE574" s="11"/>
    </row>
    <row r="575" spans="1:31" x14ac:dyDescent="0.25">
      <c r="A575" s="15" t="s">
        <v>1</v>
      </c>
      <c r="B575" s="21">
        <v>45746</v>
      </c>
      <c r="C575" s="7">
        <v>3040</v>
      </c>
      <c r="D575" s="7">
        <v>10054.799999999668</v>
      </c>
      <c r="E575" s="7">
        <v>0</v>
      </c>
      <c r="F575" s="7">
        <v>0</v>
      </c>
      <c r="G575" s="7">
        <v>4882</v>
      </c>
      <c r="H575" s="7">
        <v>7301</v>
      </c>
      <c r="I575" s="7">
        <v>0</v>
      </c>
      <c r="J575" s="2">
        <v>25.04999923706055</v>
      </c>
      <c r="K575" s="23">
        <f t="shared" si="91"/>
        <v>30057.315999999813</v>
      </c>
      <c r="L575" s="23">
        <f t="shared" si="90"/>
        <v>6.1567628021302365</v>
      </c>
      <c r="M575" s="12" t="s">
        <v>11</v>
      </c>
      <c r="N575" s="8">
        <v>33797</v>
      </c>
      <c r="O575" s="8">
        <v>42714.680000000015</v>
      </c>
      <c r="P575" s="7">
        <f t="shared" si="85"/>
        <v>48539.40909090911</v>
      </c>
      <c r="Q575" s="8">
        <v>41020</v>
      </c>
      <c r="R575" s="8">
        <v>10117.979999999983</v>
      </c>
      <c r="S575" s="7">
        <f t="shared" si="86"/>
        <v>13490.639999999978</v>
      </c>
      <c r="T575" s="2">
        <v>7413</v>
      </c>
      <c r="U575" s="7">
        <f t="shared" si="92"/>
        <v>566328.13148181804</v>
      </c>
      <c r="V575" s="7">
        <f t="shared" si="87"/>
        <v>76.396618303226504</v>
      </c>
      <c r="W575" s="17"/>
      <c r="X575" s="11"/>
      <c r="AA575" s="11"/>
      <c r="AB575" s="11"/>
      <c r="AC575" s="11"/>
      <c r="AD575" s="11"/>
      <c r="AE575" s="11"/>
    </row>
    <row r="576" spans="1:31" x14ac:dyDescent="0.25">
      <c r="A576" s="15" t="s">
        <v>1</v>
      </c>
      <c r="B576" s="21">
        <v>45747</v>
      </c>
      <c r="C576" s="7">
        <v>3040</v>
      </c>
      <c r="D576" s="7">
        <v>2074.7999999996682</v>
      </c>
      <c r="E576" s="7">
        <v>0</v>
      </c>
      <c r="F576" s="7">
        <v>0</v>
      </c>
      <c r="G576" s="7">
        <v>4172</v>
      </c>
      <c r="H576" s="7">
        <v>0</v>
      </c>
      <c r="I576" s="7">
        <v>0</v>
      </c>
      <c r="J576" s="2">
        <v>20.95000076293945</v>
      </c>
      <c r="K576" s="23">
        <f>C576*8.002+D576*0.57+E576*7.1+F576*5</f>
        <v>25508.715999999811</v>
      </c>
      <c r="L576" s="23">
        <f t="shared" si="90"/>
        <v>6.1142655800574808</v>
      </c>
      <c r="M576" s="12" t="s">
        <v>11</v>
      </c>
      <c r="N576" s="7">
        <v>18224</v>
      </c>
      <c r="O576" s="7">
        <v>15785.859999999973</v>
      </c>
      <c r="P576" s="7">
        <f t="shared" si="85"/>
        <v>17938.477272727243</v>
      </c>
      <c r="Q576" s="7">
        <v>33570</v>
      </c>
      <c r="R576" s="7">
        <v>0</v>
      </c>
      <c r="S576" s="7">
        <f t="shared" si="86"/>
        <v>0</v>
      </c>
      <c r="T576" s="2">
        <v>3904</v>
      </c>
      <c r="U576" s="7">
        <f>N576*0.57+P576*5.245+Q576*4.18+S576*8.97</f>
        <v>244797.59329545437</v>
      </c>
      <c r="V576" s="7">
        <f t="shared" si="87"/>
        <v>62.704301561335647</v>
      </c>
      <c r="W576" s="17"/>
      <c r="X576" s="11"/>
      <c r="AA576" s="11"/>
      <c r="AB576" s="11"/>
      <c r="AC576" s="11"/>
      <c r="AD576" s="11"/>
      <c r="AE576" s="11"/>
    </row>
    <row r="577" spans="1:31" x14ac:dyDescent="0.25">
      <c r="A577" s="15" t="s">
        <v>1</v>
      </c>
      <c r="B577" s="21">
        <v>45748</v>
      </c>
      <c r="C577" s="7">
        <v>4184</v>
      </c>
      <c r="D577" s="7">
        <v>7432.8000000004977</v>
      </c>
      <c r="E577" s="7">
        <v>0</v>
      </c>
      <c r="F577" s="7">
        <v>0</v>
      </c>
      <c r="G577" s="7">
        <v>3462</v>
      </c>
      <c r="H577" s="7">
        <v>6677</v>
      </c>
      <c r="I577" s="7">
        <v>0</v>
      </c>
      <c r="J577" s="2">
        <v>21.10000038146973</v>
      </c>
      <c r="K577" s="23">
        <f>C577*7.902+D577*0.56+E577*7.3+F577*5</f>
        <v>37224.336000000279</v>
      </c>
      <c r="L577" s="23">
        <f t="shared" si="90"/>
        <v>10.752263431542541</v>
      </c>
      <c r="M577" s="12" t="s">
        <v>11</v>
      </c>
      <c r="N577" s="7">
        <v>36312</v>
      </c>
      <c r="O577" s="7">
        <v>40968.460000000006</v>
      </c>
      <c r="P577" s="7">
        <f t="shared" si="85"/>
        <v>46555.068181818191</v>
      </c>
      <c r="Q577" s="7">
        <v>62469</v>
      </c>
      <c r="R577" s="7">
        <v>0</v>
      </c>
      <c r="S577" s="7">
        <f t="shared" si="86"/>
        <v>0</v>
      </c>
      <c r="T577" s="2">
        <v>7805</v>
      </c>
      <c r="U577" s="7">
        <f>N577*0.56+P577*4.884+Q577*4.25+S577*8.89</f>
        <v>513202.92300000007</v>
      </c>
      <c r="V577" s="7">
        <f t="shared" si="87"/>
        <v>65.753097117232556</v>
      </c>
      <c r="W577" s="17"/>
      <c r="X577" s="11"/>
      <c r="AA577" s="11"/>
      <c r="AB577" s="11"/>
      <c r="AC577" s="11"/>
      <c r="AD577" s="11"/>
      <c r="AE577" s="11"/>
    </row>
    <row r="578" spans="1:31" x14ac:dyDescent="0.25">
      <c r="A578" s="15" t="s">
        <v>1</v>
      </c>
      <c r="B578" s="21">
        <v>45749</v>
      </c>
      <c r="C578" s="7">
        <v>5270</v>
      </c>
      <c r="D578" s="7">
        <v>13759.799999999666</v>
      </c>
      <c r="E578" s="7">
        <v>0</v>
      </c>
      <c r="F578" s="7">
        <v>0</v>
      </c>
      <c r="G578" s="7">
        <v>10207</v>
      </c>
      <c r="H578" s="7">
        <v>10405</v>
      </c>
      <c r="I578" s="7">
        <v>0</v>
      </c>
      <c r="J578" s="2">
        <v>26.39999961853027</v>
      </c>
      <c r="K578" s="23">
        <f t="shared" ref="K578:K606" si="93">C578*7.902+D578*0.56+E578*7.3+F578*5</f>
        <v>49349.027999999817</v>
      </c>
      <c r="L578" s="23">
        <f t="shared" si="90"/>
        <v>4.8348219849122973</v>
      </c>
      <c r="M578" s="12" t="s">
        <v>11</v>
      </c>
      <c r="N578" s="7">
        <v>35384</v>
      </c>
      <c r="O578" s="7">
        <v>43072.75</v>
      </c>
      <c r="P578" s="7">
        <f t="shared" ref="P578:P641" si="94">O578/0.88</f>
        <v>48946.306818181816</v>
      </c>
      <c r="Q578" s="7">
        <v>58069</v>
      </c>
      <c r="R578" s="7">
        <v>0</v>
      </c>
      <c r="S578" s="7">
        <f t="shared" si="86"/>
        <v>0</v>
      </c>
      <c r="T578" s="2">
        <v>7180</v>
      </c>
      <c r="U578" s="7">
        <f t="shared" ref="U578:U606" si="95">N578*0.56+P578*4.884+Q578*4.25+S578*8.89</f>
        <v>505662.05249999999</v>
      </c>
      <c r="V578" s="7">
        <f t="shared" si="87"/>
        <v>70.426469707520894</v>
      </c>
      <c r="W578" s="17"/>
      <c r="X578" s="11"/>
      <c r="AA578" s="11"/>
      <c r="AB578" s="11"/>
      <c r="AC578" s="11"/>
      <c r="AD578" s="11"/>
      <c r="AE578" s="11"/>
    </row>
    <row r="579" spans="1:31" x14ac:dyDescent="0.25">
      <c r="A579" s="15" t="s">
        <v>1</v>
      </c>
      <c r="B579" s="21">
        <v>45750</v>
      </c>
      <c r="C579" s="7">
        <v>6057</v>
      </c>
      <c r="D579" s="7">
        <v>11833.200000001159</v>
      </c>
      <c r="E579" s="7">
        <v>0</v>
      </c>
      <c r="F579" s="7">
        <v>0</v>
      </c>
      <c r="G579" s="7">
        <v>11450</v>
      </c>
      <c r="H579" s="7">
        <v>10026</v>
      </c>
      <c r="I579" s="7">
        <v>0</v>
      </c>
      <c r="J579" s="2">
        <v>21.70000076293945</v>
      </c>
      <c r="K579" s="23">
        <f t="shared" si="93"/>
        <v>54489.006000000656</v>
      </c>
      <c r="L579" s="23">
        <f t="shared" si="90"/>
        <v>4.7588651528384851</v>
      </c>
      <c r="M579" s="12" t="s">
        <v>11</v>
      </c>
      <c r="N579" s="7">
        <v>33395</v>
      </c>
      <c r="O579" s="7">
        <v>49734.930000000008</v>
      </c>
      <c r="P579" s="7">
        <f t="shared" si="94"/>
        <v>56516.965909090919</v>
      </c>
      <c r="Q579" s="7">
        <v>50385</v>
      </c>
      <c r="R579" s="7">
        <v>0</v>
      </c>
      <c r="S579" s="7">
        <f t="shared" ref="S579:S642" si="96">R579/0.75</f>
        <v>0</v>
      </c>
      <c r="T579" s="2">
        <v>7101</v>
      </c>
      <c r="U579" s="7">
        <f t="shared" si="95"/>
        <v>508866.31150000007</v>
      </c>
      <c r="V579" s="7">
        <f t="shared" ref="V579:V642" si="97">U579/T579</f>
        <v>71.661218349528241</v>
      </c>
      <c r="W579" s="17"/>
      <c r="X579" s="11"/>
      <c r="AA579" s="11"/>
      <c r="AB579" s="11"/>
      <c r="AC579" s="11"/>
      <c r="AD579" s="11"/>
      <c r="AE579" s="11"/>
    </row>
    <row r="580" spans="1:31" x14ac:dyDescent="0.25">
      <c r="A580" s="15" t="s">
        <v>1</v>
      </c>
      <c r="B580" s="21">
        <v>45751</v>
      </c>
      <c r="C580" s="7">
        <v>5295</v>
      </c>
      <c r="D580" s="7">
        <v>11860.000000000002</v>
      </c>
      <c r="E580" s="7">
        <v>0</v>
      </c>
      <c r="F580" s="7">
        <v>0</v>
      </c>
      <c r="G580" s="7">
        <v>13246</v>
      </c>
      <c r="H580" s="7">
        <v>10488</v>
      </c>
      <c r="I580" s="7">
        <v>0</v>
      </c>
      <c r="J580" s="2">
        <v>22.85000038146973</v>
      </c>
      <c r="K580" s="23">
        <f t="shared" si="93"/>
        <v>48482.69</v>
      </c>
      <c r="L580" s="23">
        <f t="shared" si="90"/>
        <v>3.6601759021591427</v>
      </c>
      <c r="M580" s="12" t="s">
        <v>11</v>
      </c>
      <c r="N580" s="7">
        <v>34308</v>
      </c>
      <c r="O580" s="7">
        <v>40868.700000000004</v>
      </c>
      <c r="P580" s="7">
        <f t="shared" si="94"/>
        <v>46441.704545454551</v>
      </c>
      <c r="Q580" s="7">
        <v>60609</v>
      </c>
      <c r="R580" s="7">
        <v>0</v>
      </c>
      <c r="S580" s="7">
        <f t="shared" si="96"/>
        <v>0</v>
      </c>
      <c r="T580" s="2">
        <v>7530</v>
      </c>
      <c r="U580" s="7">
        <f t="shared" si="95"/>
        <v>503622.01500000001</v>
      </c>
      <c r="V580" s="7">
        <f t="shared" si="97"/>
        <v>66.88207370517928</v>
      </c>
      <c r="W580" s="17"/>
      <c r="X580" s="11"/>
      <c r="AA580" s="11"/>
      <c r="AB580" s="11"/>
      <c r="AC580" s="11"/>
      <c r="AD580" s="11"/>
      <c r="AE580" s="11"/>
    </row>
    <row r="581" spans="1:31" x14ac:dyDescent="0.25">
      <c r="A581" s="15" t="s">
        <v>1</v>
      </c>
      <c r="B581" s="21">
        <v>45752</v>
      </c>
      <c r="C581" s="8">
        <v>6504</v>
      </c>
      <c r="D581" s="8">
        <v>12232.199999999502</v>
      </c>
      <c r="E581" s="8">
        <v>6300</v>
      </c>
      <c r="F581" s="7">
        <v>0</v>
      </c>
      <c r="G581" s="8">
        <v>11845</v>
      </c>
      <c r="H581" s="8">
        <v>10208</v>
      </c>
      <c r="I581" s="8">
        <v>39380</v>
      </c>
      <c r="J581" s="2">
        <v>24.25</v>
      </c>
      <c r="K581" s="23">
        <f t="shared" si="93"/>
        <v>104234.63999999972</v>
      </c>
      <c r="L581" s="23">
        <f t="shared" si="90"/>
        <v>8.7998851836217575</v>
      </c>
      <c r="M581" s="12" t="s">
        <v>11</v>
      </c>
      <c r="N581" s="8">
        <v>35817</v>
      </c>
      <c r="O581" s="8">
        <v>45964.709999999992</v>
      </c>
      <c r="P581" s="7">
        <f t="shared" si="94"/>
        <v>52232.624999999993</v>
      </c>
      <c r="Q581" s="8">
        <v>55308</v>
      </c>
      <c r="R581" s="8">
        <v>0</v>
      </c>
      <c r="S581" s="7">
        <f t="shared" si="96"/>
        <v>0</v>
      </c>
      <c r="T581" s="2">
        <v>6885</v>
      </c>
      <c r="U581" s="7">
        <f t="shared" si="95"/>
        <v>510220.6605</v>
      </c>
      <c r="V581" s="7">
        <f t="shared" si="97"/>
        <v>74.106123529411761</v>
      </c>
      <c r="W581" s="17"/>
      <c r="X581" s="11"/>
      <c r="AA581" s="11"/>
      <c r="AB581" s="11"/>
      <c r="AC581" s="11"/>
      <c r="AD581" s="11"/>
      <c r="AE581" s="11"/>
    </row>
    <row r="582" spans="1:31" x14ac:dyDescent="0.25">
      <c r="A582" s="15" t="s">
        <v>1</v>
      </c>
      <c r="B582" s="21">
        <v>45753</v>
      </c>
      <c r="C582" s="7">
        <v>6503</v>
      </c>
      <c r="D582" s="7">
        <v>14181.600000002654</v>
      </c>
      <c r="E582" s="7">
        <v>0</v>
      </c>
      <c r="F582" s="7">
        <v>0</v>
      </c>
      <c r="G582" s="7">
        <v>8155</v>
      </c>
      <c r="H582" s="7">
        <v>10426</v>
      </c>
      <c r="I582" s="7">
        <v>0</v>
      </c>
      <c r="J582" s="2">
        <v>27.35000038146973</v>
      </c>
      <c r="K582" s="23">
        <f t="shared" si="93"/>
        <v>59328.402000001486</v>
      </c>
      <c r="L582" s="23">
        <f t="shared" si="90"/>
        <v>7.2750952789701397</v>
      </c>
      <c r="M582" s="12" t="s">
        <v>11</v>
      </c>
      <c r="N582" s="7">
        <v>35683</v>
      </c>
      <c r="O582" s="7">
        <v>45036.130000000012</v>
      </c>
      <c r="P582" s="7">
        <f t="shared" si="94"/>
        <v>51177.42045454547</v>
      </c>
      <c r="Q582" s="7">
        <v>55363</v>
      </c>
      <c r="R582" s="7">
        <v>0</v>
      </c>
      <c r="S582" s="7">
        <f t="shared" si="96"/>
        <v>0</v>
      </c>
      <c r="T582" s="2">
        <v>7963</v>
      </c>
      <c r="U582" s="7">
        <f t="shared" si="95"/>
        <v>505225.75150000007</v>
      </c>
      <c r="V582" s="7">
        <f t="shared" si="97"/>
        <v>63.446659738791922</v>
      </c>
      <c r="W582" s="17"/>
      <c r="X582" s="11"/>
      <c r="AA582" s="11"/>
      <c r="AB582" s="11"/>
      <c r="AC582" s="11"/>
      <c r="AD582" s="11"/>
      <c r="AE582" s="11"/>
    </row>
    <row r="583" spans="1:31" x14ac:dyDescent="0.25">
      <c r="A583" s="15" t="s">
        <v>1</v>
      </c>
      <c r="B583" s="21">
        <v>45754</v>
      </c>
      <c r="C583" s="7">
        <v>4480</v>
      </c>
      <c r="D583" s="7">
        <v>8527.1999999995005</v>
      </c>
      <c r="E583" s="7">
        <v>0</v>
      </c>
      <c r="F583" s="7">
        <v>0</v>
      </c>
      <c r="G583" s="7">
        <v>8626</v>
      </c>
      <c r="H583" s="7">
        <v>6760</v>
      </c>
      <c r="I583" s="7">
        <v>0</v>
      </c>
      <c r="J583" s="2">
        <v>33.700000762939453</v>
      </c>
      <c r="K583" s="23">
        <f t="shared" si="93"/>
        <v>40176.191999999719</v>
      </c>
      <c r="L583" s="23">
        <f t="shared" si="90"/>
        <v>4.6575692093669971</v>
      </c>
      <c r="M583" s="12" t="s">
        <v>11</v>
      </c>
      <c r="N583" s="7">
        <v>35362</v>
      </c>
      <c r="O583" s="7">
        <v>42797.040000000008</v>
      </c>
      <c r="P583" s="7">
        <f t="shared" si="94"/>
        <v>48633.000000000007</v>
      </c>
      <c r="Q583" s="7">
        <v>50702</v>
      </c>
      <c r="R583" s="7">
        <v>6370.5799999999972</v>
      </c>
      <c r="S583" s="7">
        <f t="shared" si="96"/>
        <v>8494.1066666666629</v>
      </c>
      <c r="T583" s="2">
        <v>9310</v>
      </c>
      <c r="U583" s="7">
        <f t="shared" si="95"/>
        <v>548322.40026666666</v>
      </c>
      <c r="V583" s="7">
        <f t="shared" si="97"/>
        <v>58.896068771929826</v>
      </c>
      <c r="W583" s="17"/>
      <c r="X583" s="11"/>
      <c r="AA583" s="11"/>
      <c r="AB583" s="11"/>
      <c r="AC583" s="11"/>
      <c r="AD583" s="11"/>
      <c r="AE583" s="11"/>
    </row>
    <row r="584" spans="1:31" x14ac:dyDescent="0.25">
      <c r="A584" s="15" t="s">
        <v>1</v>
      </c>
      <c r="B584" s="21">
        <v>45755</v>
      </c>
      <c r="C584" s="7">
        <v>6889</v>
      </c>
      <c r="D584" s="7">
        <v>13999.199999998671</v>
      </c>
      <c r="E584" s="7">
        <v>2850</v>
      </c>
      <c r="F584" s="7">
        <v>0</v>
      </c>
      <c r="G584" s="7">
        <v>12531</v>
      </c>
      <c r="H584" s="7">
        <v>10587</v>
      </c>
      <c r="I584" s="7">
        <v>27342</v>
      </c>
      <c r="J584" s="2">
        <v>32.200000762939453</v>
      </c>
      <c r="K584" s="23">
        <f t="shared" si="93"/>
        <v>83081.429999999265</v>
      </c>
      <c r="L584" s="23">
        <f t="shared" si="90"/>
        <v>6.6300718218816748</v>
      </c>
      <c r="M584" s="12" t="s">
        <v>11</v>
      </c>
      <c r="N584" s="7">
        <v>36950</v>
      </c>
      <c r="O584" s="7">
        <v>47764.229999999981</v>
      </c>
      <c r="P584" s="7">
        <f t="shared" si="94"/>
        <v>54277.534090909066</v>
      </c>
      <c r="Q584" s="7">
        <v>50798</v>
      </c>
      <c r="R584" s="7">
        <v>3372.6599999999949</v>
      </c>
      <c r="S584" s="7">
        <f t="shared" si="96"/>
        <v>4496.8799999999928</v>
      </c>
      <c r="T584" s="2">
        <v>10382</v>
      </c>
      <c r="U584" s="7">
        <f t="shared" si="95"/>
        <v>541652.2396999998</v>
      </c>
      <c r="V584" s="7">
        <f t="shared" si="97"/>
        <v>52.172244240030807</v>
      </c>
      <c r="W584" s="17"/>
      <c r="X584" s="11"/>
      <c r="AA584" s="11"/>
      <c r="AB584" s="11"/>
      <c r="AC584" s="11"/>
      <c r="AD584" s="11"/>
      <c r="AE584" s="11"/>
    </row>
    <row r="585" spans="1:31" x14ac:dyDescent="0.25">
      <c r="A585" s="15" t="s">
        <v>1</v>
      </c>
      <c r="B585" s="21">
        <v>45756</v>
      </c>
      <c r="C585" s="7">
        <v>5411</v>
      </c>
      <c r="D585" s="7">
        <v>12289.199999998673</v>
      </c>
      <c r="E585" s="7">
        <v>0</v>
      </c>
      <c r="F585" s="7">
        <v>0</v>
      </c>
      <c r="G585" s="7">
        <v>12422</v>
      </c>
      <c r="H585" s="7">
        <v>10374</v>
      </c>
      <c r="I585" s="7">
        <v>0</v>
      </c>
      <c r="J585" s="2">
        <v>23.85000038146973</v>
      </c>
      <c r="K585" s="23">
        <f t="shared" si="93"/>
        <v>49639.673999999257</v>
      </c>
      <c r="L585" s="23">
        <f t="shared" ref="L585:L648" si="98">K585/G585</f>
        <v>3.9961096441796213</v>
      </c>
      <c r="M585" s="12" t="s">
        <v>11</v>
      </c>
      <c r="N585" s="7">
        <v>14846</v>
      </c>
      <c r="O585" s="7">
        <v>10781.030000000013</v>
      </c>
      <c r="P585" s="7">
        <f t="shared" si="94"/>
        <v>12251.17045454547</v>
      </c>
      <c r="Q585" s="7">
        <v>18992</v>
      </c>
      <c r="R585" s="7">
        <v>0</v>
      </c>
      <c r="S585" s="7">
        <f t="shared" si="96"/>
        <v>0</v>
      </c>
      <c r="T585" s="2">
        <v>2114</v>
      </c>
      <c r="U585" s="7">
        <f t="shared" si="95"/>
        <v>148864.47650000008</v>
      </c>
      <c r="V585" s="7">
        <f t="shared" si="97"/>
        <v>70.418390018921514</v>
      </c>
      <c r="W585" s="17"/>
      <c r="X585" s="11"/>
      <c r="AA585" s="11"/>
      <c r="AB585" s="11"/>
      <c r="AC585" s="11"/>
      <c r="AD585" s="11"/>
      <c r="AE585" s="11"/>
    </row>
    <row r="586" spans="1:31" x14ac:dyDescent="0.25">
      <c r="A586" s="15" t="s">
        <v>1</v>
      </c>
      <c r="B586" s="21">
        <v>45757</v>
      </c>
      <c r="C586" s="8">
        <v>7381</v>
      </c>
      <c r="D586" s="8">
        <v>8048.400000001493</v>
      </c>
      <c r="E586" s="8">
        <v>3775</v>
      </c>
      <c r="F586" s="7">
        <v>0</v>
      </c>
      <c r="G586" s="8">
        <v>8874</v>
      </c>
      <c r="H586" s="8">
        <v>5330</v>
      </c>
      <c r="I586" s="8">
        <v>33264</v>
      </c>
      <c r="J586" s="2">
        <v>25.5</v>
      </c>
      <c r="K586" s="23">
        <f t="shared" si="93"/>
        <v>90389.266000000847</v>
      </c>
      <c r="L586" s="23">
        <f t="shared" si="98"/>
        <v>10.185853729997842</v>
      </c>
      <c r="M586" s="12" t="s">
        <v>11</v>
      </c>
      <c r="N586" s="8">
        <v>35559</v>
      </c>
      <c r="O586" s="8">
        <v>37896.799999999988</v>
      </c>
      <c r="P586" s="7">
        <f t="shared" si="94"/>
        <v>43064.545454545441</v>
      </c>
      <c r="Q586" s="8">
        <v>68113</v>
      </c>
      <c r="R586" s="8">
        <v>0</v>
      </c>
      <c r="S586" s="7">
        <f t="shared" si="96"/>
        <v>0</v>
      </c>
      <c r="T586" s="2">
        <v>8051</v>
      </c>
      <c r="U586" s="7">
        <f t="shared" si="95"/>
        <v>519720.52999999997</v>
      </c>
      <c r="V586" s="7">
        <f t="shared" si="97"/>
        <v>64.553537448764132</v>
      </c>
      <c r="W586" s="17"/>
      <c r="X586" s="11"/>
      <c r="AA586" s="11"/>
      <c r="AB586" s="11"/>
      <c r="AC586" s="11"/>
      <c r="AD586" s="11"/>
      <c r="AE586" s="11"/>
    </row>
    <row r="587" spans="1:31" x14ac:dyDescent="0.25">
      <c r="A587" s="15" t="s">
        <v>1</v>
      </c>
      <c r="B587" s="21">
        <v>45758</v>
      </c>
      <c r="C587" s="7">
        <v>4647</v>
      </c>
      <c r="D587" s="7">
        <v>13269.599999999336</v>
      </c>
      <c r="E587" s="7">
        <v>0</v>
      </c>
      <c r="F587" s="7">
        <v>0</v>
      </c>
      <c r="G587" s="7">
        <v>11679</v>
      </c>
      <c r="H587" s="7">
        <v>9760</v>
      </c>
      <c r="I587" s="7">
        <v>0</v>
      </c>
      <c r="J587" s="2">
        <v>22.85000038146973</v>
      </c>
      <c r="K587" s="23">
        <f t="shared" si="93"/>
        <v>44151.569999999629</v>
      </c>
      <c r="L587" s="23">
        <f t="shared" si="98"/>
        <v>3.7804238376573021</v>
      </c>
      <c r="M587" s="12" t="s">
        <v>11</v>
      </c>
      <c r="N587" s="7">
        <v>36342</v>
      </c>
      <c r="O587" s="7">
        <v>35828.700000000012</v>
      </c>
      <c r="P587" s="7">
        <f t="shared" si="94"/>
        <v>40714.431818181831</v>
      </c>
      <c r="Q587" s="7">
        <v>66455</v>
      </c>
      <c r="R587" s="7">
        <v>0</v>
      </c>
      <c r="S587" s="7">
        <f t="shared" si="96"/>
        <v>0</v>
      </c>
      <c r="T587" s="2">
        <v>8325</v>
      </c>
      <c r="U587" s="7">
        <f t="shared" si="95"/>
        <v>501634.55500000005</v>
      </c>
      <c r="V587" s="7">
        <f t="shared" si="97"/>
        <v>60.256403003003008</v>
      </c>
      <c r="W587" s="17"/>
      <c r="X587" s="11"/>
      <c r="AA587" s="11"/>
      <c r="AB587" s="11"/>
      <c r="AC587" s="11"/>
      <c r="AD587" s="11"/>
      <c r="AE587" s="11"/>
    </row>
    <row r="588" spans="1:31" x14ac:dyDescent="0.25">
      <c r="A588" s="15" t="s">
        <v>1</v>
      </c>
      <c r="B588" s="21">
        <v>45759</v>
      </c>
      <c r="C588" s="7">
        <v>7865</v>
      </c>
      <c r="D588" s="7">
        <v>15219.000000002487</v>
      </c>
      <c r="E588" s="7">
        <v>0</v>
      </c>
      <c r="F588" s="7">
        <v>0</v>
      </c>
      <c r="G588" s="7">
        <v>11946</v>
      </c>
      <c r="H588" s="7">
        <v>10577</v>
      </c>
      <c r="I588" s="7">
        <v>0</v>
      </c>
      <c r="J588" s="2">
        <v>19.95000076293945</v>
      </c>
      <c r="K588" s="23">
        <f t="shared" si="93"/>
        <v>70671.870000001392</v>
      </c>
      <c r="L588" s="23">
        <f t="shared" si="98"/>
        <v>5.9159442491211616</v>
      </c>
      <c r="M588" s="12" t="s">
        <v>11</v>
      </c>
      <c r="N588" s="7">
        <v>35692</v>
      </c>
      <c r="O588" s="7">
        <v>40857.519999999997</v>
      </c>
      <c r="P588" s="7">
        <f t="shared" si="94"/>
        <v>46428.999999999993</v>
      </c>
      <c r="Q588" s="7">
        <v>46622</v>
      </c>
      <c r="R588" s="7">
        <v>4122.1400000000122</v>
      </c>
      <c r="S588" s="7">
        <f t="shared" si="96"/>
        <v>5496.1866666666829</v>
      </c>
      <c r="T588" s="2">
        <v>7138</v>
      </c>
      <c r="U588" s="7">
        <f t="shared" si="95"/>
        <v>493751.35546666675</v>
      </c>
      <c r="V588" s="7">
        <f t="shared" si="97"/>
        <v>69.172226879611486</v>
      </c>
      <c r="W588" s="17"/>
      <c r="X588" s="11"/>
      <c r="AA588" s="11"/>
      <c r="AB588" s="11"/>
      <c r="AC588" s="11"/>
      <c r="AD588" s="11"/>
      <c r="AE588" s="11"/>
    </row>
    <row r="589" spans="1:31" x14ac:dyDescent="0.25">
      <c r="A589" s="15" t="s">
        <v>1</v>
      </c>
      <c r="B589" s="21">
        <v>45760</v>
      </c>
      <c r="C589" s="7">
        <v>5850</v>
      </c>
      <c r="D589" s="7">
        <v>14865.599999996846</v>
      </c>
      <c r="E589" s="7">
        <v>0</v>
      </c>
      <c r="F589" s="7">
        <v>0</v>
      </c>
      <c r="G589" s="7">
        <v>9292</v>
      </c>
      <c r="H589" s="7">
        <v>10622</v>
      </c>
      <c r="I589" s="7">
        <v>0</v>
      </c>
      <c r="J589" s="2">
        <v>20.85000038146973</v>
      </c>
      <c r="K589" s="23">
        <f t="shared" si="93"/>
        <v>54551.435999998241</v>
      </c>
      <c r="L589" s="23">
        <f t="shared" si="98"/>
        <v>5.870795953508205</v>
      </c>
      <c r="M589" s="12" t="s">
        <v>11</v>
      </c>
      <c r="N589" s="7">
        <v>36213</v>
      </c>
      <c r="O589" s="7">
        <v>46428.999999999978</v>
      </c>
      <c r="P589" s="7">
        <f t="shared" si="94"/>
        <v>52760.22727272725</v>
      </c>
      <c r="Q589" s="7">
        <v>43358</v>
      </c>
      <c r="R589" s="7">
        <v>10492.720000000008</v>
      </c>
      <c r="S589" s="7">
        <f t="shared" si="96"/>
        <v>13990.293333333344</v>
      </c>
      <c r="T589" s="2">
        <v>8373</v>
      </c>
      <c r="U589" s="7">
        <f t="shared" si="95"/>
        <v>586605.43773333333</v>
      </c>
      <c r="V589" s="7">
        <f t="shared" si="97"/>
        <v>70.059170874636735</v>
      </c>
      <c r="W589" s="17"/>
      <c r="X589" s="11"/>
      <c r="AA589" s="11"/>
      <c r="AB589" s="11"/>
      <c r="AC589" s="11"/>
      <c r="AD589" s="11"/>
      <c r="AE589" s="11"/>
    </row>
    <row r="590" spans="1:31" x14ac:dyDescent="0.25">
      <c r="A590" s="15" t="s">
        <v>1</v>
      </c>
      <c r="B590" s="21">
        <v>45761</v>
      </c>
      <c r="C590" s="7">
        <v>6129</v>
      </c>
      <c r="D590" s="7">
        <v>9063.0000000008295</v>
      </c>
      <c r="E590" s="7">
        <v>0</v>
      </c>
      <c r="F590" s="7">
        <v>0</v>
      </c>
      <c r="G590" s="7">
        <v>9104</v>
      </c>
      <c r="H590" s="7">
        <v>7738</v>
      </c>
      <c r="I590" s="7">
        <v>0</v>
      </c>
      <c r="J590" s="2">
        <v>18.25</v>
      </c>
      <c r="K590" s="23">
        <f t="shared" si="93"/>
        <v>53506.638000000465</v>
      </c>
      <c r="L590" s="23">
        <f t="shared" si="98"/>
        <v>5.8772669156415276</v>
      </c>
      <c r="M590" s="12" t="s">
        <v>11</v>
      </c>
      <c r="N590" s="7">
        <v>30486</v>
      </c>
      <c r="O590" s="7">
        <v>33802</v>
      </c>
      <c r="P590" s="7">
        <f t="shared" si="94"/>
        <v>38411.36363636364</v>
      </c>
      <c r="Q590" s="7">
        <v>41495</v>
      </c>
      <c r="R590" s="7">
        <v>9743</v>
      </c>
      <c r="S590" s="7">
        <f t="shared" si="96"/>
        <v>12990.666666666666</v>
      </c>
      <c r="T590" s="2">
        <v>6383</v>
      </c>
      <c r="U590" s="7">
        <f t="shared" si="95"/>
        <v>496514.03666666668</v>
      </c>
      <c r="V590" s="7">
        <f t="shared" si="97"/>
        <v>77.786939787978483</v>
      </c>
      <c r="W590" s="17"/>
      <c r="X590" s="11"/>
      <c r="AA590" s="11"/>
      <c r="AB590" s="11"/>
      <c r="AC590" s="11"/>
      <c r="AD590" s="11"/>
      <c r="AE590" s="11"/>
    </row>
    <row r="591" spans="1:31" x14ac:dyDescent="0.25">
      <c r="A591" s="15" t="s">
        <v>1</v>
      </c>
      <c r="B591" s="21">
        <v>45762</v>
      </c>
      <c r="C591" s="8">
        <v>5398</v>
      </c>
      <c r="D591" s="8">
        <v>13326.600000002652</v>
      </c>
      <c r="E591" s="8">
        <v>3900</v>
      </c>
      <c r="F591" s="7">
        <v>0</v>
      </c>
      <c r="G591" s="8">
        <v>10635</v>
      </c>
      <c r="H591" s="8">
        <v>11364</v>
      </c>
      <c r="I591" s="8">
        <v>32592</v>
      </c>
      <c r="J591" s="2">
        <v>20.60000038146973</v>
      </c>
      <c r="K591" s="23">
        <f t="shared" si="93"/>
        <v>78587.892000001477</v>
      </c>
      <c r="L591" s="23">
        <f t="shared" si="98"/>
        <v>7.3895526093090247</v>
      </c>
      <c r="M591" s="12" t="s">
        <v>11</v>
      </c>
      <c r="N591" s="8">
        <v>26317</v>
      </c>
      <c r="O591" s="8">
        <v>23749.969999999987</v>
      </c>
      <c r="P591" s="7">
        <f t="shared" si="94"/>
        <v>26988.602272727258</v>
      </c>
      <c r="Q591" s="8">
        <v>49621</v>
      </c>
      <c r="R591" s="8">
        <v>8244.2800000000243</v>
      </c>
      <c r="S591" s="7">
        <f t="shared" si="96"/>
        <v>10992.373333333366</v>
      </c>
      <c r="T591" s="2">
        <v>6223</v>
      </c>
      <c r="U591" s="7">
        <f t="shared" si="95"/>
        <v>455161.30243333353</v>
      </c>
      <c r="V591" s="7">
        <f t="shared" si="97"/>
        <v>73.141780882746829</v>
      </c>
      <c r="W591" s="17"/>
      <c r="X591" s="11"/>
      <c r="AA591" s="11"/>
      <c r="AB591" s="11"/>
      <c r="AC591" s="11"/>
      <c r="AD591" s="11"/>
      <c r="AE591" s="11"/>
    </row>
    <row r="592" spans="1:31" x14ac:dyDescent="0.25">
      <c r="A592" s="15" t="s">
        <v>1</v>
      </c>
      <c r="B592" s="21">
        <v>45763</v>
      </c>
      <c r="C592" s="7">
        <v>6364</v>
      </c>
      <c r="D592" s="7">
        <v>16187.99999999668</v>
      </c>
      <c r="E592" s="7">
        <v>0</v>
      </c>
      <c r="F592" s="7">
        <v>0</v>
      </c>
      <c r="G592" s="7">
        <v>10543</v>
      </c>
      <c r="H592" s="7">
        <v>11487</v>
      </c>
      <c r="I592" s="7">
        <v>0</v>
      </c>
      <c r="J592" s="2">
        <v>26.20000076293945</v>
      </c>
      <c r="K592" s="23">
        <f t="shared" si="93"/>
        <v>59353.607999998145</v>
      </c>
      <c r="L592" s="23">
        <f t="shared" si="98"/>
        <v>5.6296697334722703</v>
      </c>
      <c r="M592" s="12" t="s">
        <v>11</v>
      </c>
      <c r="N592" s="7">
        <v>25760</v>
      </c>
      <c r="O592" s="7">
        <v>21932.810000000005</v>
      </c>
      <c r="P592" s="7">
        <f t="shared" si="94"/>
        <v>24923.647727272732</v>
      </c>
      <c r="Q592" s="7">
        <v>52819</v>
      </c>
      <c r="R592" s="7">
        <v>8894.6199999999953</v>
      </c>
      <c r="S592" s="7">
        <f t="shared" si="96"/>
        <v>11859.493333333327</v>
      </c>
      <c r="T592" s="2">
        <v>5997</v>
      </c>
      <c r="U592" s="7">
        <f t="shared" si="95"/>
        <v>466064.34123333334</v>
      </c>
      <c r="V592" s="7">
        <f t="shared" si="97"/>
        <v>77.716248329720415</v>
      </c>
      <c r="W592" s="17"/>
      <c r="X592" s="11"/>
      <c r="AA592" s="11"/>
      <c r="AB592" s="11"/>
      <c r="AC592" s="11"/>
      <c r="AD592" s="11"/>
      <c r="AE592" s="11"/>
    </row>
    <row r="593" spans="1:31" x14ac:dyDescent="0.25">
      <c r="A593" s="15" t="s">
        <v>1</v>
      </c>
      <c r="B593" s="21">
        <v>45764</v>
      </c>
      <c r="C593" s="7">
        <v>6454</v>
      </c>
      <c r="D593" s="7">
        <v>13987.800000000496</v>
      </c>
      <c r="E593" s="7">
        <v>3875</v>
      </c>
      <c r="F593" s="7">
        <v>0</v>
      </c>
      <c r="G593" s="7">
        <v>10706</v>
      </c>
      <c r="H593" s="7">
        <v>9266</v>
      </c>
      <c r="I593" s="7">
        <v>32291</v>
      </c>
      <c r="J593" s="2">
        <v>28.39999961853027</v>
      </c>
      <c r="K593" s="23">
        <f t="shared" si="93"/>
        <v>87120.176000000283</v>
      </c>
      <c r="L593" s="23">
        <f t="shared" si="98"/>
        <v>8.1375094339622898</v>
      </c>
      <c r="M593" s="12" t="s">
        <v>11</v>
      </c>
      <c r="N593" s="7">
        <v>23037</v>
      </c>
      <c r="O593" s="7">
        <v>23484.960000000006</v>
      </c>
      <c r="P593" s="7">
        <f t="shared" si="94"/>
        <v>26687.454545454551</v>
      </c>
      <c r="Q593" s="7">
        <v>53106</v>
      </c>
      <c r="R593" s="7">
        <v>0</v>
      </c>
      <c r="S593" s="7">
        <f t="shared" si="96"/>
        <v>0</v>
      </c>
      <c r="T593" s="2">
        <v>5293</v>
      </c>
      <c r="U593" s="7">
        <f t="shared" si="95"/>
        <v>368942.74800000002</v>
      </c>
      <c r="V593" s="7">
        <f t="shared" si="97"/>
        <v>69.703901001322507</v>
      </c>
      <c r="W593" s="17"/>
      <c r="X593" s="11"/>
      <c r="AA593" s="11"/>
      <c r="AB593" s="11"/>
      <c r="AC593" s="11"/>
      <c r="AD593" s="11"/>
      <c r="AE593" s="11"/>
    </row>
    <row r="594" spans="1:31" x14ac:dyDescent="0.25">
      <c r="A594" s="15" t="s">
        <v>1</v>
      </c>
      <c r="B594" s="21">
        <v>45765</v>
      </c>
      <c r="C594" s="7">
        <v>6325</v>
      </c>
      <c r="D594" s="7">
        <v>4993.2000000011612</v>
      </c>
      <c r="E594" s="7">
        <v>0</v>
      </c>
      <c r="F594" s="7">
        <v>0</v>
      </c>
      <c r="G594" s="7">
        <v>9119</v>
      </c>
      <c r="H594" s="7">
        <v>3185</v>
      </c>
      <c r="I594" s="7">
        <v>0</v>
      </c>
      <c r="J594" s="2">
        <v>20.54999923706055</v>
      </c>
      <c r="K594" s="23">
        <f t="shared" si="93"/>
        <v>52776.342000000652</v>
      </c>
      <c r="L594" s="23">
        <f t="shared" si="98"/>
        <v>5.7875142011186149</v>
      </c>
      <c r="M594" s="12" t="s">
        <v>11</v>
      </c>
      <c r="N594" s="7">
        <v>29600</v>
      </c>
      <c r="O594" s="7">
        <v>25727.130000000008</v>
      </c>
      <c r="P594" s="7">
        <f t="shared" si="94"/>
        <v>29235.375000000011</v>
      </c>
      <c r="Q594" s="7">
        <v>45304</v>
      </c>
      <c r="R594" s="7">
        <v>9209.3600000000206</v>
      </c>
      <c r="S594" s="7">
        <f t="shared" si="96"/>
        <v>12279.146666666695</v>
      </c>
      <c r="T594" s="2">
        <v>6550</v>
      </c>
      <c r="U594" s="7">
        <f t="shared" si="95"/>
        <v>461065.18536666699</v>
      </c>
      <c r="V594" s="7">
        <f t="shared" si="97"/>
        <v>70.391631353689618</v>
      </c>
      <c r="W594" s="17"/>
      <c r="X594" s="11"/>
      <c r="AA594" s="11"/>
      <c r="AB594" s="11"/>
      <c r="AC594" s="11"/>
      <c r="AD594" s="11"/>
      <c r="AE594" s="11"/>
    </row>
    <row r="595" spans="1:31" x14ac:dyDescent="0.25">
      <c r="A595" s="15" t="s">
        <v>1</v>
      </c>
      <c r="B595" s="21">
        <v>45766</v>
      </c>
      <c r="C595" s="7">
        <v>7250</v>
      </c>
      <c r="D595" s="7">
        <v>5483.400000001493</v>
      </c>
      <c r="E595" s="7">
        <v>5300</v>
      </c>
      <c r="F595" s="7">
        <v>0</v>
      </c>
      <c r="G595" s="7">
        <v>9924</v>
      </c>
      <c r="H595" s="7">
        <v>2840</v>
      </c>
      <c r="I595" s="7">
        <v>33160</v>
      </c>
      <c r="J595" s="2">
        <v>21.04999923706055</v>
      </c>
      <c r="K595" s="23">
        <f t="shared" si="93"/>
        <v>99050.204000000842</v>
      </c>
      <c r="L595" s="23">
        <f t="shared" si="98"/>
        <v>9.9808750503829948</v>
      </c>
      <c r="M595" s="12" t="s">
        <v>11</v>
      </c>
      <c r="N595" s="7">
        <v>33522</v>
      </c>
      <c r="O595" s="7">
        <v>46893.29</v>
      </c>
      <c r="P595" s="7">
        <f t="shared" si="94"/>
        <v>53287.829545454544</v>
      </c>
      <c r="Q595" s="7">
        <v>41509</v>
      </c>
      <c r="R595" s="7">
        <v>11242.199999999993</v>
      </c>
      <c r="S595" s="7">
        <f t="shared" si="96"/>
        <v>14989.599999999991</v>
      </c>
      <c r="T595" s="2">
        <v>9501</v>
      </c>
      <c r="U595" s="7">
        <f t="shared" si="95"/>
        <v>588700.87349999999</v>
      </c>
      <c r="V595" s="7">
        <f t="shared" si="97"/>
        <v>61.961990685191033</v>
      </c>
      <c r="W595" s="17"/>
      <c r="X595" s="11"/>
      <c r="AA595" s="11"/>
      <c r="AB595" s="11"/>
      <c r="AC595" s="11"/>
      <c r="AD595" s="11"/>
      <c r="AE595" s="11"/>
    </row>
    <row r="596" spans="1:31" x14ac:dyDescent="0.25">
      <c r="A596" s="15" t="s">
        <v>1</v>
      </c>
      <c r="B596" s="21">
        <v>45767</v>
      </c>
      <c r="C596" s="8">
        <v>6986</v>
      </c>
      <c r="D596" s="8">
        <v>8732.3999999998323</v>
      </c>
      <c r="E596" s="8">
        <v>0</v>
      </c>
      <c r="F596" s="7">
        <v>0</v>
      </c>
      <c r="G596" s="8">
        <v>7220</v>
      </c>
      <c r="H596" s="8">
        <v>7220</v>
      </c>
      <c r="I596" s="8">
        <v>0</v>
      </c>
      <c r="J596" s="2">
        <v>24.35000038146973</v>
      </c>
      <c r="K596" s="23">
        <f t="shared" si="93"/>
        <v>60093.515999999909</v>
      </c>
      <c r="L596" s="23">
        <f t="shared" si="98"/>
        <v>8.3232016620498488</v>
      </c>
      <c r="M596" s="12" t="s">
        <v>11</v>
      </c>
      <c r="N596" s="8">
        <v>33536</v>
      </c>
      <c r="O596" s="8">
        <v>43178.969999999987</v>
      </c>
      <c r="P596" s="7">
        <f t="shared" si="94"/>
        <v>49067.011363636346</v>
      </c>
      <c r="Q596" s="8">
        <v>42719</v>
      </c>
      <c r="R596" s="8">
        <v>11242.200000000026</v>
      </c>
      <c r="S596" s="7">
        <f t="shared" si="96"/>
        <v>14989.600000000035</v>
      </c>
      <c r="T596" s="2">
        <v>9677</v>
      </c>
      <c r="U596" s="7">
        <f t="shared" si="95"/>
        <v>573236.73750000028</v>
      </c>
      <c r="V596" s="7">
        <f t="shared" si="97"/>
        <v>59.237029812958589</v>
      </c>
      <c r="W596" s="17"/>
      <c r="X596" s="11"/>
      <c r="AA596" s="11"/>
      <c r="AB596" s="11"/>
      <c r="AC596" s="11"/>
      <c r="AD596" s="11"/>
      <c r="AE596" s="11"/>
    </row>
    <row r="597" spans="1:31" x14ac:dyDescent="0.25">
      <c r="A597" s="15" t="s">
        <v>1</v>
      </c>
      <c r="B597" s="21">
        <v>45768</v>
      </c>
      <c r="C597" s="7">
        <v>5090</v>
      </c>
      <c r="D597" s="7">
        <v>8971.7999999988388</v>
      </c>
      <c r="E597" s="7">
        <v>0</v>
      </c>
      <c r="F597" s="7">
        <v>0</v>
      </c>
      <c r="G597" s="7">
        <v>7910</v>
      </c>
      <c r="H597" s="7">
        <v>7638</v>
      </c>
      <c r="I597" s="7">
        <v>0</v>
      </c>
      <c r="J597" s="2">
        <v>25.85000038146973</v>
      </c>
      <c r="K597" s="23">
        <f t="shared" si="93"/>
        <v>45245.387999999351</v>
      </c>
      <c r="L597" s="23">
        <f t="shared" si="98"/>
        <v>5.720023767382977</v>
      </c>
      <c r="M597" s="12" t="s">
        <v>11</v>
      </c>
      <c r="N597" s="7">
        <v>36585</v>
      </c>
      <c r="O597" s="7">
        <v>56094.380000000005</v>
      </c>
      <c r="P597" s="7">
        <f t="shared" si="94"/>
        <v>63743.61363636364</v>
      </c>
      <c r="Q597" s="7">
        <v>48906</v>
      </c>
      <c r="R597" s="7">
        <v>11242.200000000026</v>
      </c>
      <c r="S597" s="7">
        <f t="shared" si="96"/>
        <v>14989.600000000035</v>
      </c>
      <c r="T597" s="2">
        <v>10950</v>
      </c>
      <c r="U597" s="7">
        <f t="shared" si="95"/>
        <v>672919.45300000033</v>
      </c>
      <c r="V597" s="7">
        <f t="shared" si="97"/>
        <v>61.453831324200941</v>
      </c>
      <c r="W597" s="17"/>
      <c r="X597" s="11"/>
      <c r="AA597" s="11"/>
      <c r="AB597" s="11"/>
      <c r="AC597" s="11"/>
      <c r="AD597" s="11"/>
      <c r="AE597" s="11"/>
    </row>
    <row r="598" spans="1:31" x14ac:dyDescent="0.25">
      <c r="A598" s="15" t="s">
        <v>1</v>
      </c>
      <c r="B598" s="21">
        <v>45769</v>
      </c>
      <c r="C598" s="7">
        <v>6308</v>
      </c>
      <c r="D598" s="7">
        <v>13896.599999998507</v>
      </c>
      <c r="E598" s="7">
        <v>6800</v>
      </c>
      <c r="F598" s="7">
        <v>0</v>
      </c>
      <c r="G598" s="7">
        <v>8595</v>
      </c>
      <c r="H598" s="7">
        <v>9313</v>
      </c>
      <c r="I598" s="7">
        <v>42030</v>
      </c>
      <c r="J598" s="2">
        <v>29.5</v>
      </c>
      <c r="K598" s="23">
        <f t="shared" si="93"/>
        <v>107267.91199999917</v>
      </c>
      <c r="L598" s="23">
        <f t="shared" si="98"/>
        <v>12.480268993600834</v>
      </c>
      <c r="M598" s="12" t="s">
        <v>11</v>
      </c>
      <c r="N598" s="7">
        <v>35278</v>
      </c>
      <c r="O598" s="7">
        <v>46015.890000000007</v>
      </c>
      <c r="P598" s="7">
        <f t="shared" si="94"/>
        <v>52290.784090909096</v>
      </c>
      <c r="Q598" s="7">
        <v>47651</v>
      </c>
      <c r="R598" s="7">
        <v>11912.539999999999</v>
      </c>
      <c r="S598" s="7">
        <f t="shared" si="96"/>
        <v>15883.386666666665</v>
      </c>
      <c r="T598" s="2">
        <v>9881</v>
      </c>
      <c r="U598" s="7">
        <f t="shared" si="95"/>
        <v>618863.92696666671</v>
      </c>
      <c r="V598" s="7">
        <f t="shared" si="97"/>
        <v>62.631710046216647</v>
      </c>
      <c r="W598" s="17"/>
      <c r="X598" s="11"/>
      <c r="AA598" s="11"/>
      <c r="AB598" s="11"/>
      <c r="AC598" s="11"/>
      <c r="AD598" s="11"/>
      <c r="AE598" s="11"/>
    </row>
    <row r="599" spans="1:31" x14ac:dyDescent="0.25">
      <c r="A599" s="15" t="s">
        <v>1</v>
      </c>
      <c r="B599" s="21">
        <v>45770</v>
      </c>
      <c r="C599" s="7">
        <v>6174</v>
      </c>
      <c r="D599" s="7">
        <v>13053.000000000829</v>
      </c>
      <c r="E599" s="7">
        <v>0</v>
      </c>
      <c r="F599" s="7">
        <v>0</v>
      </c>
      <c r="G599" s="7">
        <v>10159</v>
      </c>
      <c r="H599" s="7">
        <v>10453</v>
      </c>
      <c r="I599" s="7">
        <v>0</v>
      </c>
      <c r="J599" s="2">
        <v>28.14999961853027</v>
      </c>
      <c r="K599" s="23">
        <f t="shared" si="93"/>
        <v>56096.62800000047</v>
      </c>
      <c r="L599" s="23">
        <f t="shared" si="98"/>
        <v>5.5218651442071529</v>
      </c>
      <c r="M599" s="12" t="s">
        <v>11</v>
      </c>
      <c r="N599" s="7">
        <v>35690</v>
      </c>
      <c r="O599" s="7">
        <v>51252.33</v>
      </c>
      <c r="P599" s="7">
        <f t="shared" si="94"/>
        <v>58241.284090909096</v>
      </c>
      <c r="Q599" s="7">
        <v>56144</v>
      </c>
      <c r="R599" s="7">
        <v>0</v>
      </c>
      <c r="S599" s="7">
        <f t="shared" si="96"/>
        <v>0</v>
      </c>
      <c r="T599" s="2">
        <v>9415</v>
      </c>
      <c r="U599" s="7">
        <f t="shared" si="95"/>
        <v>543048.83150000009</v>
      </c>
      <c r="V599" s="7">
        <f t="shared" si="97"/>
        <v>57.679111152416368</v>
      </c>
      <c r="W599" s="17"/>
      <c r="X599" s="11"/>
      <c r="AA599" s="11"/>
      <c r="AB599" s="11"/>
      <c r="AC599" s="11"/>
      <c r="AD599" s="11"/>
      <c r="AE599" s="11"/>
    </row>
    <row r="600" spans="1:31" x14ac:dyDescent="0.25">
      <c r="A600" s="15" t="s">
        <v>1</v>
      </c>
      <c r="B600" s="21">
        <v>45771</v>
      </c>
      <c r="C600" s="7">
        <v>6700</v>
      </c>
      <c r="D600" s="7">
        <v>7717.7999999999993</v>
      </c>
      <c r="E600" s="7">
        <v>4300</v>
      </c>
      <c r="F600" s="7">
        <v>0</v>
      </c>
      <c r="G600" s="7">
        <v>11796</v>
      </c>
      <c r="H600" s="7">
        <v>5173</v>
      </c>
      <c r="I600" s="7">
        <v>30668</v>
      </c>
      <c r="J600" s="2">
        <v>25.70000076293945</v>
      </c>
      <c r="K600" s="23">
        <f t="shared" si="93"/>
        <v>88655.368000000002</v>
      </c>
      <c r="L600" s="23">
        <f t="shared" si="98"/>
        <v>7.5157144794845712</v>
      </c>
      <c r="M600" s="12" t="s">
        <v>11</v>
      </c>
      <c r="N600" s="7">
        <v>34806</v>
      </c>
      <c r="O600" s="7">
        <v>47544.05</v>
      </c>
      <c r="P600" s="7">
        <f t="shared" si="94"/>
        <v>54027.329545454551</v>
      </c>
      <c r="Q600" s="7">
        <v>57285</v>
      </c>
      <c r="R600" s="7">
        <v>374.73999999999199</v>
      </c>
      <c r="S600" s="7">
        <f t="shared" si="96"/>
        <v>499.65333333332268</v>
      </c>
      <c r="T600" s="2">
        <v>8505</v>
      </c>
      <c r="U600" s="7">
        <f t="shared" si="95"/>
        <v>531264.00563333323</v>
      </c>
      <c r="V600" s="7">
        <f t="shared" si="97"/>
        <v>62.464903660591794</v>
      </c>
      <c r="W600" s="17"/>
      <c r="X600" s="11"/>
      <c r="AA600" s="11"/>
      <c r="AB600" s="11"/>
      <c r="AC600" s="11"/>
      <c r="AD600" s="11"/>
      <c r="AE600" s="11"/>
    </row>
    <row r="601" spans="1:31" x14ac:dyDescent="0.25">
      <c r="A601" s="15" t="s">
        <v>1</v>
      </c>
      <c r="B601" s="21">
        <v>45772</v>
      </c>
      <c r="C601" s="8">
        <v>6350</v>
      </c>
      <c r="D601" s="8">
        <v>13828.199999997012</v>
      </c>
      <c r="E601" s="8">
        <v>0</v>
      </c>
      <c r="F601" s="7">
        <v>0</v>
      </c>
      <c r="G601" s="8">
        <v>10394</v>
      </c>
      <c r="H601" s="8">
        <v>11080</v>
      </c>
      <c r="I601" s="8">
        <v>0</v>
      </c>
      <c r="J601" s="2">
        <v>26.10000038146973</v>
      </c>
      <c r="K601" s="23">
        <f t="shared" si="93"/>
        <v>57921.491999998332</v>
      </c>
      <c r="L601" s="23">
        <f t="shared" si="98"/>
        <v>5.5725891860687256</v>
      </c>
      <c r="M601" s="12" t="s">
        <v>11</v>
      </c>
      <c r="N601" s="8">
        <v>29937</v>
      </c>
      <c r="O601" s="8">
        <v>38741.33</v>
      </c>
      <c r="P601" s="7">
        <f t="shared" si="94"/>
        <v>44024.23863636364</v>
      </c>
      <c r="Q601" s="8">
        <v>47601</v>
      </c>
      <c r="R601" s="8">
        <v>5127.2200000000084</v>
      </c>
      <c r="S601" s="7">
        <f t="shared" si="96"/>
        <v>6836.2933333333449</v>
      </c>
      <c r="T601" s="2">
        <v>7538</v>
      </c>
      <c r="U601" s="7">
        <f t="shared" si="95"/>
        <v>494857.99923333345</v>
      </c>
      <c r="V601" s="7">
        <f t="shared" si="97"/>
        <v>65.648447762448058</v>
      </c>
      <c r="W601" s="17"/>
      <c r="X601" s="11"/>
      <c r="AA601" s="11"/>
      <c r="AB601" s="11"/>
      <c r="AC601" s="11"/>
      <c r="AD601" s="11"/>
      <c r="AE601" s="11"/>
    </row>
    <row r="602" spans="1:31" x14ac:dyDescent="0.25">
      <c r="A602" s="15" t="s">
        <v>1</v>
      </c>
      <c r="B602" s="21">
        <v>45773</v>
      </c>
      <c r="C602" s="7">
        <v>7420</v>
      </c>
      <c r="D602" s="7">
        <v>13303.800000002155</v>
      </c>
      <c r="E602" s="7">
        <v>0</v>
      </c>
      <c r="F602" s="7">
        <v>0</v>
      </c>
      <c r="G602" s="7">
        <v>10327</v>
      </c>
      <c r="H602" s="7">
        <v>10538</v>
      </c>
      <c r="I602" s="7">
        <v>0</v>
      </c>
      <c r="J602" s="2">
        <v>31.89999961853027</v>
      </c>
      <c r="K602" s="23">
        <f t="shared" si="93"/>
        <v>66082.968000001216</v>
      </c>
      <c r="L602" s="23">
        <f t="shared" si="98"/>
        <v>6.3990479326039713</v>
      </c>
      <c r="M602" s="12" t="s">
        <v>11</v>
      </c>
      <c r="N602" s="7">
        <v>32766</v>
      </c>
      <c r="O602" s="7">
        <v>43643.260000000009</v>
      </c>
      <c r="P602" s="7">
        <f t="shared" si="94"/>
        <v>49594.613636363647</v>
      </c>
      <c r="Q602" s="7">
        <v>47828</v>
      </c>
      <c r="R602" s="7">
        <v>3372.6599999999949</v>
      </c>
      <c r="S602" s="7">
        <f t="shared" si="96"/>
        <v>4496.8799999999928</v>
      </c>
      <c r="T602" s="2">
        <v>8631</v>
      </c>
      <c r="U602" s="7">
        <f t="shared" si="95"/>
        <v>503815.3162</v>
      </c>
      <c r="V602" s="7">
        <f t="shared" si="97"/>
        <v>58.372762854825631</v>
      </c>
      <c r="W602" s="17"/>
      <c r="X602" s="11"/>
      <c r="AA602" s="11"/>
      <c r="AB602" s="11"/>
      <c r="AC602" s="11"/>
      <c r="AD602" s="11"/>
      <c r="AE602" s="11"/>
    </row>
    <row r="603" spans="1:31" x14ac:dyDescent="0.25">
      <c r="A603" s="15" t="s">
        <v>1</v>
      </c>
      <c r="B603" s="21">
        <v>45774</v>
      </c>
      <c r="C603" s="7">
        <v>4210</v>
      </c>
      <c r="D603" s="7">
        <v>8857.8000000004959</v>
      </c>
      <c r="E603" s="7">
        <v>0</v>
      </c>
      <c r="F603" s="7">
        <v>0</v>
      </c>
      <c r="G603" s="7">
        <v>5907</v>
      </c>
      <c r="H603" s="7">
        <v>7459</v>
      </c>
      <c r="I603" s="7">
        <v>0</v>
      </c>
      <c r="J603" s="2">
        <v>27.60000038146973</v>
      </c>
      <c r="K603" s="23">
        <f t="shared" si="93"/>
        <v>38227.788000000277</v>
      </c>
      <c r="L603" s="23">
        <f t="shared" si="98"/>
        <v>6.4716079228035008</v>
      </c>
      <c r="M603" s="12" t="s">
        <v>11</v>
      </c>
      <c r="N603" s="7">
        <v>34660</v>
      </c>
      <c r="O603" s="7">
        <v>50607.609999999993</v>
      </c>
      <c r="P603" s="7">
        <f t="shared" si="94"/>
        <v>57508.647727272721</v>
      </c>
      <c r="Q603" s="7">
        <v>50627</v>
      </c>
      <c r="R603" s="7">
        <v>9743.2399999999925</v>
      </c>
      <c r="S603" s="7">
        <f t="shared" si="96"/>
        <v>12990.986666666657</v>
      </c>
      <c r="T603" s="2">
        <v>10241</v>
      </c>
      <c r="U603" s="7">
        <f t="shared" si="95"/>
        <v>630936.45696666662</v>
      </c>
      <c r="V603" s="7">
        <f t="shared" si="97"/>
        <v>61.608871884256089</v>
      </c>
      <c r="W603" s="17"/>
      <c r="X603" s="11"/>
      <c r="AA603" s="11"/>
      <c r="AB603" s="11"/>
      <c r="AC603" s="11"/>
      <c r="AD603" s="11"/>
      <c r="AE603" s="11"/>
    </row>
    <row r="604" spans="1:31" x14ac:dyDescent="0.25">
      <c r="A604" s="15" t="s">
        <v>1</v>
      </c>
      <c r="B604" s="21">
        <v>45775</v>
      </c>
      <c r="C604" s="7">
        <v>6813</v>
      </c>
      <c r="D604" s="7">
        <v>6577.8000000004977</v>
      </c>
      <c r="E604" s="7">
        <v>0</v>
      </c>
      <c r="F604" s="7">
        <v>0</v>
      </c>
      <c r="G604" s="7">
        <v>8126</v>
      </c>
      <c r="H604" s="7">
        <v>7712</v>
      </c>
      <c r="I604" s="7">
        <v>0</v>
      </c>
      <c r="J604" s="2">
        <v>24.10000038146973</v>
      </c>
      <c r="K604" s="23">
        <f t="shared" si="93"/>
        <v>57519.894000000277</v>
      </c>
      <c r="L604" s="23">
        <f t="shared" si="98"/>
        <v>7.078500369185365</v>
      </c>
      <c r="M604" s="12" t="s">
        <v>11</v>
      </c>
      <c r="N604" s="7">
        <v>32717</v>
      </c>
      <c r="O604" s="7">
        <v>44306.710000000006</v>
      </c>
      <c r="P604" s="7">
        <f t="shared" si="94"/>
        <v>50348.534090909096</v>
      </c>
      <c r="Q604" s="7">
        <v>48168</v>
      </c>
      <c r="R604" s="7">
        <v>3747.4000000000201</v>
      </c>
      <c r="S604" s="7">
        <f t="shared" si="96"/>
        <v>4996.5333333333601</v>
      </c>
      <c r="T604" s="2">
        <v>7722</v>
      </c>
      <c r="U604" s="7">
        <f t="shared" si="95"/>
        <v>513356.94183333358</v>
      </c>
      <c r="V604" s="7">
        <f t="shared" si="97"/>
        <v>66.479790447207151</v>
      </c>
      <c r="W604" s="17"/>
      <c r="X604" s="11"/>
      <c r="AA604" s="11"/>
      <c r="AB604" s="11"/>
      <c r="AC604" s="11"/>
      <c r="AD604" s="11"/>
      <c r="AE604" s="11"/>
    </row>
    <row r="605" spans="1:31" x14ac:dyDescent="0.25">
      <c r="A605" s="15" t="s">
        <v>1</v>
      </c>
      <c r="B605" s="21">
        <v>45776</v>
      </c>
      <c r="C605" s="7">
        <v>3908</v>
      </c>
      <c r="D605" s="7">
        <v>14090.399999996514</v>
      </c>
      <c r="E605" s="7">
        <v>5250</v>
      </c>
      <c r="F605" s="7">
        <v>0</v>
      </c>
      <c r="G605" s="7">
        <v>9497</v>
      </c>
      <c r="H605" s="7">
        <v>9835</v>
      </c>
      <c r="I605" s="7">
        <v>32867</v>
      </c>
      <c r="J605" s="2">
        <v>21.89999961853027</v>
      </c>
      <c r="K605" s="23">
        <f t="shared" si="93"/>
        <v>77096.639999998049</v>
      </c>
      <c r="L605" s="23">
        <f t="shared" si="98"/>
        <v>8.1179993682213389</v>
      </c>
      <c r="M605" s="12" t="s">
        <v>11</v>
      </c>
      <c r="N605" s="7">
        <v>33880</v>
      </c>
      <c r="O605" s="7">
        <v>49040</v>
      </c>
      <c r="P605" s="7">
        <f t="shared" si="94"/>
        <v>55727.272727272728</v>
      </c>
      <c r="Q605" s="7">
        <v>52909</v>
      </c>
      <c r="R605" s="7">
        <v>0</v>
      </c>
      <c r="S605" s="7">
        <f t="shared" si="96"/>
        <v>0</v>
      </c>
      <c r="T605" s="2">
        <v>8494</v>
      </c>
      <c r="U605" s="7">
        <f t="shared" si="95"/>
        <v>516008.05</v>
      </c>
      <c r="V605" s="7">
        <f t="shared" si="97"/>
        <v>60.749711561101954</v>
      </c>
      <c r="W605" s="17"/>
      <c r="X605" s="11"/>
      <c r="AA605" s="11"/>
      <c r="AB605" s="11"/>
      <c r="AC605" s="11"/>
      <c r="AD605" s="11"/>
      <c r="AE605" s="11"/>
    </row>
    <row r="606" spans="1:31" x14ac:dyDescent="0.25">
      <c r="A606" s="15" t="s">
        <v>1</v>
      </c>
      <c r="B606" s="21">
        <v>45777</v>
      </c>
      <c r="C606" s="7">
        <v>6590</v>
      </c>
      <c r="D606" s="7">
        <v>14090.400000000664</v>
      </c>
      <c r="E606" s="7">
        <v>0</v>
      </c>
      <c r="F606" s="7">
        <v>0</v>
      </c>
      <c r="G606" s="7">
        <v>11466</v>
      </c>
      <c r="H606" s="7">
        <v>11906</v>
      </c>
      <c r="I606" s="7">
        <v>0</v>
      </c>
      <c r="J606" s="2">
        <v>25.70000076293945</v>
      </c>
      <c r="K606" s="23">
        <f t="shared" si="93"/>
        <v>59964.804000000375</v>
      </c>
      <c r="L606" s="23">
        <f t="shared" si="98"/>
        <v>5.2297927786499541</v>
      </c>
      <c r="M606" s="12" t="s">
        <v>11</v>
      </c>
      <c r="N606" s="8">
        <v>35954</v>
      </c>
      <c r="O606" s="8">
        <v>45291.42</v>
      </c>
      <c r="P606" s="7">
        <f t="shared" si="94"/>
        <v>51467.522727272728</v>
      </c>
      <c r="Q606" s="8">
        <v>54170</v>
      </c>
      <c r="R606" s="8">
        <v>0</v>
      </c>
      <c r="S606" s="7">
        <f t="shared" si="96"/>
        <v>0</v>
      </c>
      <c r="T606" s="2">
        <v>8678</v>
      </c>
      <c r="U606" s="7">
        <f t="shared" si="95"/>
        <v>501724.12100000004</v>
      </c>
      <c r="V606" s="7">
        <f t="shared" si="97"/>
        <v>57.815639663516947</v>
      </c>
      <c r="W606" s="17"/>
      <c r="X606" s="11"/>
      <c r="AA606" s="11"/>
      <c r="AB606" s="11"/>
      <c r="AC606" s="11"/>
      <c r="AD606" s="11"/>
      <c r="AE606" s="11"/>
    </row>
    <row r="607" spans="1:31" x14ac:dyDescent="0.25">
      <c r="A607" s="15" t="s">
        <v>1</v>
      </c>
      <c r="B607" s="21">
        <v>45778</v>
      </c>
      <c r="C607" s="7">
        <v>5433</v>
      </c>
      <c r="D607" s="7">
        <v>14535</v>
      </c>
      <c r="E607" s="7">
        <v>0</v>
      </c>
      <c r="F607" s="7">
        <v>324</v>
      </c>
      <c r="G607" s="7">
        <v>11403</v>
      </c>
      <c r="H607" s="7">
        <v>11663</v>
      </c>
      <c r="I607" s="7">
        <v>0</v>
      </c>
      <c r="J607" s="2">
        <v>24.35000038146973</v>
      </c>
      <c r="K607" s="23">
        <f>C607*7.85+D607*0.56+E607*7.5+F607*5</f>
        <v>52408.649999999994</v>
      </c>
      <c r="L607" s="23">
        <f t="shared" si="98"/>
        <v>4.5960405156537751</v>
      </c>
      <c r="M607" s="12" t="s">
        <v>11</v>
      </c>
      <c r="N607" s="7">
        <v>36239</v>
      </c>
      <c r="O607" s="7">
        <v>46893.289999999994</v>
      </c>
      <c r="P607" s="7">
        <f t="shared" si="94"/>
        <v>53287.829545454537</v>
      </c>
      <c r="Q607" s="7">
        <v>53111</v>
      </c>
      <c r="R607" s="7">
        <v>0</v>
      </c>
      <c r="S607" s="7">
        <f t="shared" si="96"/>
        <v>0</v>
      </c>
      <c r="T607" s="2">
        <v>9510</v>
      </c>
      <c r="U607" s="7">
        <f>N607*0.56+P607*4.779+Q607*4.22+S607*8.84</f>
        <v>499084.7973977272</v>
      </c>
      <c r="V607" s="7">
        <f t="shared" si="97"/>
        <v>52.479999726364582</v>
      </c>
      <c r="W607" s="17"/>
      <c r="X607" s="11"/>
      <c r="AA607" s="11"/>
      <c r="AB607" s="11"/>
      <c r="AC607" s="11"/>
      <c r="AD607" s="11"/>
      <c r="AE607" s="11"/>
    </row>
    <row r="608" spans="1:31" x14ac:dyDescent="0.25">
      <c r="A608" s="15" t="s">
        <v>1</v>
      </c>
      <c r="B608" s="21">
        <v>45779</v>
      </c>
      <c r="C608" s="7">
        <v>6179</v>
      </c>
      <c r="D608" s="7">
        <v>13999.200000002818</v>
      </c>
      <c r="E608" s="7">
        <v>0</v>
      </c>
      <c r="F608" s="7">
        <v>328</v>
      </c>
      <c r="G608" s="7">
        <v>11460</v>
      </c>
      <c r="H608" s="7">
        <v>10366</v>
      </c>
      <c r="I608" s="7">
        <v>0</v>
      </c>
      <c r="J608" s="2">
        <v>25</v>
      </c>
      <c r="K608" s="23">
        <f t="shared" ref="K608:K636" si="99">C608*7.85+D608*0.56+E608*7.5+F608*5</f>
        <v>57984.702000001576</v>
      </c>
      <c r="L608" s="23">
        <f t="shared" si="98"/>
        <v>5.0597471204189857</v>
      </c>
      <c r="M608" s="12" t="s">
        <v>11</v>
      </c>
      <c r="N608" s="7">
        <v>35722</v>
      </c>
      <c r="O608" s="7">
        <v>47357.580000000024</v>
      </c>
      <c r="P608" s="7">
        <f t="shared" si="94"/>
        <v>53815.431818181845</v>
      </c>
      <c r="Q608" s="7">
        <v>50692</v>
      </c>
      <c r="R608" s="7">
        <v>0</v>
      </c>
      <c r="S608" s="7">
        <f t="shared" si="96"/>
        <v>0</v>
      </c>
      <c r="T608" s="2">
        <v>9701</v>
      </c>
      <c r="U608" s="7">
        <f t="shared" ref="U608:U637" si="100">N608*0.56+P608*4.779+Q608*4.22+S608*8.84</f>
        <v>491108.50865909102</v>
      </c>
      <c r="V608" s="7">
        <f t="shared" si="97"/>
        <v>50.624524137624064</v>
      </c>
      <c r="W608" s="17"/>
      <c r="X608" s="11"/>
      <c r="AA608" s="11"/>
      <c r="AB608" s="11"/>
      <c r="AC608" s="11"/>
      <c r="AD608" s="11"/>
      <c r="AE608" s="11"/>
    </row>
    <row r="609" spans="1:31" x14ac:dyDescent="0.25">
      <c r="A609" s="15" t="s">
        <v>1</v>
      </c>
      <c r="B609" s="21">
        <v>45780</v>
      </c>
      <c r="C609" s="7">
        <v>4428</v>
      </c>
      <c r="D609" s="7">
        <v>14922.600000000164</v>
      </c>
      <c r="E609" s="7">
        <v>0</v>
      </c>
      <c r="F609" s="7">
        <v>360</v>
      </c>
      <c r="G609" s="7">
        <v>11709</v>
      </c>
      <c r="H609" s="7">
        <v>11281</v>
      </c>
      <c r="I609" s="7">
        <v>0</v>
      </c>
      <c r="J609" s="2">
        <v>24.75</v>
      </c>
      <c r="K609" s="23">
        <f t="shared" si="99"/>
        <v>44916.456000000086</v>
      </c>
      <c r="L609" s="23">
        <f t="shared" si="98"/>
        <v>3.8360625160133304</v>
      </c>
      <c r="M609" s="12" t="s">
        <v>11</v>
      </c>
      <c r="N609" s="7">
        <v>36429</v>
      </c>
      <c r="O609" s="7">
        <v>45500.419999999976</v>
      </c>
      <c r="P609" s="7">
        <f t="shared" si="94"/>
        <v>51705.022727272699</v>
      </c>
      <c r="Q609" s="7">
        <v>48400</v>
      </c>
      <c r="R609" s="7">
        <v>7120.0599999999813</v>
      </c>
      <c r="S609" s="7">
        <f t="shared" si="96"/>
        <v>9493.4133333333084</v>
      </c>
      <c r="T609" s="2">
        <v>8576</v>
      </c>
      <c r="U609" s="7">
        <f t="shared" si="100"/>
        <v>555668.31748030265</v>
      </c>
      <c r="V609" s="7">
        <f t="shared" si="97"/>
        <v>64.793413885296488</v>
      </c>
      <c r="W609" s="17"/>
      <c r="X609" s="11"/>
      <c r="AA609" s="11"/>
      <c r="AB609" s="11"/>
      <c r="AC609" s="11"/>
      <c r="AD609" s="11"/>
      <c r="AE609" s="11"/>
    </row>
    <row r="610" spans="1:31" x14ac:dyDescent="0.25">
      <c r="A610" s="15" t="s">
        <v>1</v>
      </c>
      <c r="B610" s="21">
        <v>45781</v>
      </c>
      <c r="C610" s="7">
        <v>7370</v>
      </c>
      <c r="D610" s="7">
        <v>10396.799999998837</v>
      </c>
      <c r="E610" s="7">
        <v>0</v>
      </c>
      <c r="F610" s="7">
        <v>168</v>
      </c>
      <c r="G610" s="7">
        <v>6837</v>
      </c>
      <c r="H610" s="7">
        <v>7721</v>
      </c>
      <c r="I610" s="7">
        <v>0</v>
      </c>
      <c r="J610" s="2">
        <v>24.70000076293945</v>
      </c>
      <c r="K610" s="23">
        <f t="shared" si="99"/>
        <v>64516.707999999351</v>
      </c>
      <c r="L610" s="23">
        <f t="shared" si="98"/>
        <v>9.4364060260347156</v>
      </c>
      <c r="M610" s="12" t="s">
        <v>11</v>
      </c>
      <c r="N610" s="7">
        <v>35293</v>
      </c>
      <c r="O610" s="7">
        <v>45500.419999999976</v>
      </c>
      <c r="P610" s="7">
        <f t="shared" si="94"/>
        <v>51705.022727272699</v>
      </c>
      <c r="Q610" s="7">
        <v>52416</v>
      </c>
      <c r="R610" s="7">
        <v>3372.660000000028</v>
      </c>
      <c r="S610" s="7">
        <f t="shared" si="96"/>
        <v>4496.8800000000374</v>
      </c>
      <c r="T610" s="2">
        <v>8282</v>
      </c>
      <c r="U610" s="7">
        <f t="shared" si="100"/>
        <v>527810.32281363662</v>
      </c>
      <c r="V610" s="7">
        <f t="shared" si="97"/>
        <v>63.729814394305315</v>
      </c>
      <c r="W610" s="17"/>
      <c r="X610" s="11"/>
      <c r="AA610" s="11"/>
      <c r="AB610" s="11"/>
      <c r="AC610" s="11"/>
      <c r="AD610" s="11"/>
      <c r="AE610" s="11"/>
    </row>
    <row r="611" spans="1:31" x14ac:dyDescent="0.25">
      <c r="A611" s="15" t="s">
        <v>1</v>
      </c>
      <c r="B611" s="21">
        <v>45782</v>
      </c>
      <c r="C611" s="8">
        <v>3364</v>
      </c>
      <c r="D611" s="8">
        <v>9359.3999999990028</v>
      </c>
      <c r="E611" s="8">
        <v>0</v>
      </c>
      <c r="F611" s="7">
        <v>366</v>
      </c>
      <c r="G611" s="8">
        <v>9823</v>
      </c>
      <c r="H611" s="8">
        <v>8124</v>
      </c>
      <c r="I611" s="8">
        <v>0</v>
      </c>
      <c r="J611" s="2">
        <v>26.75</v>
      </c>
      <c r="K611" s="23">
        <f t="shared" si="99"/>
        <v>33478.663999999437</v>
      </c>
      <c r="L611" s="23">
        <f t="shared" si="98"/>
        <v>3.4081913875597514</v>
      </c>
      <c r="M611" s="12" t="s">
        <v>11</v>
      </c>
      <c r="N611" s="8">
        <v>36113</v>
      </c>
      <c r="O611" s="8">
        <v>47446.710000000006</v>
      </c>
      <c r="P611" s="7">
        <f t="shared" si="94"/>
        <v>53916.715909090919</v>
      </c>
      <c r="Q611" s="8">
        <v>45691</v>
      </c>
      <c r="R611" s="8">
        <v>6370.5799999999972</v>
      </c>
      <c r="S611" s="7">
        <f t="shared" si="96"/>
        <v>8494.1066666666629</v>
      </c>
      <c r="T611" s="2">
        <v>8276</v>
      </c>
      <c r="U611" s="7">
        <f t="shared" si="100"/>
        <v>545795.1882628788</v>
      </c>
      <c r="V611" s="7">
        <f t="shared" si="97"/>
        <v>65.949152762551819</v>
      </c>
      <c r="W611" s="17"/>
      <c r="X611" s="11"/>
      <c r="AA611" s="11"/>
      <c r="AB611" s="11"/>
      <c r="AC611" s="11"/>
      <c r="AD611" s="11"/>
      <c r="AE611" s="11"/>
    </row>
    <row r="612" spans="1:31" x14ac:dyDescent="0.25">
      <c r="A612" s="15" t="s">
        <v>1</v>
      </c>
      <c r="B612" s="21">
        <v>45783</v>
      </c>
      <c r="C612" s="7">
        <v>5493</v>
      </c>
      <c r="D612" s="7">
        <v>13691.399999998173</v>
      </c>
      <c r="E612" s="7">
        <v>9150</v>
      </c>
      <c r="F612" s="7">
        <v>406</v>
      </c>
      <c r="G612" s="7">
        <v>11557</v>
      </c>
      <c r="H612" s="7">
        <v>9890</v>
      </c>
      <c r="I612" s="7">
        <v>76277</v>
      </c>
      <c r="J612" s="2">
        <v>26.79999923706055</v>
      </c>
      <c r="K612" s="23">
        <f t="shared" si="99"/>
        <v>121442.23399999898</v>
      </c>
      <c r="L612" s="23">
        <f t="shared" si="98"/>
        <v>10.508110582330966</v>
      </c>
      <c r="M612" s="12" t="s">
        <v>11</v>
      </c>
      <c r="N612" s="7">
        <v>36483</v>
      </c>
      <c r="O612" s="7">
        <v>49714.320000000007</v>
      </c>
      <c r="P612" s="7">
        <f t="shared" si="94"/>
        <v>56493.545454545463</v>
      </c>
      <c r="Q612" s="7">
        <v>58100</v>
      </c>
      <c r="R612" s="7">
        <v>7730.3999999999869</v>
      </c>
      <c r="S612" s="7">
        <f t="shared" si="96"/>
        <v>10307.199999999983</v>
      </c>
      <c r="T612" s="2">
        <v>8772</v>
      </c>
      <c r="U612" s="7">
        <f t="shared" si="100"/>
        <v>626710.78172727255</v>
      </c>
      <c r="V612" s="7">
        <f t="shared" si="97"/>
        <v>71.444457561248583</v>
      </c>
      <c r="W612" s="17"/>
      <c r="X612" s="11"/>
      <c r="AA612" s="11"/>
      <c r="AB612" s="11"/>
      <c r="AC612" s="11"/>
      <c r="AD612" s="11"/>
      <c r="AE612" s="11"/>
    </row>
    <row r="613" spans="1:31" x14ac:dyDescent="0.25">
      <c r="A613" s="15" t="s">
        <v>1</v>
      </c>
      <c r="B613" s="21">
        <v>45784</v>
      </c>
      <c r="C613" s="7">
        <v>4214</v>
      </c>
      <c r="D613" s="7">
        <v>13873.800000002155</v>
      </c>
      <c r="E613" s="7">
        <v>0</v>
      </c>
      <c r="F613" s="7">
        <v>272</v>
      </c>
      <c r="G613" s="7">
        <v>9761</v>
      </c>
      <c r="H613" s="7">
        <v>9583</v>
      </c>
      <c r="I613" s="7">
        <v>0</v>
      </c>
      <c r="J613" s="2">
        <v>23.54999923706055</v>
      </c>
      <c r="K613" s="23">
        <f t="shared" si="99"/>
        <v>42209.228000001211</v>
      </c>
      <c r="L613" s="23">
        <f t="shared" si="98"/>
        <v>4.3242729228563883</v>
      </c>
      <c r="M613" s="12" t="s">
        <v>11</v>
      </c>
      <c r="N613" s="7">
        <v>35732</v>
      </c>
      <c r="O613" s="7">
        <v>47550.87999999999</v>
      </c>
      <c r="P613" s="7">
        <f t="shared" si="94"/>
        <v>54035.090909090897</v>
      </c>
      <c r="Q613" s="7">
        <v>47823</v>
      </c>
      <c r="R613" s="7">
        <v>7494.8000000000065</v>
      </c>
      <c r="S613" s="7">
        <f t="shared" si="96"/>
        <v>9993.0666666666748</v>
      </c>
      <c r="T613" s="2">
        <v>9151</v>
      </c>
      <c r="U613" s="7">
        <f t="shared" si="100"/>
        <v>568395.38878787879</v>
      </c>
      <c r="V613" s="7">
        <f t="shared" si="97"/>
        <v>62.112926323667224</v>
      </c>
      <c r="W613" s="17"/>
      <c r="X613" s="11"/>
      <c r="AA613" s="11"/>
      <c r="AB613" s="11"/>
      <c r="AC613" s="11"/>
      <c r="AD613" s="11"/>
      <c r="AE613" s="11"/>
    </row>
    <row r="614" spans="1:31" x14ac:dyDescent="0.25">
      <c r="A614" s="15" t="s">
        <v>1</v>
      </c>
      <c r="B614" s="21">
        <v>45785</v>
      </c>
      <c r="C614" s="7">
        <v>3609</v>
      </c>
      <c r="D614" s="7">
        <v>11981.399999998173</v>
      </c>
      <c r="E614" s="7">
        <v>9750</v>
      </c>
      <c r="F614" s="7">
        <v>393</v>
      </c>
      <c r="G614" s="7">
        <v>10158</v>
      </c>
      <c r="H614" s="7">
        <v>8898</v>
      </c>
      <c r="I614" s="7">
        <v>81081</v>
      </c>
      <c r="J614" s="2">
        <v>25.25</v>
      </c>
      <c r="K614" s="23">
        <f t="shared" si="99"/>
        <v>110130.23399999898</v>
      </c>
      <c r="L614" s="23">
        <f t="shared" si="98"/>
        <v>10.841724158298778</v>
      </c>
      <c r="M614" s="12" t="s">
        <v>11</v>
      </c>
      <c r="N614" s="7">
        <v>36204</v>
      </c>
      <c r="O614" s="7">
        <v>50036.68</v>
      </c>
      <c r="P614" s="7">
        <f t="shared" si="94"/>
        <v>56859.86363636364</v>
      </c>
      <c r="Q614" s="7">
        <v>39494</v>
      </c>
      <c r="R614" s="7">
        <v>13706.239999999993</v>
      </c>
      <c r="S614" s="7">
        <f t="shared" si="96"/>
        <v>18274.986666666657</v>
      </c>
      <c r="T614" s="2">
        <v>9367</v>
      </c>
      <c r="U614" s="7">
        <f t="shared" si="100"/>
        <v>620223.09045151505</v>
      </c>
      <c r="V614" s="7">
        <f t="shared" si="97"/>
        <v>66.213631947423409</v>
      </c>
      <c r="W614" s="17"/>
      <c r="X614" s="11"/>
      <c r="AA614" s="11"/>
      <c r="AB614" s="11"/>
      <c r="AC614" s="11"/>
      <c r="AD614" s="11"/>
      <c r="AE614" s="11"/>
    </row>
    <row r="615" spans="1:31" x14ac:dyDescent="0.25">
      <c r="A615" s="15" t="s">
        <v>1</v>
      </c>
      <c r="B615" s="21">
        <v>45786</v>
      </c>
      <c r="C615" s="7">
        <v>4390</v>
      </c>
      <c r="D615" s="7">
        <v>13269.599999999336</v>
      </c>
      <c r="E615" s="7">
        <v>2600</v>
      </c>
      <c r="F615" s="7">
        <v>442</v>
      </c>
      <c r="G615" s="7">
        <v>10831</v>
      </c>
      <c r="H615" s="7">
        <v>10895</v>
      </c>
      <c r="I615" s="7">
        <v>26352</v>
      </c>
      <c r="J615" s="2">
        <v>26</v>
      </c>
      <c r="K615" s="23">
        <f t="shared" si="99"/>
        <v>63602.475999999631</v>
      </c>
      <c r="L615" s="23">
        <f t="shared" si="98"/>
        <v>5.8722625796325021</v>
      </c>
      <c r="M615" s="12" t="s">
        <v>11</v>
      </c>
      <c r="N615" s="7">
        <v>36054</v>
      </c>
      <c r="O615" s="7">
        <v>54888.34</v>
      </c>
      <c r="P615" s="7">
        <f t="shared" si="94"/>
        <v>62373.113636363632</v>
      </c>
      <c r="Q615" s="7">
        <v>43939</v>
      </c>
      <c r="R615" s="7">
        <v>11242.199999999993</v>
      </c>
      <c r="S615" s="7">
        <f t="shared" si="96"/>
        <v>14989.599999999991</v>
      </c>
      <c r="T615" s="2">
        <v>9254</v>
      </c>
      <c r="U615" s="7">
        <f t="shared" si="100"/>
        <v>636201.99406818172</v>
      </c>
      <c r="V615" s="7">
        <f t="shared" si="97"/>
        <v>68.748864714521474</v>
      </c>
      <c r="W615" s="17"/>
      <c r="X615" s="11"/>
      <c r="AA615" s="11"/>
      <c r="AB615" s="11"/>
      <c r="AC615" s="11"/>
      <c r="AD615" s="11"/>
      <c r="AE615" s="11"/>
    </row>
    <row r="616" spans="1:31" x14ac:dyDescent="0.25">
      <c r="A616" s="15" t="s">
        <v>1</v>
      </c>
      <c r="B616" s="21">
        <v>45787</v>
      </c>
      <c r="C616" s="8">
        <v>4270</v>
      </c>
      <c r="D616" s="8">
        <v>11069.400000003152</v>
      </c>
      <c r="E616" s="8">
        <v>0</v>
      </c>
      <c r="F616" s="7">
        <v>421</v>
      </c>
      <c r="G616" s="8">
        <v>9336</v>
      </c>
      <c r="H616" s="8">
        <v>9365</v>
      </c>
      <c r="I616" s="8">
        <v>0</v>
      </c>
      <c r="J616" s="2">
        <v>24.64999961853027</v>
      </c>
      <c r="K616" s="23">
        <f t="shared" si="99"/>
        <v>41823.364000001762</v>
      </c>
      <c r="L616" s="23">
        <f t="shared" si="98"/>
        <v>4.4797947729222107</v>
      </c>
      <c r="M616" s="12" t="s">
        <v>11</v>
      </c>
      <c r="N616" s="8">
        <v>36456</v>
      </c>
      <c r="O616" s="8">
        <v>48750.450000000012</v>
      </c>
      <c r="P616" s="7">
        <f t="shared" si="94"/>
        <v>55398.238636363647</v>
      </c>
      <c r="Q616" s="8">
        <v>43608</v>
      </c>
      <c r="R616" s="8">
        <v>9743.2399999999925</v>
      </c>
      <c r="S616" s="7">
        <f t="shared" si="96"/>
        <v>12990.986666666657</v>
      </c>
      <c r="T616" s="2">
        <v>8827</v>
      </c>
      <c r="U616" s="7">
        <f t="shared" si="100"/>
        <v>584029.62457651505</v>
      </c>
      <c r="V616" s="7">
        <f t="shared" si="97"/>
        <v>66.163999612157596</v>
      </c>
      <c r="W616" s="17"/>
      <c r="X616" s="11"/>
      <c r="AA616" s="11"/>
      <c r="AB616" s="11"/>
      <c r="AC616" s="11"/>
      <c r="AD616" s="11"/>
      <c r="AE616" s="11"/>
    </row>
    <row r="617" spans="1:31" x14ac:dyDescent="0.25">
      <c r="A617" s="15" t="s">
        <v>1</v>
      </c>
      <c r="B617" s="21">
        <v>45788</v>
      </c>
      <c r="C617" s="7">
        <v>5080</v>
      </c>
      <c r="D617" s="7">
        <v>4480.2000000003309</v>
      </c>
      <c r="E617" s="7">
        <v>0</v>
      </c>
      <c r="F617" s="7">
        <v>196</v>
      </c>
      <c r="G617" s="7">
        <v>8128</v>
      </c>
      <c r="H617" s="7">
        <v>2695</v>
      </c>
      <c r="I617" s="7">
        <v>0</v>
      </c>
      <c r="J617" s="2">
        <v>26.04999923706055</v>
      </c>
      <c r="K617" s="23">
        <f t="shared" si="99"/>
        <v>43366.912000000186</v>
      </c>
      <c r="L617" s="23">
        <f t="shared" si="98"/>
        <v>5.3354960629921484</v>
      </c>
      <c r="M617" s="12" t="s">
        <v>11</v>
      </c>
      <c r="N617" s="7">
        <v>38166</v>
      </c>
      <c r="O617" s="7">
        <v>50607.609999999971</v>
      </c>
      <c r="P617" s="7">
        <f t="shared" si="94"/>
        <v>57508.647727272692</v>
      </c>
      <c r="Q617" s="7">
        <v>43239</v>
      </c>
      <c r="R617" s="7">
        <v>11616.939999999986</v>
      </c>
      <c r="S617" s="7">
        <f t="shared" si="96"/>
        <v>15489.253333333314</v>
      </c>
      <c r="T617" s="2">
        <v>9264</v>
      </c>
      <c r="U617" s="7">
        <f t="shared" si="100"/>
        <v>615600.36695530266</v>
      </c>
      <c r="V617" s="7">
        <f t="shared" si="97"/>
        <v>66.450816812964447</v>
      </c>
      <c r="W617" s="17"/>
      <c r="X617" s="11"/>
      <c r="AA617" s="11"/>
      <c r="AB617" s="11"/>
      <c r="AC617" s="11"/>
      <c r="AD617" s="11"/>
      <c r="AE617" s="11"/>
    </row>
    <row r="618" spans="1:31" x14ac:dyDescent="0.25">
      <c r="A618" s="15" t="s">
        <v>1</v>
      </c>
      <c r="B618" s="21">
        <v>45789</v>
      </c>
      <c r="C618" s="7">
        <v>5693</v>
      </c>
      <c r="D618" s="7">
        <v>3362.9999999966822</v>
      </c>
      <c r="E618" s="7">
        <v>0</v>
      </c>
      <c r="F618" s="7">
        <v>456</v>
      </c>
      <c r="G618" s="7">
        <v>6376</v>
      </c>
      <c r="H618" s="7">
        <v>2654</v>
      </c>
      <c r="I618" s="7">
        <v>0</v>
      </c>
      <c r="J618" s="2">
        <v>22.54999923706055</v>
      </c>
      <c r="K618" s="23">
        <f t="shared" si="99"/>
        <v>48853.329999998139</v>
      </c>
      <c r="L618" s="23">
        <f t="shared" si="98"/>
        <v>7.6620655583434978</v>
      </c>
      <c r="M618" s="12" t="s">
        <v>11</v>
      </c>
      <c r="N618" s="7">
        <v>39860</v>
      </c>
      <c r="O618" s="7">
        <v>54593.840000000018</v>
      </c>
      <c r="P618" s="7">
        <f t="shared" si="94"/>
        <v>62038.454545454566</v>
      </c>
      <c r="Q618" s="7">
        <v>43834</v>
      </c>
      <c r="R618" s="7">
        <v>10117.979999999983</v>
      </c>
      <c r="S618" s="7">
        <f t="shared" si="96"/>
        <v>13490.639999999978</v>
      </c>
      <c r="T618" s="2">
        <v>10345</v>
      </c>
      <c r="U618" s="7">
        <f t="shared" si="100"/>
        <v>623040.11187272717</v>
      </c>
      <c r="V618" s="7">
        <f t="shared" si="97"/>
        <v>60.226207044246223</v>
      </c>
      <c r="W618" s="17"/>
      <c r="X618" s="11"/>
      <c r="AA618" s="11"/>
      <c r="AB618" s="11"/>
      <c r="AC618" s="11"/>
      <c r="AD618" s="11"/>
      <c r="AE618" s="11"/>
    </row>
    <row r="619" spans="1:31" x14ac:dyDescent="0.25">
      <c r="A619" s="15" t="s">
        <v>1</v>
      </c>
      <c r="B619" s="21">
        <v>45790</v>
      </c>
      <c r="C619" s="7">
        <v>4004</v>
      </c>
      <c r="D619" s="7">
        <v>13030.200000000332</v>
      </c>
      <c r="E619" s="7">
        <v>0</v>
      </c>
      <c r="F619" s="7">
        <v>452</v>
      </c>
      <c r="G619" s="7">
        <v>9195</v>
      </c>
      <c r="H619" s="7">
        <v>9255</v>
      </c>
      <c r="I619" s="7">
        <v>0</v>
      </c>
      <c r="J619" s="2">
        <v>23</v>
      </c>
      <c r="K619" s="23">
        <f t="shared" si="99"/>
        <v>40988.312000000187</v>
      </c>
      <c r="L619" s="23">
        <f t="shared" si="98"/>
        <v>4.4576739532354743</v>
      </c>
      <c r="M619" s="12" t="s">
        <v>11</v>
      </c>
      <c r="N619" s="7">
        <v>36870</v>
      </c>
      <c r="O619" s="7">
        <v>46075.889999999985</v>
      </c>
      <c r="P619" s="7">
        <f t="shared" si="94"/>
        <v>52358.96590909089</v>
      </c>
      <c r="Q619" s="7">
        <v>44250</v>
      </c>
      <c r="R619" s="7">
        <v>9368.5</v>
      </c>
      <c r="S619" s="7">
        <f t="shared" si="96"/>
        <v>12491.333333333334</v>
      </c>
      <c r="T619" s="2">
        <v>9455</v>
      </c>
      <c r="U619" s="7">
        <f t="shared" si="100"/>
        <v>568029.084746212</v>
      </c>
      <c r="V619" s="7">
        <f t="shared" si="97"/>
        <v>60.077111025511584</v>
      </c>
      <c r="W619" s="17"/>
      <c r="X619" s="11"/>
      <c r="AA619" s="11"/>
      <c r="AB619" s="11"/>
      <c r="AC619" s="11"/>
      <c r="AD619" s="11"/>
      <c r="AE619" s="11"/>
    </row>
    <row r="620" spans="1:31" x14ac:dyDescent="0.25">
      <c r="A620" s="15" t="s">
        <v>1</v>
      </c>
      <c r="B620" s="21">
        <v>45791</v>
      </c>
      <c r="C620" s="7">
        <v>4211</v>
      </c>
      <c r="D620" s="7">
        <v>13999.199999998673</v>
      </c>
      <c r="E620" s="7">
        <v>0</v>
      </c>
      <c r="F620" s="7">
        <v>500</v>
      </c>
      <c r="G620" s="7">
        <v>9967</v>
      </c>
      <c r="H620" s="7">
        <v>10891</v>
      </c>
      <c r="I620" s="7">
        <v>0</v>
      </c>
      <c r="J620" s="2">
        <v>25.64999961853027</v>
      </c>
      <c r="K620" s="23">
        <f t="shared" si="99"/>
        <v>43395.90199999926</v>
      </c>
      <c r="L620" s="23">
        <f t="shared" si="98"/>
        <v>4.3539582622654018</v>
      </c>
      <c r="M620" s="12" t="s">
        <v>11</v>
      </c>
      <c r="N620" s="7">
        <v>38427</v>
      </c>
      <c r="O620" s="7">
        <v>52020.910000000025</v>
      </c>
      <c r="P620" s="7">
        <f t="shared" si="94"/>
        <v>59114.670454545485</v>
      </c>
      <c r="Q620" s="7">
        <v>44630</v>
      </c>
      <c r="R620" s="7">
        <v>11872.539999999999</v>
      </c>
      <c r="S620" s="7">
        <f t="shared" si="96"/>
        <v>15830.053333333331</v>
      </c>
      <c r="T620" s="2">
        <v>9631</v>
      </c>
      <c r="U620" s="7">
        <f t="shared" si="100"/>
        <v>632304.40156893944</v>
      </c>
      <c r="V620" s="7">
        <f t="shared" si="97"/>
        <v>65.653037230707028</v>
      </c>
      <c r="W620" s="17"/>
      <c r="X620" s="11"/>
      <c r="AA620" s="11"/>
      <c r="AB620" s="11"/>
      <c r="AC620" s="11"/>
      <c r="AD620" s="11"/>
      <c r="AE620" s="11"/>
    </row>
    <row r="621" spans="1:31" x14ac:dyDescent="0.25">
      <c r="A621" s="15" t="s">
        <v>1</v>
      </c>
      <c r="B621" s="21">
        <v>45792</v>
      </c>
      <c r="C621" s="8">
        <v>3781</v>
      </c>
      <c r="D621" s="8">
        <v>13474.799999999668</v>
      </c>
      <c r="E621" s="8">
        <v>2425</v>
      </c>
      <c r="F621" s="7">
        <v>428</v>
      </c>
      <c r="G621" s="8">
        <v>10352</v>
      </c>
      <c r="H621" s="8">
        <v>11205</v>
      </c>
      <c r="I621" s="8">
        <v>24154</v>
      </c>
      <c r="J621" s="2">
        <v>29.35000038146973</v>
      </c>
      <c r="K621" s="23">
        <f t="shared" si="99"/>
        <v>57554.237999999816</v>
      </c>
      <c r="L621" s="23">
        <f t="shared" si="98"/>
        <v>5.5597215996908629</v>
      </c>
      <c r="M621" s="12" t="s">
        <v>11</v>
      </c>
      <c r="N621" s="8">
        <v>35821</v>
      </c>
      <c r="O621" s="8">
        <v>46944.469999999987</v>
      </c>
      <c r="P621" s="7">
        <f t="shared" si="94"/>
        <v>53345.988636363618</v>
      </c>
      <c r="Q621" s="8">
        <v>37307</v>
      </c>
      <c r="R621" s="8">
        <v>7494.8000000000065</v>
      </c>
      <c r="S621" s="7">
        <f t="shared" si="96"/>
        <v>9993.0666666666748</v>
      </c>
      <c r="T621" s="2">
        <v>8026</v>
      </c>
      <c r="U621" s="7">
        <f t="shared" si="100"/>
        <v>520774.4890265151</v>
      </c>
      <c r="V621" s="7">
        <f t="shared" si="97"/>
        <v>64.885931849802532</v>
      </c>
      <c r="W621" s="17"/>
      <c r="X621" s="11"/>
      <c r="AA621" s="11"/>
      <c r="AB621" s="11"/>
      <c r="AC621" s="11"/>
      <c r="AD621" s="11"/>
      <c r="AE621" s="11"/>
    </row>
    <row r="622" spans="1:31" x14ac:dyDescent="0.25">
      <c r="A622" s="15" t="s">
        <v>1</v>
      </c>
      <c r="B622" s="21">
        <v>45793</v>
      </c>
      <c r="C622" s="7">
        <v>5620</v>
      </c>
      <c r="D622" s="7">
        <v>13566.000000001659</v>
      </c>
      <c r="E622" s="7">
        <v>0</v>
      </c>
      <c r="F622" s="7">
        <v>342</v>
      </c>
      <c r="G622" s="7">
        <v>12537</v>
      </c>
      <c r="H622" s="7">
        <v>10649</v>
      </c>
      <c r="I622" s="7">
        <v>0</v>
      </c>
      <c r="J622" s="2">
        <v>32.700000762939453</v>
      </c>
      <c r="K622" s="23">
        <f t="shared" si="99"/>
        <v>53423.96000000093</v>
      </c>
      <c r="L622" s="23">
        <f t="shared" si="98"/>
        <v>4.2613033421074364</v>
      </c>
      <c r="M622" s="12" t="s">
        <v>11</v>
      </c>
      <c r="N622" s="7">
        <v>37936</v>
      </c>
      <c r="O622" s="7">
        <v>51977.16</v>
      </c>
      <c r="P622" s="7">
        <f t="shared" si="94"/>
        <v>59064.954545454551</v>
      </c>
      <c r="Q622" s="7">
        <v>45451</v>
      </c>
      <c r="R622" s="7">
        <v>13200</v>
      </c>
      <c r="S622" s="7">
        <f t="shared" si="96"/>
        <v>17600</v>
      </c>
      <c r="T622" s="2">
        <v>9812</v>
      </c>
      <c r="U622" s="7">
        <f t="shared" si="100"/>
        <v>650902.79777272732</v>
      </c>
      <c r="V622" s="7">
        <f t="shared" si="97"/>
        <v>66.337423335989328</v>
      </c>
      <c r="W622" s="17"/>
      <c r="X622" s="11"/>
      <c r="AA622" s="11"/>
      <c r="AB622" s="11"/>
      <c r="AC622" s="11"/>
      <c r="AD622" s="11"/>
      <c r="AE622" s="11"/>
    </row>
    <row r="623" spans="1:31" x14ac:dyDescent="0.25">
      <c r="A623" s="15" t="s">
        <v>1</v>
      </c>
      <c r="B623" s="21">
        <v>45794</v>
      </c>
      <c r="C623" s="7">
        <v>1890</v>
      </c>
      <c r="D623" s="7">
        <v>13999.199999998673</v>
      </c>
      <c r="E623" s="7">
        <v>0</v>
      </c>
      <c r="F623" s="7">
        <v>484</v>
      </c>
      <c r="G623" s="7">
        <v>10663</v>
      </c>
      <c r="H623" s="7">
        <v>11026</v>
      </c>
      <c r="I623" s="7">
        <v>0</v>
      </c>
      <c r="J623" s="2">
        <v>27.5</v>
      </c>
      <c r="K623" s="23">
        <f t="shared" si="99"/>
        <v>25096.051999999258</v>
      </c>
      <c r="L623" s="23">
        <f t="shared" si="98"/>
        <v>2.3535639125948848</v>
      </c>
      <c r="M623" s="12" t="s">
        <v>11</v>
      </c>
      <c r="N623" s="7">
        <v>38036</v>
      </c>
      <c r="O623" s="7">
        <v>51071.9</v>
      </c>
      <c r="P623" s="7">
        <f t="shared" si="94"/>
        <v>58036.25</v>
      </c>
      <c r="Q623" s="7">
        <v>45286</v>
      </c>
      <c r="R623" s="7">
        <v>11917</v>
      </c>
      <c r="S623" s="7">
        <f t="shared" si="96"/>
        <v>15889.333333333334</v>
      </c>
      <c r="T623" s="2">
        <v>9894</v>
      </c>
      <c r="U623" s="7">
        <f t="shared" si="100"/>
        <v>630224.02541666664</v>
      </c>
      <c r="V623" s="7">
        <f t="shared" si="97"/>
        <v>63.697597070615188</v>
      </c>
      <c r="W623" s="17"/>
      <c r="X623" s="11"/>
      <c r="AA623" s="11"/>
      <c r="AB623" s="11"/>
      <c r="AC623" s="11"/>
      <c r="AD623" s="11"/>
      <c r="AE623" s="11"/>
    </row>
    <row r="624" spans="1:31" x14ac:dyDescent="0.25">
      <c r="A624" s="15" t="s">
        <v>1</v>
      </c>
      <c r="B624" s="21">
        <v>45795</v>
      </c>
      <c r="C624" s="7">
        <v>5014</v>
      </c>
      <c r="D624" s="7">
        <v>13497.600000000166</v>
      </c>
      <c r="E624" s="7">
        <v>0</v>
      </c>
      <c r="F624" s="7">
        <v>144</v>
      </c>
      <c r="G624" s="7">
        <v>6923</v>
      </c>
      <c r="H624" s="7">
        <v>11241</v>
      </c>
      <c r="I624" s="7">
        <v>0</v>
      </c>
      <c r="J624" s="2">
        <v>26.70000076293945</v>
      </c>
      <c r="K624" s="23">
        <f t="shared" si="99"/>
        <v>47638.556000000099</v>
      </c>
      <c r="L624" s="23">
        <f t="shared" si="98"/>
        <v>6.881201213346829</v>
      </c>
      <c r="M624" s="12" t="s">
        <v>11</v>
      </c>
      <c r="N624" s="7">
        <v>37397</v>
      </c>
      <c r="O624" s="7">
        <v>48286.16</v>
      </c>
      <c r="P624" s="7">
        <f t="shared" si="94"/>
        <v>54870.636363636368</v>
      </c>
      <c r="Q624" s="7">
        <v>45920</v>
      </c>
      <c r="R624" s="7">
        <v>10492.720000000008</v>
      </c>
      <c r="S624" s="7">
        <f t="shared" si="96"/>
        <v>13990.293333333344</v>
      </c>
      <c r="T624" s="2">
        <v>9458</v>
      </c>
      <c r="U624" s="7">
        <f t="shared" si="100"/>
        <v>600625.6842484849</v>
      </c>
      <c r="V624" s="7">
        <f t="shared" si="97"/>
        <v>63.504513031136064</v>
      </c>
      <c r="W624" s="17"/>
      <c r="X624" s="11"/>
      <c r="AA624" s="11"/>
      <c r="AB624" s="11"/>
      <c r="AC624" s="11"/>
      <c r="AD624" s="11"/>
      <c r="AE624" s="11"/>
    </row>
    <row r="625" spans="1:31" x14ac:dyDescent="0.25">
      <c r="A625" s="15" t="s">
        <v>1</v>
      </c>
      <c r="B625" s="21">
        <v>45796</v>
      </c>
      <c r="C625" s="7">
        <v>3740</v>
      </c>
      <c r="D625" s="7">
        <v>9017.3999999998341</v>
      </c>
      <c r="E625" s="7">
        <v>0</v>
      </c>
      <c r="F625" s="7">
        <v>511</v>
      </c>
      <c r="G625" s="7">
        <v>7022</v>
      </c>
      <c r="H625" s="7">
        <v>6943</v>
      </c>
      <c r="I625" s="7">
        <v>0</v>
      </c>
      <c r="J625" s="2">
        <v>28.60000038146973</v>
      </c>
      <c r="K625" s="23">
        <f t="shared" si="99"/>
        <v>36963.743999999904</v>
      </c>
      <c r="L625" s="23">
        <f t="shared" si="98"/>
        <v>5.2639908857875115</v>
      </c>
      <c r="M625" s="12" t="s">
        <v>11</v>
      </c>
      <c r="N625" s="7">
        <v>33830</v>
      </c>
      <c r="O625" s="7">
        <v>38254.140000000007</v>
      </c>
      <c r="P625" s="7">
        <f t="shared" si="94"/>
        <v>43470.613636363647</v>
      </c>
      <c r="Q625" s="7">
        <v>44474</v>
      </c>
      <c r="R625" s="7">
        <v>12366.420000000002</v>
      </c>
      <c r="S625" s="7">
        <f t="shared" si="96"/>
        <v>16488.560000000001</v>
      </c>
      <c r="T625" s="2">
        <v>8806</v>
      </c>
      <c r="U625" s="7">
        <f t="shared" si="100"/>
        <v>560130.01296818187</v>
      </c>
      <c r="V625" s="7">
        <f t="shared" si="97"/>
        <v>63.60776890394979</v>
      </c>
      <c r="W625" s="17"/>
      <c r="X625" s="11"/>
      <c r="AA625" s="11"/>
      <c r="AB625" s="11"/>
      <c r="AC625" s="11"/>
      <c r="AD625" s="11"/>
      <c r="AE625" s="11"/>
    </row>
    <row r="626" spans="1:31" x14ac:dyDescent="0.25">
      <c r="A626" s="15" t="s">
        <v>1</v>
      </c>
      <c r="B626" s="21">
        <v>45797</v>
      </c>
      <c r="C626" s="8">
        <v>6408</v>
      </c>
      <c r="D626" s="8">
        <v>10111.799999998839</v>
      </c>
      <c r="E626" s="8">
        <v>4000</v>
      </c>
      <c r="F626" s="7">
        <v>371</v>
      </c>
      <c r="G626" s="8">
        <v>9734</v>
      </c>
      <c r="H626" s="8">
        <v>7886</v>
      </c>
      <c r="I626" s="8">
        <v>40871</v>
      </c>
      <c r="J626" s="2">
        <v>29.85000038146973</v>
      </c>
      <c r="K626" s="23">
        <f t="shared" si="99"/>
        <v>87820.407999999356</v>
      </c>
      <c r="L626" s="23">
        <f t="shared" si="98"/>
        <v>9.0220267104992153</v>
      </c>
      <c r="M626" s="12" t="s">
        <v>11</v>
      </c>
      <c r="N626" s="8">
        <v>31755</v>
      </c>
      <c r="O626" s="8">
        <v>38489.43</v>
      </c>
      <c r="P626" s="7">
        <f t="shared" si="94"/>
        <v>43737.98863636364</v>
      </c>
      <c r="Q626" s="8">
        <v>34028</v>
      </c>
      <c r="R626" s="8">
        <v>12602.019999999982</v>
      </c>
      <c r="S626" s="7">
        <f t="shared" si="96"/>
        <v>16802.693333333311</v>
      </c>
      <c r="T626" s="2">
        <v>7287</v>
      </c>
      <c r="U626" s="7">
        <f t="shared" si="100"/>
        <v>518940.61675984826</v>
      </c>
      <c r="V626" s="7">
        <f t="shared" si="97"/>
        <v>71.214576198689201</v>
      </c>
      <c r="W626" s="17"/>
      <c r="X626" s="11"/>
      <c r="AA626" s="11"/>
      <c r="AB626" s="11"/>
      <c r="AC626" s="11"/>
      <c r="AD626" s="11"/>
      <c r="AE626" s="11"/>
    </row>
    <row r="627" spans="1:31" x14ac:dyDescent="0.25">
      <c r="A627" s="15" t="s">
        <v>1</v>
      </c>
      <c r="B627" s="21">
        <v>45798</v>
      </c>
      <c r="C627" s="7">
        <v>4217</v>
      </c>
      <c r="D627" s="7">
        <v>13509.000000002487</v>
      </c>
      <c r="E627" s="7">
        <v>0</v>
      </c>
      <c r="F627" s="7">
        <v>432</v>
      </c>
      <c r="G627" s="7">
        <v>10606</v>
      </c>
      <c r="H627" s="7">
        <v>11135</v>
      </c>
      <c r="I627" s="7">
        <v>0</v>
      </c>
      <c r="J627" s="2">
        <v>29.54999923706055</v>
      </c>
      <c r="K627" s="23">
        <f t="shared" si="99"/>
        <v>42828.490000001388</v>
      </c>
      <c r="L627" s="23">
        <f t="shared" si="98"/>
        <v>4.0381378465021109</v>
      </c>
      <c r="M627" s="12" t="s">
        <v>11</v>
      </c>
      <c r="N627" s="7">
        <v>33583</v>
      </c>
      <c r="O627" s="7">
        <v>37407.25</v>
      </c>
      <c r="P627" s="7">
        <f t="shared" si="94"/>
        <v>42508.23863636364</v>
      </c>
      <c r="Q627" s="7">
        <v>43550</v>
      </c>
      <c r="R627" s="7">
        <v>11242.199999999993</v>
      </c>
      <c r="S627" s="7">
        <f t="shared" si="96"/>
        <v>14989.599999999991</v>
      </c>
      <c r="T627" s="2">
        <v>8209</v>
      </c>
      <c r="U627" s="7">
        <f t="shared" si="100"/>
        <v>538242.41644318181</v>
      </c>
      <c r="V627" s="7">
        <f t="shared" si="97"/>
        <v>65.567354908415368</v>
      </c>
      <c r="W627" s="17"/>
      <c r="X627" s="11"/>
      <c r="AA627" s="11"/>
      <c r="AB627" s="11"/>
      <c r="AC627" s="11"/>
      <c r="AD627" s="11"/>
      <c r="AE627" s="11"/>
    </row>
    <row r="628" spans="1:31" x14ac:dyDescent="0.25">
      <c r="A628" s="15" t="s">
        <v>1</v>
      </c>
      <c r="B628" s="21">
        <v>45799</v>
      </c>
      <c r="C628" s="7">
        <v>3863</v>
      </c>
      <c r="D628" s="7">
        <v>9142.8000000004959</v>
      </c>
      <c r="E628" s="7">
        <v>3775</v>
      </c>
      <c r="F628" s="7">
        <v>456</v>
      </c>
      <c r="G628" s="7">
        <v>10605</v>
      </c>
      <c r="H628" s="7">
        <v>5473</v>
      </c>
      <c r="I628" s="7">
        <v>46343</v>
      </c>
      <c r="J628" s="2">
        <v>27.20000076293945</v>
      </c>
      <c r="K628" s="23">
        <f t="shared" si="99"/>
        <v>66037.018000000273</v>
      </c>
      <c r="L628" s="23">
        <f t="shared" si="98"/>
        <v>6.2269701084394411</v>
      </c>
      <c r="M628" s="12" t="s">
        <v>11</v>
      </c>
      <c r="N628" s="7">
        <v>33561</v>
      </c>
      <c r="O628" s="7">
        <v>37654.929999999993</v>
      </c>
      <c r="P628" s="7">
        <f t="shared" si="94"/>
        <v>42789.693181818177</v>
      </c>
      <c r="Q628" s="7">
        <v>49207</v>
      </c>
      <c r="R628" s="7">
        <v>10867.460000000036</v>
      </c>
      <c r="S628" s="7">
        <f t="shared" si="96"/>
        <v>14489.946666666714</v>
      </c>
      <c r="T628" s="2">
        <v>8211</v>
      </c>
      <c r="U628" s="7">
        <f t="shared" si="100"/>
        <v>559030.77224924276</v>
      </c>
      <c r="V628" s="7">
        <f t="shared" si="97"/>
        <v>68.083153361252315</v>
      </c>
      <c r="W628" s="17"/>
      <c r="X628" s="11"/>
      <c r="AA628" s="11"/>
      <c r="AB628" s="11"/>
      <c r="AC628" s="11"/>
      <c r="AD628" s="11"/>
      <c r="AE628" s="11"/>
    </row>
    <row r="629" spans="1:31" x14ac:dyDescent="0.25">
      <c r="A629" s="15" t="s">
        <v>1</v>
      </c>
      <c r="B629" s="21">
        <v>45800</v>
      </c>
      <c r="C629" s="7">
        <v>6557</v>
      </c>
      <c r="D629" s="7">
        <v>13566.000000001659</v>
      </c>
      <c r="E629" s="7">
        <v>0</v>
      </c>
      <c r="F629" s="7">
        <v>498</v>
      </c>
      <c r="G629" s="7">
        <v>10785</v>
      </c>
      <c r="H629" s="7">
        <v>9947</v>
      </c>
      <c r="I629" s="7">
        <v>0</v>
      </c>
      <c r="J629" s="2">
        <v>31.79999923706055</v>
      </c>
      <c r="K629" s="23">
        <f t="shared" si="99"/>
        <v>61559.410000000928</v>
      </c>
      <c r="L629" s="23">
        <f t="shared" si="98"/>
        <v>5.7078729717200671</v>
      </c>
      <c r="M629" s="12" t="s">
        <v>11</v>
      </c>
      <c r="N629" s="7">
        <v>31996</v>
      </c>
      <c r="O629" s="7">
        <v>44381.09</v>
      </c>
      <c r="P629" s="7">
        <f t="shared" si="94"/>
        <v>50433.056818181816</v>
      </c>
      <c r="Q629" s="7">
        <v>43050</v>
      </c>
      <c r="R629" s="7">
        <v>12227.279999999957</v>
      </c>
      <c r="S629" s="7">
        <f t="shared" si="96"/>
        <v>16303.039999999943</v>
      </c>
      <c r="T629" s="2">
        <v>7816</v>
      </c>
      <c r="U629" s="7">
        <f t="shared" si="100"/>
        <v>584727.21213409037</v>
      </c>
      <c r="V629" s="7">
        <f t="shared" si="97"/>
        <v>74.81156757089181</v>
      </c>
      <c r="W629" s="17"/>
      <c r="X629" s="11"/>
      <c r="AA629" s="11"/>
      <c r="AB629" s="11"/>
      <c r="AC629" s="11"/>
      <c r="AD629" s="11"/>
      <c r="AE629" s="11"/>
    </row>
    <row r="630" spans="1:31" x14ac:dyDescent="0.25">
      <c r="A630" s="15" t="s">
        <v>1</v>
      </c>
      <c r="B630" s="21">
        <v>45801</v>
      </c>
      <c r="C630" s="7">
        <v>3840</v>
      </c>
      <c r="D630" s="7">
        <v>13315.20000000033</v>
      </c>
      <c r="E630" s="7">
        <v>7025</v>
      </c>
      <c r="F630" s="7">
        <v>470</v>
      </c>
      <c r="G630" s="7">
        <v>10498</v>
      </c>
      <c r="H630" s="7">
        <v>10301</v>
      </c>
      <c r="I630" s="7">
        <v>50161</v>
      </c>
      <c r="J630" s="2">
        <v>35.549999237060547</v>
      </c>
      <c r="K630" s="23">
        <f t="shared" si="99"/>
        <v>92638.012000000192</v>
      </c>
      <c r="L630" s="23">
        <f t="shared" si="98"/>
        <v>8.8243486378357971</v>
      </c>
      <c r="M630" s="12" t="s">
        <v>11</v>
      </c>
      <c r="N630" s="7">
        <v>33324</v>
      </c>
      <c r="O630" s="7">
        <v>50607.609999999993</v>
      </c>
      <c r="P630" s="7">
        <f t="shared" si="94"/>
        <v>57508.647727272721</v>
      </c>
      <c r="Q630" s="7">
        <v>41291</v>
      </c>
      <c r="R630" s="7">
        <v>10867.460000000036</v>
      </c>
      <c r="S630" s="7">
        <f t="shared" si="96"/>
        <v>14489.946666666714</v>
      </c>
      <c r="T630" s="2">
        <v>8571</v>
      </c>
      <c r="U630" s="7">
        <f t="shared" si="100"/>
        <v>595834.4160219701</v>
      </c>
      <c r="V630" s="7">
        <f t="shared" si="97"/>
        <v>69.517491077117029</v>
      </c>
      <c r="W630" s="17"/>
      <c r="X630" s="11"/>
      <c r="AA630" s="11"/>
      <c r="AB630" s="11"/>
      <c r="AC630" s="11"/>
      <c r="AD630" s="11"/>
      <c r="AE630" s="11"/>
    </row>
    <row r="631" spans="1:31" x14ac:dyDescent="0.25">
      <c r="A631" s="15" t="s">
        <v>1</v>
      </c>
      <c r="B631" s="21">
        <v>45802</v>
      </c>
      <c r="C631" s="8">
        <v>4510</v>
      </c>
      <c r="D631" s="8">
        <v>14044.799999999668</v>
      </c>
      <c r="E631" s="8">
        <v>0</v>
      </c>
      <c r="F631" s="7">
        <v>190</v>
      </c>
      <c r="G631" s="8">
        <v>8398</v>
      </c>
      <c r="H631" s="8">
        <v>10206</v>
      </c>
      <c r="I631" s="8">
        <v>0</v>
      </c>
      <c r="J631" s="2">
        <v>37.049999237060547</v>
      </c>
      <c r="K631" s="23">
        <f t="shared" si="99"/>
        <v>44218.587999999814</v>
      </c>
      <c r="L631" s="23">
        <f t="shared" si="98"/>
        <v>5.2653712788759011</v>
      </c>
      <c r="M631" s="12" t="s">
        <v>11</v>
      </c>
      <c r="N631" s="8">
        <v>33255</v>
      </c>
      <c r="O631" s="8">
        <v>48750.450000000012</v>
      </c>
      <c r="P631" s="7">
        <f t="shared" si="94"/>
        <v>55398.238636363647</v>
      </c>
      <c r="Q631" s="8">
        <v>36983</v>
      </c>
      <c r="R631" s="8">
        <v>11991.680000000011</v>
      </c>
      <c r="S631" s="7">
        <f t="shared" si="96"/>
        <v>15988.906666666682</v>
      </c>
      <c r="T631" s="2">
        <v>9614</v>
      </c>
      <c r="U631" s="7">
        <f t="shared" si="100"/>
        <v>580781.17737651523</v>
      </c>
      <c r="V631" s="7">
        <f t="shared" si="97"/>
        <v>60.409941478730524</v>
      </c>
      <c r="W631" s="17"/>
      <c r="X631" s="11"/>
      <c r="AA631" s="11"/>
      <c r="AB631" s="11"/>
      <c r="AC631" s="11"/>
      <c r="AD631" s="11"/>
      <c r="AE631" s="11"/>
    </row>
    <row r="632" spans="1:31" x14ac:dyDescent="0.25">
      <c r="A632" s="15" t="s">
        <v>1</v>
      </c>
      <c r="B632" s="21">
        <v>45803</v>
      </c>
      <c r="C632" s="7">
        <v>5436</v>
      </c>
      <c r="D632" s="7">
        <v>6862.8000000004968</v>
      </c>
      <c r="E632" s="7">
        <v>0</v>
      </c>
      <c r="F632" s="7">
        <v>494</v>
      </c>
      <c r="G632" s="7">
        <v>6882</v>
      </c>
      <c r="H632" s="7">
        <v>4805</v>
      </c>
      <c r="I632" s="7">
        <v>0</v>
      </c>
      <c r="J632" s="2">
        <v>33.549999237060547</v>
      </c>
      <c r="K632" s="23">
        <f t="shared" si="99"/>
        <v>48985.76800000028</v>
      </c>
      <c r="L632" s="23">
        <f t="shared" si="98"/>
        <v>7.1179552455681891</v>
      </c>
      <c r="M632" s="12" t="s">
        <v>11</v>
      </c>
      <c r="N632" s="7">
        <v>22159</v>
      </c>
      <c r="O632" s="7">
        <v>28683.809999999983</v>
      </c>
      <c r="P632" s="7">
        <f t="shared" si="94"/>
        <v>32595.238636363618</v>
      </c>
      <c r="Q632" s="7">
        <v>24140</v>
      </c>
      <c r="R632" s="7">
        <v>4122.1399999999785</v>
      </c>
      <c r="S632" s="7">
        <f t="shared" si="96"/>
        <v>5496.1866666666383</v>
      </c>
      <c r="T632" s="2">
        <v>5451</v>
      </c>
      <c r="U632" s="7">
        <f t="shared" si="100"/>
        <v>318638.77557651477</v>
      </c>
      <c r="V632" s="7">
        <f t="shared" si="97"/>
        <v>58.455104673732301</v>
      </c>
      <c r="W632" s="17"/>
      <c r="X632" s="11"/>
      <c r="AA632" s="11"/>
      <c r="AB632" s="11"/>
      <c r="AC632" s="11"/>
      <c r="AD632" s="11"/>
      <c r="AE632" s="11"/>
    </row>
    <row r="633" spans="1:31" x14ac:dyDescent="0.25">
      <c r="A633" s="15" t="s">
        <v>1</v>
      </c>
      <c r="B633" s="21">
        <v>45804</v>
      </c>
      <c r="C633" s="7">
        <v>3550</v>
      </c>
      <c r="D633" s="7">
        <v>11491.199999997843</v>
      </c>
      <c r="E633" s="7">
        <v>8125</v>
      </c>
      <c r="F633" s="7">
        <v>0</v>
      </c>
      <c r="G633" s="7">
        <v>7812</v>
      </c>
      <c r="H633" s="7">
        <v>7914</v>
      </c>
      <c r="I633" s="7">
        <v>58306</v>
      </c>
      <c r="J633" s="2">
        <v>36.700000762939453</v>
      </c>
      <c r="K633" s="23">
        <f t="shared" si="99"/>
        <v>95240.071999998792</v>
      </c>
      <c r="L633" s="23">
        <f t="shared" si="98"/>
        <v>12.191509472606093</v>
      </c>
      <c r="M633" s="12" t="s">
        <v>11</v>
      </c>
      <c r="N633" s="7">
        <v>34251</v>
      </c>
      <c r="O633" s="7">
        <v>51004.05</v>
      </c>
      <c r="P633" s="7">
        <f t="shared" si="94"/>
        <v>57959.147727272728</v>
      </c>
      <c r="Q633" s="7">
        <v>56395</v>
      </c>
      <c r="R633" s="7">
        <v>0</v>
      </c>
      <c r="S633" s="7">
        <f t="shared" si="96"/>
        <v>0</v>
      </c>
      <c r="T633" s="2">
        <v>8047</v>
      </c>
      <c r="U633" s="7">
        <f t="shared" si="100"/>
        <v>534154.22698863631</v>
      </c>
      <c r="V633" s="7">
        <f t="shared" si="97"/>
        <v>66.379299986160845</v>
      </c>
      <c r="W633" s="17"/>
      <c r="X633" s="11"/>
      <c r="AA633" s="11"/>
      <c r="AB633" s="11"/>
      <c r="AC633" s="11"/>
      <c r="AD633" s="11"/>
      <c r="AE633" s="11"/>
    </row>
    <row r="634" spans="1:31" x14ac:dyDescent="0.25">
      <c r="A634" s="15" t="s">
        <v>1</v>
      </c>
      <c r="B634" s="21">
        <v>45805</v>
      </c>
      <c r="C634" s="7">
        <v>4632</v>
      </c>
      <c r="D634" s="7">
        <v>12277.800000000496</v>
      </c>
      <c r="E634" s="7">
        <v>0</v>
      </c>
      <c r="F634" s="7">
        <v>0</v>
      </c>
      <c r="G634" s="7">
        <v>9011</v>
      </c>
      <c r="H634" s="7">
        <v>9329</v>
      </c>
      <c r="I634" s="7">
        <v>0</v>
      </c>
      <c r="J634" s="2">
        <v>38.799999237060547</v>
      </c>
      <c r="K634" s="23">
        <f t="shared" si="99"/>
        <v>43236.768000000273</v>
      </c>
      <c r="L634" s="23">
        <f t="shared" si="98"/>
        <v>4.7982208411941265</v>
      </c>
      <c r="M634" s="12" t="s">
        <v>11</v>
      </c>
      <c r="N634" s="7">
        <v>34108</v>
      </c>
      <c r="O634" s="7">
        <v>49406.89</v>
      </c>
      <c r="P634" s="7">
        <f t="shared" si="94"/>
        <v>56144.193181818184</v>
      </c>
      <c r="Q634" s="7">
        <v>56264</v>
      </c>
      <c r="R634" s="7">
        <v>0</v>
      </c>
      <c r="S634" s="7">
        <f t="shared" si="96"/>
        <v>0</v>
      </c>
      <c r="T634" s="2">
        <v>9004</v>
      </c>
      <c r="U634" s="7">
        <f t="shared" si="100"/>
        <v>524847.65921590908</v>
      </c>
      <c r="V634" s="7">
        <f t="shared" si="97"/>
        <v>58.290499690793986</v>
      </c>
      <c r="W634" s="17"/>
      <c r="X634" s="11"/>
      <c r="AA634" s="11"/>
      <c r="AB634" s="11"/>
      <c r="AC634" s="11"/>
      <c r="AD634" s="11"/>
      <c r="AE634" s="11"/>
    </row>
    <row r="635" spans="1:31" x14ac:dyDescent="0.25">
      <c r="A635" s="15" t="s">
        <v>1</v>
      </c>
      <c r="B635" s="21">
        <v>45806</v>
      </c>
      <c r="C635" s="7">
        <v>4094</v>
      </c>
      <c r="D635" s="7">
        <v>11434.199999998671</v>
      </c>
      <c r="E635" s="7">
        <v>9325</v>
      </c>
      <c r="F635" s="7">
        <v>0</v>
      </c>
      <c r="G635" s="7">
        <v>8020</v>
      </c>
      <c r="H635" s="7">
        <v>9407</v>
      </c>
      <c r="I635" s="7">
        <v>66714</v>
      </c>
      <c r="J635" s="2">
        <v>33.700000762939453</v>
      </c>
      <c r="K635" s="23">
        <f t="shared" si="99"/>
        <v>108478.55199999925</v>
      </c>
      <c r="L635" s="23">
        <f t="shared" si="98"/>
        <v>13.526003990024845</v>
      </c>
      <c r="M635" s="12" t="s">
        <v>11</v>
      </c>
      <c r="N635" s="7">
        <v>33731</v>
      </c>
      <c r="O635" s="7">
        <v>48377.340000000011</v>
      </c>
      <c r="P635" s="7">
        <f t="shared" si="94"/>
        <v>54974.250000000015</v>
      </c>
      <c r="Q635" s="7">
        <v>55345</v>
      </c>
      <c r="R635" s="7">
        <v>0</v>
      </c>
      <c r="S635" s="7">
        <f t="shared" si="96"/>
        <v>0</v>
      </c>
      <c r="T635" s="2">
        <v>8872</v>
      </c>
      <c r="U635" s="7">
        <f t="shared" si="100"/>
        <v>515167.20075000008</v>
      </c>
      <c r="V635" s="7">
        <f t="shared" si="97"/>
        <v>58.066636694093788</v>
      </c>
      <c r="W635" s="17"/>
      <c r="X635" s="11"/>
      <c r="AA635" s="11"/>
      <c r="AB635" s="11"/>
      <c r="AC635" s="11"/>
      <c r="AD635" s="11"/>
      <c r="AE635" s="11"/>
    </row>
    <row r="636" spans="1:31" x14ac:dyDescent="0.25">
      <c r="A636" s="15" t="s">
        <v>1</v>
      </c>
      <c r="B636" s="21">
        <v>45807</v>
      </c>
      <c r="C636" s="7">
        <v>4100</v>
      </c>
      <c r="D636" s="7">
        <v>14614.799999999666</v>
      </c>
      <c r="E636" s="7">
        <v>0</v>
      </c>
      <c r="F636" s="7">
        <v>0</v>
      </c>
      <c r="G636" s="7">
        <v>9463</v>
      </c>
      <c r="H636" s="7">
        <v>10369</v>
      </c>
      <c r="I636" s="7">
        <v>0</v>
      </c>
      <c r="J636" s="2">
        <v>31.85000038146973</v>
      </c>
      <c r="K636" s="23">
        <f t="shared" si="99"/>
        <v>40369.287999999811</v>
      </c>
      <c r="L636" s="23">
        <f t="shared" si="98"/>
        <v>4.2660137377152925</v>
      </c>
      <c r="M636" s="12" t="s">
        <v>11</v>
      </c>
      <c r="N636" s="8">
        <v>34652</v>
      </c>
      <c r="O636" s="8">
        <v>51274.259999999995</v>
      </c>
      <c r="P636" s="7">
        <f t="shared" si="94"/>
        <v>58266.204545454537</v>
      </c>
      <c r="Q636" s="8">
        <v>51692</v>
      </c>
      <c r="R636" s="8">
        <v>3747.3999999999869</v>
      </c>
      <c r="S636" s="7">
        <f t="shared" si="96"/>
        <v>4996.5333333333156</v>
      </c>
      <c r="T636" s="2">
        <v>9077</v>
      </c>
      <c r="U636" s="7">
        <f t="shared" si="100"/>
        <v>560168.90618939372</v>
      </c>
      <c r="V636" s="7">
        <f t="shared" si="97"/>
        <v>61.713000571708022</v>
      </c>
      <c r="W636" s="17"/>
      <c r="X636" s="11"/>
      <c r="AA636" s="11"/>
      <c r="AB636" s="11"/>
      <c r="AC636" s="11"/>
      <c r="AD636" s="11"/>
      <c r="AE636" s="11"/>
    </row>
    <row r="637" spans="1:31" x14ac:dyDescent="0.25">
      <c r="A637" s="15" t="s">
        <v>1</v>
      </c>
      <c r="B637" s="21">
        <v>45808</v>
      </c>
      <c r="C637" s="7">
        <v>4730</v>
      </c>
      <c r="D637" s="7">
        <v>11559.599999999335</v>
      </c>
      <c r="E637" s="7">
        <v>0</v>
      </c>
      <c r="F637" s="7">
        <v>0</v>
      </c>
      <c r="G637" s="7">
        <v>8996</v>
      </c>
      <c r="H637" s="7">
        <v>10410</v>
      </c>
      <c r="I637" s="7">
        <v>0</v>
      </c>
      <c r="J637" s="2">
        <v>30.5</v>
      </c>
      <c r="K637" s="23">
        <f>C637*7.85+D637*0.56+E637*7.5+F637*5</f>
        <v>43603.875999999625</v>
      </c>
      <c r="L637" s="23">
        <f t="shared" si="98"/>
        <v>4.8470293463761251</v>
      </c>
      <c r="M637" s="12" t="s">
        <v>11</v>
      </c>
      <c r="N637" s="7">
        <v>35148</v>
      </c>
      <c r="O637" s="7">
        <v>46429</v>
      </c>
      <c r="P637" s="7">
        <f t="shared" si="94"/>
        <v>52760.227272727272</v>
      </c>
      <c r="Q637" s="7">
        <v>41973</v>
      </c>
      <c r="R637" s="7">
        <v>11242.199999999961</v>
      </c>
      <c r="S637" s="7">
        <f t="shared" si="96"/>
        <v>14989.599999999948</v>
      </c>
      <c r="T637" s="2">
        <v>8907</v>
      </c>
      <c r="U637" s="7">
        <f t="shared" si="100"/>
        <v>581458.13013636321</v>
      </c>
      <c r="V637" s="7">
        <f t="shared" si="97"/>
        <v>65.281029542647715</v>
      </c>
      <c r="W637" s="17"/>
      <c r="X637" s="11"/>
      <c r="AA637" s="11"/>
      <c r="AB637" s="11"/>
      <c r="AC637" s="11"/>
      <c r="AD637" s="11"/>
      <c r="AE637" s="11"/>
    </row>
    <row r="638" spans="1:31" x14ac:dyDescent="0.25">
      <c r="A638" s="15" t="s">
        <v>1</v>
      </c>
      <c r="B638" s="21">
        <v>45809</v>
      </c>
      <c r="C638" s="7">
        <v>4890</v>
      </c>
      <c r="D638" s="7">
        <v>14147.399999999834</v>
      </c>
      <c r="E638" s="7">
        <v>0</v>
      </c>
      <c r="F638" s="7">
        <v>196</v>
      </c>
      <c r="G638" s="7">
        <v>8351</v>
      </c>
      <c r="H638" s="7">
        <v>11140</v>
      </c>
      <c r="I638" s="7">
        <v>0</v>
      </c>
      <c r="J638" s="2">
        <v>27.89999961853027</v>
      </c>
      <c r="K638" s="23">
        <f>C638*7.95+D638*0.55+E638*7.9+F638*5</f>
        <v>47636.569999999912</v>
      </c>
      <c r="L638" s="23">
        <f t="shared" si="98"/>
        <v>5.7042952939767586</v>
      </c>
      <c r="M638" s="12" t="s">
        <v>11</v>
      </c>
      <c r="N638" s="7">
        <v>33632</v>
      </c>
      <c r="O638" s="7">
        <v>49679.030000000013</v>
      </c>
      <c r="P638" s="7">
        <f t="shared" si="94"/>
        <v>56453.443181818198</v>
      </c>
      <c r="Q638" s="7">
        <v>40830</v>
      </c>
      <c r="R638" s="7">
        <v>12741.159999999994</v>
      </c>
      <c r="S638" s="7">
        <f t="shared" si="96"/>
        <v>16988.213333333326</v>
      </c>
      <c r="T638" s="2">
        <v>9017</v>
      </c>
      <c r="U638" s="7">
        <f>N638*0.55+P638*5.24+Q638*4.1+S638*8.9</f>
        <v>632911.74093939387</v>
      </c>
      <c r="V638" s="7">
        <f t="shared" si="97"/>
        <v>70.190943877053769</v>
      </c>
      <c r="W638" s="17"/>
      <c r="X638" s="11"/>
      <c r="AA638" s="11"/>
      <c r="AB638" s="11"/>
      <c r="AC638" s="11"/>
      <c r="AD638" s="11"/>
      <c r="AE638" s="11"/>
    </row>
    <row r="639" spans="1:31" x14ac:dyDescent="0.25">
      <c r="A639" s="15" t="s">
        <v>1</v>
      </c>
      <c r="B639" s="21">
        <v>45810</v>
      </c>
      <c r="C639" s="7">
        <v>3625</v>
      </c>
      <c r="D639" s="7">
        <v>8493.0000000008276</v>
      </c>
      <c r="E639" s="7">
        <v>0</v>
      </c>
      <c r="F639" s="7">
        <v>396</v>
      </c>
      <c r="G639" s="7">
        <v>5973</v>
      </c>
      <c r="H639" s="7">
        <v>7249</v>
      </c>
      <c r="I639" s="7">
        <v>0</v>
      </c>
      <c r="J639" s="2">
        <v>26.14999961853027</v>
      </c>
      <c r="K639" s="23">
        <f t="shared" ref="K639:K667" si="101">C639*7.95+D639*0.55+E639*7.9+F639*5</f>
        <v>35469.900000000453</v>
      </c>
      <c r="L639" s="23">
        <f t="shared" si="98"/>
        <v>5.938372677046786</v>
      </c>
      <c r="M639" s="12" t="s">
        <v>11</v>
      </c>
      <c r="N639" s="7">
        <v>31305</v>
      </c>
      <c r="O639" s="7">
        <v>51968.339999999982</v>
      </c>
      <c r="P639" s="7">
        <f t="shared" si="94"/>
        <v>59054.931818181794</v>
      </c>
      <c r="Q639" s="7">
        <v>41781</v>
      </c>
      <c r="R639" s="7">
        <v>0</v>
      </c>
      <c r="S639" s="7">
        <f t="shared" si="96"/>
        <v>0</v>
      </c>
      <c r="T639" s="2">
        <v>8252</v>
      </c>
      <c r="U639" s="7">
        <f t="shared" ref="U639:U667" si="102">N639*0.55+P639*5.24+Q639*4.1+S639*8.9</f>
        <v>497967.69272727257</v>
      </c>
      <c r="V639" s="7">
        <f t="shared" si="97"/>
        <v>60.345091217556053</v>
      </c>
      <c r="W639" s="17"/>
      <c r="X639" s="11"/>
      <c r="AA639" s="11"/>
      <c r="AB639" s="11"/>
      <c r="AC639" s="11"/>
      <c r="AD639" s="11"/>
      <c r="AE639" s="11"/>
    </row>
    <row r="640" spans="1:31" x14ac:dyDescent="0.25">
      <c r="A640" s="15" t="s">
        <v>1</v>
      </c>
      <c r="B640" s="21">
        <v>45811</v>
      </c>
      <c r="C640" s="7">
        <v>4201</v>
      </c>
      <c r="D640" s="7">
        <v>14466.599999998505</v>
      </c>
      <c r="E640" s="7">
        <v>6100</v>
      </c>
      <c r="F640" s="7">
        <v>0</v>
      </c>
      <c r="G640" s="7">
        <v>9313</v>
      </c>
      <c r="H640" s="7">
        <v>10265</v>
      </c>
      <c r="I640" s="7">
        <v>40669</v>
      </c>
      <c r="J640" s="2">
        <v>26.70000076293945</v>
      </c>
      <c r="K640" s="23">
        <f t="shared" si="101"/>
        <v>89544.579999999187</v>
      </c>
      <c r="L640" s="23">
        <f t="shared" si="98"/>
        <v>9.6150091270266493</v>
      </c>
      <c r="M640" s="12" t="s">
        <v>11</v>
      </c>
      <c r="N640" s="7">
        <v>30999</v>
      </c>
      <c r="O640" s="7">
        <v>54142.360000000015</v>
      </c>
      <c r="P640" s="7">
        <f t="shared" si="94"/>
        <v>61525.40909090911</v>
      </c>
      <c r="Q640" s="7">
        <v>43059</v>
      </c>
      <c r="R640" s="7">
        <v>0</v>
      </c>
      <c r="S640" s="7">
        <f t="shared" si="96"/>
        <v>0</v>
      </c>
      <c r="T640" s="2">
        <v>8445</v>
      </c>
      <c r="U640" s="7">
        <f t="shared" si="102"/>
        <v>515984.49363636377</v>
      </c>
      <c r="V640" s="7">
        <f t="shared" si="97"/>
        <v>61.099407180149647</v>
      </c>
      <c r="W640" s="17"/>
      <c r="X640" s="11"/>
      <c r="AA640" s="11"/>
      <c r="AB640" s="11"/>
      <c r="AC640" s="11"/>
      <c r="AD640" s="11"/>
      <c r="AE640" s="11"/>
    </row>
    <row r="641" spans="1:31" x14ac:dyDescent="0.25">
      <c r="A641" s="15" t="s">
        <v>1</v>
      </c>
      <c r="B641" s="21">
        <v>45812</v>
      </c>
      <c r="C641" s="7">
        <v>5023</v>
      </c>
      <c r="D641" s="7">
        <v>11434.200000002818</v>
      </c>
      <c r="E641" s="7">
        <v>0</v>
      </c>
      <c r="F641" s="7">
        <v>0</v>
      </c>
      <c r="G641" s="7">
        <v>8745</v>
      </c>
      <c r="H641" s="7">
        <v>8804</v>
      </c>
      <c r="I641" s="7">
        <v>0</v>
      </c>
      <c r="J641" s="2">
        <v>30.95000076293945</v>
      </c>
      <c r="K641" s="23">
        <f t="shared" si="101"/>
        <v>46221.660000001546</v>
      </c>
      <c r="L641" s="23">
        <f t="shared" si="98"/>
        <v>5.2854957118355115</v>
      </c>
      <c r="M641" s="12" t="s">
        <v>11</v>
      </c>
      <c r="N641" s="7">
        <v>31131</v>
      </c>
      <c r="O641" s="7">
        <v>51635.47</v>
      </c>
      <c r="P641" s="7">
        <f t="shared" si="94"/>
        <v>58676.670454545456</v>
      </c>
      <c r="Q641" s="7">
        <v>42954</v>
      </c>
      <c r="R641" s="7">
        <v>0</v>
      </c>
      <c r="S641" s="7">
        <f t="shared" si="96"/>
        <v>0</v>
      </c>
      <c r="T641" s="2">
        <v>8338</v>
      </c>
      <c r="U641" s="7">
        <f t="shared" si="102"/>
        <v>500699.20318181813</v>
      </c>
      <c r="V641" s="7">
        <f t="shared" si="97"/>
        <v>60.050276227130979</v>
      </c>
      <c r="W641" s="17"/>
      <c r="X641" s="11"/>
      <c r="AA641" s="11"/>
      <c r="AB641" s="11"/>
      <c r="AC641" s="11"/>
      <c r="AD641" s="11"/>
      <c r="AE641" s="11"/>
    </row>
    <row r="642" spans="1:31" x14ac:dyDescent="0.25">
      <c r="A642" s="15" t="s">
        <v>1</v>
      </c>
      <c r="B642" s="21">
        <v>45813</v>
      </c>
      <c r="C642" s="8">
        <v>3990</v>
      </c>
      <c r="D642" s="8">
        <v>9746.9999999991705</v>
      </c>
      <c r="E642" s="8">
        <v>11500</v>
      </c>
      <c r="F642" s="7">
        <v>27</v>
      </c>
      <c r="G642" s="8">
        <v>9348</v>
      </c>
      <c r="H642" s="8">
        <v>7384</v>
      </c>
      <c r="I642" s="8">
        <v>115303</v>
      </c>
      <c r="J642" s="2">
        <v>32.400001525878913</v>
      </c>
      <c r="K642" s="23">
        <f t="shared" si="101"/>
        <v>128066.34999999954</v>
      </c>
      <c r="L642" s="23">
        <f t="shared" si="98"/>
        <v>13.699866281557503</v>
      </c>
      <c r="M642" s="12" t="s">
        <v>11</v>
      </c>
      <c r="N642" s="8">
        <v>32562</v>
      </c>
      <c r="O642" s="8">
        <v>50849.969999999994</v>
      </c>
      <c r="P642" s="7">
        <f t="shared" ref="P642:P705" si="103">O642/0.88</f>
        <v>57784.056818181809</v>
      </c>
      <c r="Q642" s="8">
        <v>43995</v>
      </c>
      <c r="R642" s="8">
        <v>0</v>
      </c>
      <c r="S642" s="7">
        <f t="shared" si="96"/>
        <v>0</v>
      </c>
      <c r="T642" s="2">
        <v>8161</v>
      </c>
      <c r="U642" s="7">
        <f t="shared" si="102"/>
        <v>501077.05772727262</v>
      </c>
      <c r="V642" s="7">
        <f t="shared" si="97"/>
        <v>61.398977787927045</v>
      </c>
      <c r="W642" s="17"/>
      <c r="X642" s="11"/>
      <c r="AA642" s="11"/>
      <c r="AB642" s="11"/>
      <c r="AC642" s="11"/>
      <c r="AD642" s="11"/>
      <c r="AE642" s="11"/>
    </row>
    <row r="643" spans="1:31" x14ac:dyDescent="0.25">
      <c r="A643" s="15" t="s">
        <v>1</v>
      </c>
      <c r="B643" s="21">
        <v>45814</v>
      </c>
      <c r="C643" s="7">
        <v>3555</v>
      </c>
      <c r="D643" s="7">
        <v>8185.2000000003318</v>
      </c>
      <c r="E643" s="7">
        <v>0</v>
      </c>
      <c r="F643" s="7">
        <v>32</v>
      </c>
      <c r="G643" s="7">
        <v>5188</v>
      </c>
      <c r="H643" s="7">
        <v>6032</v>
      </c>
      <c r="I643" s="7">
        <v>0</v>
      </c>
      <c r="J643" s="2">
        <v>38</v>
      </c>
      <c r="K643" s="23">
        <f t="shared" si="101"/>
        <v>32924.110000000182</v>
      </c>
      <c r="L643" s="23">
        <f t="shared" si="98"/>
        <v>6.3462047031611766</v>
      </c>
      <c r="M643" s="12" t="s">
        <v>11</v>
      </c>
      <c r="N643" s="7">
        <v>34459</v>
      </c>
      <c r="O643" s="7">
        <v>48286.16</v>
      </c>
      <c r="P643" s="7">
        <f t="shared" si="103"/>
        <v>54870.636363636368</v>
      </c>
      <c r="Q643" s="7">
        <v>48613</v>
      </c>
      <c r="R643" s="7">
        <v>0</v>
      </c>
      <c r="S643" s="7">
        <f t="shared" ref="S643:S706" si="104">R643/0.75</f>
        <v>0</v>
      </c>
      <c r="T643" s="2">
        <v>8137</v>
      </c>
      <c r="U643" s="7">
        <f t="shared" si="102"/>
        <v>505787.88454545458</v>
      </c>
      <c r="V643" s="7">
        <f t="shared" ref="V643:V706" si="105">U643/T643</f>
        <v>62.159012479470881</v>
      </c>
      <c r="W643" s="17"/>
      <c r="X643" s="11"/>
      <c r="AA643" s="11"/>
      <c r="AB643" s="11"/>
      <c r="AC643" s="11"/>
      <c r="AD643" s="11"/>
      <c r="AE643" s="11"/>
    </row>
    <row r="644" spans="1:31" x14ac:dyDescent="0.25">
      <c r="A644" s="15" t="s">
        <v>1</v>
      </c>
      <c r="B644" s="21">
        <v>45815</v>
      </c>
      <c r="C644" s="7">
        <v>3555</v>
      </c>
      <c r="D644" s="7">
        <v>4765.2000000003318</v>
      </c>
      <c r="E644" s="7">
        <v>0</v>
      </c>
      <c r="F644" s="7">
        <v>0</v>
      </c>
      <c r="G644" s="7">
        <v>5745.3333333339497</v>
      </c>
      <c r="H644" s="7">
        <v>0</v>
      </c>
      <c r="I644" s="7">
        <v>0</v>
      </c>
      <c r="J644" s="2">
        <v>32.400001525878913</v>
      </c>
      <c r="K644" s="23">
        <f t="shared" si="101"/>
        <v>30883.110000000182</v>
      </c>
      <c r="L644" s="23">
        <f t="shared" si="98"/>
        <v>5.3753382455320615</v>
      </c>
      <c r="M644" s="12" t="s">
        <v>11</v>
      </c>
      <c r="N644" s="7">
        <v>19801</v>
      </c>
      <c r="O644" s="7">
        <v>22285.919999999998</v>
      </c>
      <c r="P644" s="7">
        <f t="shared" si="103"/>
        <v>25324.909090909088</v>
      </c>
      <c r="Q644" s="7">
        <v>30020</v>
      </c>
      <c r="R644" s="7">
        <v>0</v>
      </c>
      <c r="S644" s="7">
        <f t="shared" si="104"/>
        <v>0</v>
      </c>
      <c r="T644" s="2">
        <v>4646</v>
      </c>
      <c r="U644" s="7">
        <f t="shared" si="102"/>
        <v>266675.07363636361</v>
      </c>
      <c r="V644" s="7">
        <f t="shared" si="105"/>
        <v>57.398853559268964</v>
      </c>
      <c r="W644" s="17"/>
      <c r="X644" s="11"/>
      <c r="AA644" s="11"/>
      <c r="AB644" s="11"/>
      <c r="AC644" s="11"/>
      <c r="AD644" s="11"/>
      <c r="AE644" s="11"/>
    </row>
    <row r="645" spans="1:31" x14ac:dyDescent="0.25">
      <c r="A645" s="15" t="s">
        <v>1</v>
      </c>
      <c r="B645" s="21">
        <v>45816</v>
      </c>
      <c r="C645" s="7">
        <v>3555</v>
      </c>
      <c r="D645" s="7">
        <v>3853.2000000011612</v>
      </c>
      <c r="E645" s="7">
        <v>0</v>
      </c>
      <c r="F645" s="7">
        <v>0</v>
      </c>
      <c r="G645" s="7">
        <v>6302.6666666679102</v>
      </c>
      <c r="H645" s="7">
        <v>0</v>
      </c>
      <c r="I645" s="7">
        <v>0</v>
      </c>
      <c r="J645" s="2">
        <v>32.299999237060547</v>
      </c>
      <c r="K645" s="23">
        <f t="shared" si="101"/>
        <v>30381.510000000639</v>
      </c>
      <c r="L645" s="23">
        <f t="shared" si="98"/>
        <v>4.8204215147019216</v>
      </c>
      <c r="M645" s="12" t="s">
        <v>11</v>
      </c>
      <c r="N645" s="7">
        <v>33804</v>
      </c>
      <c r="O645" s="7">
        <v>39464.649999999987</v>
      </c>
      <c r="P645" s="7">
        <f t="shared" si="103"/>
        <v>44846.193181818169</v>
      </c>
      <c r="Q645" s="7">
        <v>67762</v>
      </c>
      <c r="R645" s="7">
        <v>0</v>
      </c>
      <c r="S645" s="7">
        <f t="shared" si="104"/>
        <v>0</v>
      </c>
      <c r="T645" s="2">
        <v>9591</v>
      </c>
      <c r="U645" s="7">
        <f t="shared" si="102"/>
        <v>531410.45227272715</v>
      </c>
      <c r="V645" s="7">
        <f t="shared" si="105"/>
        <v>55.407199694789611</v>
      </c>
      <c r="W645" s="17"/>
      <c r="X645" s="11"/>
      <c r="AA645" s="11"/>
      <c r="AB645" s="11"/>
      <c r="AC645" s="11"/>
      <c r="AD645" s="11"/>
      <c r="AE645" s="11"/>
    </row>
    <row r="646" spans="1:31" x14ac:dyDescent="0.25">
      <c r="A646" s="15" t="s">
        <v>1</v>
      </c>
      <c r="B646" s="21">
        <v>45817</v>
      </c>
      <c r="C646" s="7">
        <v>4172</v>
      </c>
      <c r="D646" s="7">
        <v>7683.6000000018248</v>
      </c>
      <c r="E646" s="7">
        <v>0</v>
      </c>
      <c r="F646" s="7">
        <v>0</v>
      </c>
      <c r="G646" s="7">
        <v>6860</v>
      </c>
      <c r="H646" s="7">
        <v>5018</v>
      </c>
      <c r="I646" s="7">
        <v>0</v>
      </c>
      <c r="J646" s="2">
        <v>27.70000076293945</v>
      </c>
      <c r="K646" s="23">
        <f t="shared" si="101"/>
        <v>37393.380000001009</v>
      </c>
      <c r="L646" s="23">
        <f t="shared" si="98"/>
        <v>5.4509300291546658</v>
      </c>
      <c r="M646" s="12" t="s">
        <v>11</v>
      </c>
      <c r="N646" s="7">
        <v>34042</v>
      </c>
      <c r="O646" s="7">
        <v>48973.840000000018</v>
      </c>
      <c r="P646" s="7">
        <f t="shared" si="103"/>
        <v>55652.090909090926</v>
      </c>
      <c r="Q646" s="7">
        <v>54333</v>
      </c>
      <c r="R646" s="7">
        <v>0</v>
      </c>
      <c r="S646" s="7">
        <f t="shared" si="104"/>
        <v>0</v>
      </c>
      <c r="T646" s="2">
        <v>9429</v>
      </c>
      <c r="U646" s="7">
        <f t="shared" si="102"/>
        <v>533105.35636363644</v>
      </c>
      <c r="V646" s="7">
        <f t="shared" si="105"/>
        <v>56.53890723975357</v>
      </c>
      <c r="W646" s="17"/>
      <c r="X646" s="11"/>
      <c r="AA646" s="11"/>
      <c r="AB646" s="11"/>
      <c r="AC646" s="11"/>
      <c r="AD646" s="11"/>
      <c r="AE646" s="11"/>
    </row>
    <row r="647" spans="1:31" x14ac:dyDescent="0.25">
      <c r="A647" s="15" t="s">
        <v>1</v>
      </c>
      <c r="B647" s="21">
        <v>45818</v>
      </c>
      <c r="C647" s="8">
        <v>5570</v>
      </c>
      <c r="D647" s="8">
        <v>12414.599999999336</v>
      </c>
      <c r="E647" s="8">
        <v>0</v>
      </c>
      <c r="F647" s="7">
        <v>0</v>
      </c>
      <c r="G647" s="8">
        <v>7424</v>
      </c>
      <c r="H647" s="8">
        <v>9870</v>
      </c>
      <c r="I647" s="8">
        <v>0</v>
      </c>
      <c r="J647" s="2">
        <v>29.95000076293945</v>
      </c>
      <c r="K647" s="23">
        <f t="shared" si="101"/>
        <v>51109.529999999635</v>
      </c>
      <c r="L647" s="23">
        <f t="shared" si="98"/>
        <v>6.8843655711206404</v>
      </c>
      <c r="M647" s="12" t="s">
        <v>11</v>
      </c>
      <c r="N647" s="8">
        <v>34469</v>
      </c>
      <c r="O647" s="8">
        <v>50325.679999999993</v>
      </c>
      <c r="P647" s="7">
        <f t="shared" si="103"/>
        <v>57188.272727272721</v>
      </c>
      <c r="Q647" s="8">
        <v>56810</v>
      </c>
      <c r="R647" s="8">
        <v>0</v>
      </c>
      <c r="S647" s="7">
        <f t="shared" si="104"/>
        <v>0</v>
      </c>
      <c r="T647" s="2">
        <v>10170</v>
      </c>
      <c r="U647" s="7">
        <f t="shared" si="102"/>
        <v>551545.49909090903</v>
      </c>
      <c r="V647" s="7">
        <f t="shared" si="105"/>
        <v>54.232595780817014</v>
      </c>
      <c r="W647" s="17"/>
      <c r="X647" s="11"/>
      <c r="AA647" s="11"/>
      <c r="AB647" s="11"/>
      <c r="AC647" s="11"/>
      <c r="AD647" s="11"/>
      <c r="AE647" s="11"/>
    </row>
    <row r="648" spans="1:31" x14ac:dyDescent="0.25">
      <c r="A648" s="15" t="s">
        <v>1</v>
      </c>
      <c r="B648" s="21">
        <v>45819</v>
      </c>
      <c r="C648" s="7">
        <v>4731</v>
      </c>
      <c r="D648" s="7">
        <v>14603.399999997344</v>
      </c>
      <c r="E648" s="7">
        <v>0</v>
      </c>
      <c r="F648" s="7">
        <v>0</v>
      </c>
      <c r="G648" s="7">
        <v>8908</v>
      </c>
      <c r="H648" s="7">
        <v>7873</v>
      </c>
      <c r="I648" s="7">
        <v>0</v>
      </c>
      <c r="J648" s="2">
        <v>29.60000038146973</v>
      </c>
      <c r="K648" s="23">
        <f t="shared" si="101"/>
        <v>45643.319999998545</v>
      </c>
      <c r="L648" s="23">
        <f t="shared" si="98"/>
        <v>5.1238572070047761</v>
      </c>
      <c r="M648" s="12" t="s">
        <v>11</v>
      </c>
      <c r="N648" s="7">
        <v>33858</v>
      </c>
      <c r="O648" s="7">
        <v>46458.25</v>
      </c>
      <c r="P648" s="7">
        <f t="shared" si="103"/>
        <v>52793.465909090912</v>
      </c>
      <c r="Q648" s="7">
        <v>54131</v>
      </c>
      <c r="R648" s="7">
        <v>5836.6999999999607</v>
      </c>
      <c r="S648" s="7">
        <f t="shared" si="104"/>
        <v>7782.2666666666146</v>
      </c>
      <c r="T648" s="2">
        <v>10451</v>
      </c>
      <c r="U648" s="7">
        <f t="shared" si="102"/>
        <v>586458.93469696934</v>
      </c>
      <c r="V648" s="7">
        <f t="shared" si="105"/>
        <v>56.115102353551748</v>
      </c>
      <c r="W648" s="17"/>
      <c r="X648" s="11"/>
      <c r="AA648" s="11"/>
      <c r="AB648" s="11"/>
      <c r="AC648" s="11"/>
      <c r="AD648" s="11"/>
      <c r="AE648" s="11"/>
    </row>
    <row r="649" spans="1:31" x14ac:dyDescent="0.25">
      <c r="A649" s="15" t="s">
        <v>1</v>
      </c>
      <c r="B649" s="21">
        <v>45820</v>
      </c>
      <c r="C649" s="7">
        <v>4716</v>
      </c>
      <c r="D649" s="7">
        <v>14398.200000001161</v>
      </c>
      <c r="E649" s="7">
        <v>6975</v>
      </c>
      <c r="F649" s="7">
        <v>82</v>
      </c>
      <c r="G649" s="7">
        <v>8363</v>
      </c>
      <c r="H649" s="7">
        <v>10348</v>
      </c>
      <c r="I649" s="7">
        <v>45440</v>
      </c>
      <c r="J649" s="2">
        <v>29.85000038146973</v>
      </c>
      <c r="K649" s="23">
        <f t="shared" si="101"/>
        <v>100923.71000000065</v>
      </c>
      <c r="L649" s="23">
        <f t="shared" ref="L649:L712" si="106">K649/G649</f>
        <v>12.067883534616842</v>
      </c>
      <c r="M649" s="12" t="s">
        <v>11</v>
      </c>
      <c r="N649" s="7">
        <v>33606</v>
      </c>
      <c r="O649" s="7">
        <v>51314.259999999995</v>
      </c>
      <c r="P649" s="7">
        <f t="shared" si="103"/>
        <v>58311.659090909088</v>
      </c>
      <c r="Q649" s="7">
        <v>45600</v>
      </c>
      <c r="R649" s="7">
        <v>11242.199999999961</v>
      </c>
      <c r="S649" s="7">
        <f t="shared" si="104"/>
        <v>14989.599999999948</v>
      </c>
      <c r="T649" s="2">
        <v>9014</v>
      </c>
      <c r="U649" s="7">
        <f t="shared" si="102"/>
        <v>644403.83363636304</v>
      </c>
      <c r="V649" s="7">
        <f t="shared" si="105"/>
        <v>71.489220505476268</v>
      </c>
      <c r="W649" s="17"/>
      <c r="X649" s="11"/>
      <c r="AA649" s="11"/>
      <c r="AB649" s="11"/>
      <c r="AC649" s="11"/>
      <c r="AD649" s="11"/>
      <c r="AE649" s="11"/>
    </row>
    <row r="650" spans="1:31" x14ac:dyDescent="0.25">
      <c r="A650" s="15" t="s">
        <v>1</v>
      </c>
      <c r="B650" s="21">
        <v>45821</v>
      </c>
      <c r="C650" s="7">
        <v>4830</v>
      </c>
      <c r="D650" s="7">
        <v>13269.599999999335</v>
      </c>
      <c r="E650" s="7">
        <v>0</v>
      </c>
      <c r="F650" s="7">
        <v>50</v>
      </c>
      <c r="G650" s="7">
        <v>9248</v>
      </c>
      <c r="H650" s="7">
        <v>10098</v>
      </c>
      <c r="I650" s="7">
        <v>0</v>
      </c>
      <c r="J650" s="2">
        <v>29.75</v>
      </c>
      <c r="K650" s="23">
        <f t="shared" si="101"/>
        <v>45946.779999999635</v>
      </c>
      <c r="L650" s="23">
        <f t="shared" si="106"/>
        <v>4.9682936851210675</v>
      </c>
      <c r="M650" s="12" t="s">
        <v>11</v>
      </c>
      <c r="N650" s="7">
        <v>29522</v>
      </c>
      <c r="O650" s="7">
        <v>41524.17</v>
      </c>
      <c r="P650" s="7">
        <f t="shared" si="103"/>
        <v>47186.556818181816</v>
      </c>
      <c r="Q650" s="7">
        <v>35773</v>
      </c>
      <c r="R650" s="7">
        <v>11437.800000000039</v>
      </c>
      <c r="S650" s="7">
        <f t="shared" si="104"/>
        <v>15250.400000000052</v>
      </c>
      <c r="T650" s="2">
        <v>6876</v>
      </c>
      <c r="U650" s="7">
        <f t="shared" si="102"/>
        <v>545892.51772727317</v>
      </c>
      <c r="V650" s="7">
        <f t="shared" si="105"/>
        <v>79.391000251203195</v>
      </c>
      <c r="W650" s="17"/>
      <c r="X650" s="11"/>
      <c r="AA650" s="11"/>
      <c r="AB650" s="11"/>
      <c r="AC650" s="11"/>
      <c r="AD650" s="11"/>
      <c r="AE650" s="11"/>
    </row>
    <row r="651" spans="1:31" x14ac:dyDescent="0.25">
      <c r="A651" s="15" t="s">
        <v>1</v>
      </c>
      <c r="B651" s="21">
        <v>45822</v>
      </c>
      <c r="C651" s="7">
        <v>4830</v>
      </c>
      <c r="D651" s="7">
        <v>14295.600000000995</v>
      </c>
      <c r="E651" s="7">
        <v>0</v>
      </c>
      <c r="F651" s="7">
        <v>0</v>
      </c>
      <c r="G651" s="7">
        <v>9639</v>
      </c>
      <c r="H651" s="7">
        <v>10826</v>
      </c>
      <c r="I651" s="7">
        <v>0</v>
      </c>
      <c r="J651" s="2">
        <v>33.849998474121087</v>
      </c>
      <c r="K651" s="23">
        <f t="shared" si="101"/>
        <v>46261.080000000547</v>
      </c>
      <c r="L651" s="23">
        <f t="shared" si="106"/>
        <v>4.7993650793651366</v>
      </c>
      <c r="M651" s="12" t="s">
        <v>11</v>
      </c>
      <c r="N651" s="7">
        <v>33118</v>
      </c>
      <c r="O651" s="7">
        <v>47821.87000000001</v>
      </c>
      <c r="P651" s="7">
        <f t="shared" si="103"/>
        <v>54343.034090909103</v>
      </c>
      <c r="Q651" s="7">
        <v>44135</v>
      </c>
      <c r="R651" s="7">
        <v>8619.0200000000168</v>
      </c>
      <c r="S651" s="7">
        <f t="shared" si="104"/>
        <v>11492.026666666688</v>
      </c>
      <c r="T651" s="2">
        <v>9113</v>
      </c>
      <c r="U651" s="7">
        <f t="shared" si="102"/>
        <v>586204.9359696972</v>
      </c>
      <c r="V651" s="7">
        <f t="shared" si="105"/>
        <v>64.326230217238802</v>
      </c>
      <c r="W651" s="17"/>
      <c r="X651" s="11"/>
      <c r="AA651" s="11"/>
      <c r="AB651" s="11"/>
      <c r="AC651" s="11"/>
      <c r="AD651" s="11"/>
      <c r="AE651" s="11"/>
    </row>
    <row r="652" spans="1:31" x14ac:dyDescent="0.25">
      <c r="A652" s="15" t="s">
        <v>1</v>
      </c>
      <c r="B652" s="21">
        <v>45823</v>
      </c>
      <c r="C652" s="8">
        <v>4885</v>
      </c>
      <c r="D652" s="8">
        <v>12699.599999999336</v>
      </c>
      <c r="E652" s="8">
        <v>0</v>
      </c>
      <c r="F652" s="7">
        <v>0</v>
      </c>
      <c r="G652" s="8">
        <v>7268</v>
      </c>
      <c r="H652" s="8">
        <v>9854</v>
      </c>
      <c r="I652" s="8">
        <v>0</v>
      </c>
      <c r="J652" s="2">
        <v>34.450000762939453</v>
      </c>
      <c r="K652" s="23">
        <f t="shared" si="101"/>
        <v>45820.529999999635</v>
      </c>
      <c r="L652" s="23">
        <f t="shared" si="106"/>
        <v>6.3044207484864661</v>
      </c>
      <c r="M652" s="12" t="s">
        <v>11</v>
      </c>
      <c r="N652" s="8">
        <v>30935</v>
      </c>
      <c r="O652" s="8">
        <v>47357.58</v>
      </c>
      <c r="P652" s="7">
        <f t="shared" si="103"/>
        <v>53815.431818181823</v>
      </c>
      <c r="Q652" s="8">
        <v>26055</v>
      </c>
      <c r="R652" s="8">
        <v>11616.939999999951</v>
      </c>
      <c r="S652" s="7">
        <f t="shared" si="104"/>
        <v>15489.253333333269</v>
      </c>
      <c r="T652" s="2">
        <v>7025</v>
      </c>
      <c r="U652" s="7">
        <f t="shared" si="102"/>
        <v>543686.96739393892</v>
      </c>
      <c r="V652" s="7">
        <f t="shared" si="105"/>
        <v>77.393162618354296</v>
      </c>
      <c r="W652" s="17"/>
      <c r="X652" s="11"/>
      <c r="AA652" s="11"/>
      <c r="AB652" s="11"/>
      <c r="AC652" s="11"/>
      <c r="AD652" s="11"/>
      <c r="AE652" s="11"/>
    </row>
    <row r="653" spans="1:31" x14ac:dyDescent="0.25">
      <c r="A653" s="15" t="s">
        <v>1</v>
      </c>
      <c r="B653" s="21">
        <v>45824</v>
      </c>
      <c r="C653" s="7">
        <v>4630</v>
      </c>
      <c r="D653" s="7">
        <v>12699.599999999336</v>
      </c>
      <c r="E653" s="7">
        <v>0</v>
      </c>
      <c r="F653" s="7">
        <v>364</v>
      </c>
      <c r="G653" s="7">
        <v>6515</v>
      </c>
      <c r="H653" s="7">
        <v>7124</v>
      </c>
      <c r="I653" s="7">
        <v>0</v>
      </c>
      <c r="J653" s="2">
        <v>36.799999237060547</v>
      </c>
      <c r="K653" s="23">
        <f t="shared" si="101"/>
        <v>45613.279999999635</v>
      </c>
      <c r="L653" s="23">
        <f t="shared" si="106"/>
        <v>7.001270913276997</v>
      </c>
      <c r="M653" s="12" t="s">
        <v>11</v>
      </c>
      <c r="N653" s="7">
        <v>34298</v>
      </c>
      <c r="O653" s="7">
        <v>48468.52</v>
      </c>
      <c r="P653" s="7">
        <f t="shared" si="103"/>
        <v>55077.863636363632</v>
      </c>
      <c r="Q653" s="7">
        <v>43252</v>
      </c>
      <c r="R653" s="7">
        <v>8993.759999999942</v>
      </c>
      <c r="S653" s="7">
        <f t="shared" si="104"/>
        <v>11991.679999999922</v>
      </c>
      <c r="T653" s="2">
        <v>9198</v>
      </c>
      <c r="U653" s="7">
        <f t="shared" si="102"/>
        <v>591531.05745454482</v>
      </c>
      <c r="V653" s="7">
        <f t="shared" si="105"/>
        <v>64.310834687382567</v>
      </c>
      <c r="W653" s="17"/>
      <c r="X653" s="11"/>
      <c r="AA653" s="11"/>
      <c r="AB653" s="11"/>
      <c r="AC653" s="11"/>
      <c r="AD653" s="11"/>
      <c r="AE653" s="11"/>
    </row>
    <row r="654" spans="1:31" x14ac:dyDescent="0.25">
      <c r="A654" s="15" t="s">
        <v>1</v>
      </c>
      <c r="B654" s="21">
        <v>45825</v>
      </c>
      <c r="C654" s="7">
        <v>3670</v>
      </c>
      <c r="D654" s="7">
        <v>13440.600000000995</v>
      </c>
      <c r="E654" s="7">
        <v>0</v>
      </c>
      <c r="F654" s="7">
        <v>366</v>
      </c>
      <c r="G654" s="7">
        <v>9235</v>
      </c>
      <c r="H654" s="7">
        <v>10867</v>
      </c>
      <c r="I654" s="7">
        <v>0</v>
      </c>
      <c r="J654" s="2">
        <v>40.400001525878913</v>
      </c>
      <c r="K654" s="23">
        <f t="shared" si="101"/>
        <v>38398.830000000547</v>
      </c>
      <c r="L654" s="23">
        <f t="shared" si="106"/>
        <v>4.1579675148890685</v>
      </c>
      <c r="M654" s="12" t="s">
        <v>11</v>
      </c>
      <c r="N654" s="7">
        <v>33839</v>
      </c>
      <c r="O654" s="7">
        <v>49327.92</v>
      </c>
      <c r="P654" s="7">
        <f t="shared" si="103"/>
        <v>56054.454545454544</v>
      </c>
      <c r="Q654" s="7">
        <v>45153</v>
      </c>
      <c r="R654" s="7">
        <v>12247.280000000024</v>
      </c>
      <c r="S654" s="7">
        <f t="shared" si="104"/>
        <v>16329.7066666667</v>
      </c>
      <c r="T654" s="2">
        <v>9097</v>
      </c>
      <c r="U654" s="7">
        <f t="shared" si="102"/>
        <v>642798.48115151539</v>
      </c>
      <c r="V654" s="7">
        <f t="shared" si="105"/>
        <v>70.660490398099967</v>
      </c>
      <c r="W654" s="17"/>
      <c r="X654" s="11"/>
      <c r="AA654" s="11"/>
      <c r="AB654" s="11"/>
      <c r="AC654" s="11"/>
      <c r="AD654" s="11"/>
      <c r="AE654" s="11"/>
    </row>
    <row r="655" spans="1:31" x14ac:dyDescent="0.25">
      <c r="A655" s="15" t="s">
        <v>1</v>
      </c>
      <c r="B655" s="21">
        <v>45826</v>
      </c>
      <c r="C655" s="7">
        <v>3640</v>
      </c>
      <c r="D655" s="7">
        <v>13018.800000002155</v>
      </c>
      <c r="E655" s="7">
        <v>0</v>
      </c>
      <c r="F655" s="7">
        <v>418</v>
      </c>
      <c r="G655" s="7">
        <v>9121</v>
      </c>
      <c r="H655" s="7">
        <v>10357</v>
      </c>
      <c r="I655" s="7">
        <v>0</v>
      </c>
      <c r="J655" s="2">
        <v>41.299999237060547</v>
      </c>
      <c r="K655" s="23">
        <f t="shared" si="101"/>
        <v>38188.34000000119</v>
      </c>
      <c r="L655" s="23">
        <f t="shared" si="106"/>
        <v>4.1868588970508922</v>
      </c>
      <c r="M655" s="12" t="s">
        <v>11</v>
      </c>
      <c r="N655" s="7">
        <v>32519</v>
      </c>
      <c r="O655" s="7">
        <v>39141.33</v>
      </c>
      <c r="P655" s="7">
        <f t="shared" si="103"/>
        <v>44478.784090909096</v>
      </c>
      <c r="Q655" s="7">
        <v>55879</v>
      </c>
      <c r="R655" s="7">
        <v>12366.420000000002</v>
      </c>
      <c r="S655" s="7">
        <f t="shared" si="104"/>
        <v>16488.560000000001</v>
      </c>
      <c r="T655" s="2">
        <v>9239</v>
      </c>
      <c r="U655" s="7">
        <f t="shared" si="102"/>
        <v>626806.36263636372</v>
      </c>
      <c r="V655" s="7">
        <f t="shared" si="105"/>
        <v>67.843528805754275</v>
      </c>
      <c r="W655" s="17"/>
      <c r="X655" s="11"/>
      <c r="AA655" s="11"/>
      <c r="AB655" s="11"/>
      <c r="AC655" s="11"/>
      <c r="AD655" s="11"/>
      <c r="AE655" s="11"/>
    </row>
    <row r="656" spans="1:31" x14ac:dyDescent="0.25">
      <c r="A656" s="15" t="s">
        <v>1</v>
      </c>
      <c r="B656" s="21">
        <v>45827</v>
      </c>
      <c r="C656" s="7">
        <v>5116</v>
      </c>
      <c r="D656" s="7">
        <v>9883.7999999980075</v>
      </c>
      <c r="E656" s="7">
        <v>6600</v>
      </c>
      <c r="F656" s="7">
        <v>520</v>
      </c>
      <c r="G656" s="7">
        <v>8893</v>
      </c>
      <c r="H656" s="7">
        <v>8392</v>
      </c>
      <c r="I656" s="7">
        <v>41232</v>
      </c>
      <c r="J656" s="2">
        <v>37.299999237060547</v>
      </c>
      <c r="K656" s="23">
        <f t="shared" si="101"/>
        <v>100848.2899999989</v>
      </c>
      <c r="L656" s="23">
        <f t="shared" si="106"/>
        <v>11.340187788147858</v>
      </c>
      <c r="M656" s="12" t="s">
        <v>11</v>
      </c>
      <c r="N656" s="7">
        <v>31112</v>
      </c>
      <c r="O656" s="7">
        <v>33445.56</v>
      </c>
      <c r="P656" s="7">
        <f t="shared" si="103"/>
        <v>38006.318181818177</v>
      </c>
      <c r="Q656" s="7">
        <v>46949</v>
      </c>
      <c r="R656" s="7">
        <v>11812.540000000032</v>
      </c>
      <c r="S656" s="7">
        <f t="shared" si="104"/>
        <v>15750.053333333375</v>
      </c>
      <c r="T656" s="2">
        <v>9348</v>
      </c>
      <c r="U656" s="7">
        <f t="shared" si="102"/>
        <v>548931.08193939435</v>
      </c>
      <c r="V656" s="7">
        <f t="shared" si="105"/>
        <v>58.72176743040162</v>
      </c>
      <c r="W656" s="17"/>
      <c r="X656" s="11"/>
      <c r="AA656" s="11"/>
      <c r="AB656" s="11"/>
      <c r="AC656" s="11"/>
      <c r="AD656" s="11"/>
      <c r="AE656" s="11"/>
    </row>
    <row r="657" spans="1:31" x14ac:dyDescent="0.25">
      <c r="A657" s="15" t="s">
        <v>1</v>
      </c>
      <c r="B657" s="21">
        <v>45828</v>
      </c>
      <c r="C657" s="8">
        <v>4660</v>
      </c>
      <c r="D657" s="8">
        <v>14010.600000000995</v>
      </c>
      <c r="E657" s="8">
        <v>6600</v>
      </c>
      <c r="F657" s="7">
        <v>0</v>
      </c>
      <c r="G657" s="8">
        <v>9144</v>
      </c>
      <c r="H657" s="8">
        <v>9672</v>
      </c>
      <c r="I657" s="8">
        <v>44000</v>
      </c>
      <c r="J657" s="2">
        <v>32.950000762939453</v>
      </c>
      <c r="K657" s="23">
        <f t="shared" si="101"/>
        <v>96892.83000000054</v>
      </c>
      <c r="L657" s="23">
        <f t="shared" si="106"/>
        <v>10.596328740157539</v>
      </c>
      <c r="M657" s="12" t="s">
        <v>11</v>
      </c>
      <c r="N657" s="8">
        <v>33825</v>
      </c>
      <c r="O657" s="8">
        <v>37950</v>
      </c>
      <c r="P657" s="7">
        <f t="shared" si="103"/>
        <v>43125</v>
      </c>
      <c r="Q657" s="8">
        <v>44280</v>
      </c>
      <c r="R657" s="8">
        <v>8619.0199999999495</v>
      </c>
      <c r="S657" s="7">
        <f t="shared" si="104"/>
        <v>11492.026666666599</v>
      </c>
      <c r="T657" s="2">
        <v>9702</v>
      </c>
      <c r="U657" s="7">
        <f t="shared" si="102"/>
        <v>528405.7873333327</v>
      </c>
      <c r="V657" s="7">
        <f t="shared" si="105"/>
        <v>54.463593829450907</v>
      </c>
      <c r="W657" s="17"/>
      <c r="X657" s="11"/>
      <c r="AA657" s="11"/>
      <c r="AB657" s="11"/>
      <c r="AC657" s="11"/>
      <c r="AD657" s="11"/>
      <c r="AE657" s="11"/>
    </row>
    <row r="658" spans="1:31" x14ac:dyDescent="0.25">
      <c r="A658" s="15" t="s">
        <v>1</v>
      </c>
      <c r="B658" s="21">
        <v>45829</v>
      </c>
      <c r="C658" s="7">
        <v>4443</v>
      </c>
      <c r="D658" s="7">
        <v>13383.600000001823</v>
      </c>
      <c r="E658" s="7">
        <v>0</v>
      </c>
      <c r="F658" s="7">
        <v>0</v>
      </c>
      <c r="G658" s="7">
        <v>9505</v>
      </c>
      <c r="H658" s="7">
        <v>10404</v>
      </c>
      <c r="I658" s="7">
        <v>0</v>
      </c>
      <c r="J658" s="2">
        <v>31.14999961853027</v>
      </c>
      <c r="K658" s="23">
        <f t="shared" si="101"/>
        <v>42682.830000001006</v>
      </c>
      <c r="L658" s="23">
        <f t="shared" si="106"/>
        <v>4.4905660178854294</v>
      </c>
      <c r="M658" s="12" t="s">
        <v>11</v>
      </c>
      <c r="N658" s="7">
        <v>34868</v>
      </c>
      <c r="O658" s="7">
        <v>48750.44999999999</v>
      </c>
      <c r="P658" s="7">
        <f t="shared" si="103"/>
        <v>55398.238636363625</v>
      </c>
      <c r="Q658" s="7">
        <v>56879</v>
      </c>
      <c r="R658" s="7">
        <v>0</v>
      </c>
      <c r="S658" s="7">
        <f t="shared" si="104"/>
        <v>0</v>
      </c>
      <c r="T658" s="2">
        <v>9386</v>
      </c>
      <c r="U658" s="7">
        <f t="shared" si="102"/>
        <v>542668.07045454544</v>
      </c>
      <c r="V658" s="7">
        <f t="shared" si="105"/>
        <v>57.816755854948376</v>
      </c>
      <c r="W658" s="17"/>
      <c r="X658" s="11"/>
      <c r="AA658" s="11"/>
      <c r="AB658" s="11"/>
      <c r="AC658" s="11"/>
      <c r="AD658" s="11"/>
      <c r="AE658" s="11"/>
    </row>
    <row r="659" spans="1:31" x14ac:dyDescent="0.25">
      <c r="A659" s="15" t="s">
        <v>1</v>
      </c>
      <c r="B659" s="21">
        <v>45830</v>
      </c>
      <c r="C659" s="7">
        <v>5170</v>
      </c>
      <c r="D659" s="7">
        <v>7843.2000000011612</v>
      </c>
      <c r="E659" s="7">
        <v>0</v>
      </c>
      <c r="F659" s="7">
        <v>0</v>
      </c>
      <c r="G659" s="7">
        <v>6045</v>
      </c>
      <c r="H659" s="7">
        <v>4839</v>
      </c>
      <c r="I659" s="7">
        <v>0</v>
      </c>
      <c r="J659" s="2">
        <v>30.14999961853027</v>
      </c>
      <c r="K659" s="23">
        <f t="shared" si="101"/>
        <v>45415.260000000635</v>
      </c>
      <c r="L659" s="23">
        <f t="shared" si="106"/>
        <v>7.5128635235733059</v>
      </c>
      <c r="M659" s="12" t="s">
        <v>11</v>
      </c>
      <c r="N659" s="7">
        <v>34006</v>
      </c>
      <c r="O659" s="7">
        <v>46893.290000000008</v>
      </c>
      <c r="P659" s="7">
        <f t="shared" si="103"/>
        <v>53287.829545454551</v>
      </c>
      <c r="Q659" s="7">
        <v>56262</v>
      </c>
      <c r="R659" s="7">
        <v>0</v>
      </c>
      <c r="S659" s="7">
        <f t="shared" si="104"/>
        <v>0</v>
      </c>
      <c r="T659" s="2">
        <v>9111</v>
      </c>
      <c r="U659" s="7">
        <f t="shared" si="102"/>
        <v>528605.72681818181</v>
      </c>
      <c r="V659" s="7">
        <f t="shared" si="105"/>
        <v>58.018409265523189</v>
      </c>
      <c r="W659" s="17"/>
      <c r="X659" s="11"/>
      <c r="AA659" s="11"/>
      <c r="AB659" s="11"/>
      <c r="AC659" s="11"/>
      <c r="AD659" s="11"/>
      <c r="AE659" s="11"/>
    </row>
    <row r="660" spans="1:31" x14ac:dyDescent="0.25">
      <c r="A660" s="15" t="s">
        <v>1</v>
      </c>
      <c r="B660" s="21">
        <v>45831</v>
      </c>
      <c r="C660" s="7">
        <v>4693</v>
      </c>
      <c r="D660" s="7">
        <v>6885.6000000009944</v>
      </c>
      <c r="E660" s="7">
        <v>0</v>
      </c>
      <c r="F660" s="7">
        <v>0</v>
      </c>
      <c r="G660" s="7">
        <v>7582</v>
      </c>
      <c r="H660" s="7">
        <v>5590</v>
      </c>
      <c r="I660" s="7">
        <v>0</v>
      </c>
      <c r="J660" s="2">
        <v>30.25</v>
      </c>
      <c r="K660" s="23">
        <f t="shared" si="101"/>
        <v>41096.430000000546</v>
      </c>
      <c r="L660" s="23">
        <f t="shared" si="106"/>
        <v>5.4202624637299586</v>
      </c>
      <c r="M660" s="12" t="s">
        <v>11</v>
      </c>
      <c r="N660" s="7">
        <v>35241</v>
      </c>
      <c r="O660" s="7">
        <v>49623.08</v>
      </c>
      <c r="P660" s="7">
        <f t="shared" si="103"/>
        <v>56389.86363636364</v>
      </c>
      <c r="Q660" s="7">
        <v>52004</v>
      </c>
      <c r="R660" s="7">
        <v>3372.6599999999949</v>
      </c>
      <c r="S660" s="7">
        <f t="shared" si="104"/>
        <v>4496.8799999999928</v>
      </c>
      <c r="T660" s="2">
        <v>9914</v>
      </c>
      <c r="U660" s="7">
        <f t="shared" si="102"/>
        <v>568104.06745454541</v>
      </c>
      <c r="V660" s="7">
        <f t="shared" si="105"/>
        <v>57.303214389201678</v>
      </c>
      <c r="W660" s="17"/>
      <c r="X660" s="11"/>
      <c r="AA660" s="11"/>
      <c r="AB660" s="11"/>
      <c r="AC660" s="11"/>
      <c r="AD660" s="11"/>
      <c r="AE660" s="11"/>
    </row>
    <row r="661" spans="1:31" x14ac:dyDescent="0.25">
      <c r="A661" s="15" t="s">
        <v>1</v>
      </c>
      <c r="B661" s="21">
        <v>45832</v>
      </c>
      <c r="C661" s="7">
        <v>3090</v>
      </c>
      <c r="D661" s="7">
        <v>13451.999999999169</v>
      </c>
      <c r="E661" s="7">
        <v>4325</v>
      </c>
      <c r="F661" s="7">
        <v>0</v>
      </c>
      <c r="G661" s="7">
        <v>8983</v>
      </c>
      <c r="H661" s="7">
        <v>9911</v>
      </c>
      <c r="I661" s="7">
        <v>24009</v>
      </c>
      <c r="J661" s="2">
        <v>32.700000762939453</v>
      </c>
      <c r="K661" s="23">
        <f t="shared" si="101"/>
        <v>66131.59999999954</v>
      </c>
      <c r="L661" s="23">
        <f t="shared" si="106"/>
        <v>7.3618612935544405</v>
      </c>
      <c r="M661" s="12" t="s">
        <v>11</v>
      </c>
      <c r="N661" s="7">
        <v>31867.200000000001</v>
      </c>
      <c r="O661" s="7">
        <v>44531.60000000002</v>
      </c>
      <c r="P661" s="7">
        <f t="shared" si="103"/>
        <v>50604.090909090934</v>
      </c>
      <c r="Q661" s="7">
        <v>49235</v>
      </c>
      <c r="R661" s="7">
        <v>2248.4399999999519</v>
      </c>
      <c r="S661" s="7">
        <f t="shared" si="104"/>
        <v>2997.919999999936</v>
      </c>
      <c r="T661" s="2">
        <v>10180</v>
      </c>
      <c r="U661" s="7">
        <f t="shared" si="102"/>
        <v>511237.38436363591</v>
      </c>
      <c r="V661" s="7">
        <f t="shared" si="105"/>
        <v>50.219782353991739</v>
      </c>
      <c r="W661" s="17"/>
      <c r="X661" s="11"/>
      <c r="AA661" s="11"/>
      <c r="AB661" s="11"/>
      <c r="AC661" s="11"/>
      <c r="AD661" s="11"/>
      <c r="AE661" s="11"/>
    </row>
    <row r="662" spans="1:31" x14ac:dyDescent="0.25">
      <c r="A662" s="15" t="s">
        <v>1</v>
      </c>
      <c r="B662" s="21">
        <v>45833</v>
      </c>
      <c r="C662" s="8">
        <v>5916</v>
      </c>
      <c r="D662" s="8">
        <v>14706.000000001657</v>
      </c>
      <c r="E662" s="8">
        <v>0</v>
      </c>
      <c r="F662" s="7">
        <v>0</v>
      </c>
      <c r="G662" s="8">
        <v>8090</v>
      </c>
      <c r="H662" s="8">
        <v>10582</v>
      </c>
      <c r="I662" s="8">
        <v>0</v>
      </c>
      <c r="J662" s="2">
        <v>38.200000762939453</v>
      </c>
      <c r="K662" s="23">
        <f t="shared" si="101"/>
        <v>55120.500000000917</v>
      </c>
      <c r="L662" s="23">
        <f t="shared" si="106"/>
        <v>6.8134116192831788</v>
      </c>
      <c r="M662" s="12" t="s">
        <v>11</v>
      </c>
      <c r="N662" s="8">
        <v>34029.4</v>
      </c>
      <c r="O662" s="8">
        <v>48337.34</v>
      </c>
      <c r="P662" s="7">
        <f t="shared" si="103"/>
        <v>54928.795454545449</v>
      </c>
      <c r="Q662" s="8">
        <v>53339</v>
      </c>
      <c r="R662" s="8">
        <v>0</v>
      </c>
      <c r="S662" s="7">
        <f t="shared" si="104"/>
        <v>0</v>
      </c>
      <c r="T662" s="2">
        <v>9740</v>
      </c>
      <c r="U662" s="7">
        <f t="shared" si="102"/>
        <v>525232.95818181813</v>
      </c>
      <c r="V662" s="7">
        <f t="shared" si="105"/>
        <v>53.925355049467981</v>
      </c>
      <c r="W662" s="17"/>
      <c r="X662" s="11"/>
      <c r="AA662" s="11"/>
      <c r="AB662" s="11"/>
      <c r="AC662" s="11"/>
      <c r="AD662" s="11"/>
      <c r="AE662" s="11"/>
    </row>
    <row r="663" spans="1:31" x14ac:dyDescent="0.25">
      <c r="A663" s="15" t="s">
        <v>1</v>
      </c>
      <c r="B663" s="21">
        <v>45834</v>
      </c>
      <c r="C663" s="7">
        <v>4403</v>
      </c>
      <c r="D663" s="7">
        <v>12209.399999999005</v>
      </c>
      <c r="E663" s="7">
        <v>0</v>
      </c>
      <c r="F663" s="7">
        <v>0</v>
      </c>
      <c r="G663" s="7">
        <v>9816</v>
      </c>
      <c r="H663" s="7">
        <v>9662</v>
      </c>
      <c r="I663" s="7">
        <v>0</v>
      </c>
      <c r="J663" s="2">
        <v>43</v>
      </c>
      <c r="K663" s="23">
        <f t="shared" si="101"/>
        <v>41719.019999999451</v>
      </c>
      <c r="L663" s="23">
        <f t="shared" si="106"/>
        <v>4.2501039119803838</v>
      </c>
      <c r="M663" s="12" t="s">
        <v>11</v>
      </c>
      <c r="N663" s="7">
        <v>24378</v>
      </c>
      <c r="O663" s="7">
        <v>31029</v>
      </c>
      <c r="P663" s="7">
        <f t="shared" si="103"/>
        <v>35260.227272727272</v>
      </c>
      <c r="Q663" s="7">
        <v>34560</v>
      </c>
      <c r="R663" s="7">
        <v>0</v>
      </c>
      <c r="S663" s="7">
        <f t="shared" si="104"/>
        <v>0</v>
      </c>
      <c r="T663" s="2">
        <v>5470</v>
      </c>
      <c r="U663" s="7">
        <f t="shared" si="102"/>
        <v>339867.49090909091</v>
      </c>
      <c r="V663" s="7">
        <f t="shared" si="105"/>
        <v>62.132996509888649</v>
      </c>
      <c r="W663" s="17"/>
      <c r="X663" s="11"/>
      <c r="AA663" s="11"/>
      <c r="AB663" s="11"/>
      <c r="AC663" s="11"/>
      <c r="AD663" s="11"/>
      <c r="AE663" s="11"/>
    </row>
    <row r="664" spans="1:31" x14ac:dyDescent="0.25">
      <c r="A664" s="15" t="s">
        <v>1</v>
      </c>
      <c r="B664" s="21">
        <v>45835</v>
      </c>
      <c r="C664" s="7">
        <v>4384</v>
      </c>
      <c r="D664" s="7">
        <v>15401.400000002322</v>
      </c>
      <c r="E664" s="7">
        <v>0</v>
      </c>
      <c r="F664" s="7">
        <v>0</v>
      </c>
      <c r="G664" s="7">
        <v>7843</v>
      </c>
      <c r="H664" s="7">
        <v>10234</v>
      </c>
      <c r="I664" s="7">
        <v>0</v>
      </c>
      <c r="J664" s="2">
        <v>45.099998474121087</v>
      </c>
      <c r="K664" s="23">
        <f t="shared" si="101"/>
        <v>43323.57000000128</v>
      </c>
      <c r="L664" s="23">
        <f t="shared" si="106"/>
        <v>5.5238518424074057</v>
      </c>
      <c r="M664" s="12" t="s">
        <v>11</v>
      </c>
      <c r="N664" s="7">
        <v>32133</v>
      </c>
      <c r="O664" s="7">
        <v>45500.42000000002</v>
      </c>
      <c r="P664" s="7">
        <f t="shared" si="103"/>
        <v>51705.02272727275</v>
      </c>
      <c r="Q664" s="7">
        <v>48368</v>
      </c>
      <c r="R664" s="7">
        <v>4496.8800000000374</v>
      </c>
      <c r="S664" s="7">
        <f t="shared" si="104"/>
        <v>5995.8400000000502</v>
      </c>
      <c r="T664" s="2">
        <v>8758</v>
      </c>
      <c r="U664" s="7">
        <f t="shared" si="102"/>
        <v>540279.24509090965</v>
      </c>
      <c r="V664" s="7">
        <f t="shared" si="105"/>
        <v>61.689797338537296</v>
      </c>
      <c r="W664" s="17"/>
      <c r="X664" s="11"/>
      <c r="AA664" s="11"/>
      <c r="AB664" s="11"/>
      <c r="AC664" s="11"/>
      <c r="AD664" s="11"/>
      <c r="AE664" s="11"/>
    </row>
    <row r="665" spans="1:31" x14ac:dyDescent="0.25">
      <c r="A665" s="15" t="s">
        <v>1</v>
      </c>
      <c r="B665" s="21">
        <v>45836</v>
      </c>
      <c r="C665" s="7">
        <v>3150</v>
      </c>
      <c r="D665" s="7">
        <v>15310.20000000033</v>
      </c>
      <c r="E665" s="7">
        <v>0</v>
      </c>
      <c r="F665" s="7">
        <v>0</v>
      </c>
      <c r="G665" s="7">
        <v>6278</v>
      </c>
      <c r="H665" s="7">
        <v>9511</v>
      </c>
      <c r="I665" s="7">
        <v>0</v>
      </c>
      <c r="J665" s="2">
        <v>45.75</v>
      </c>
      <c r="K665" s="23">
        <f t="shared" si="101"/>
        <v>33463.110000000182</v>
      </c>
      <c r="L665" s="23">
        <f t="shared" si="106"/>
        <v>5.3302182223638388</v>
      </c>
      <c r="M665" s="12" t="s">
        <v>11</v>
      </c>
      <c r="N665" s="7">
        <v>31538</v>
      </c>
      <c r="O665" s="7">
        <v>43915.169999999976</v>
      </c>
      <c r="P665" s="7">
        <f t="shared" si="103"/>
        <v>49903.602272727243</v>
      </c>
      <c r="Q665" s="7">
        <v>50845</v>
      </c>
      <c r="R665" s="7">
        <v>0</v>
      </c>
      <c r="S665" s="7">
        <f t="shared" si="104"/>
        <v>0</v>
      </c>
      <c r="T665" s="2">
        <v>8545</v>
      </c>
      <c r="U665" s="7">
        <f t="shared" si="102"/>
        <v>487305.27590909076</v>
      </c>
      <c r="V665" s="7">
        <f t="shared" si="105"/>
        <v>57.028118889302604</v>
      </c>
      <c r="W665" s="17"/>
      <c r="X665" s="11"/>
      <c r="AA665" s="11"/>
      <c r="AB665" s="11"/>
      <c r="AC665" s="11"/>
      <c r="AD665" s="11"/>
      <c r="AE665" s="11"/>
    </row>
    <row r="666" spans="1:31" x14ac:dyDescent="0.25">
      <c r="A666" s="15" t="s">
        <v>1</v>
      </c>
      <c r="B666" s="21">
        <v>45837</v>
      </c>
      <c r="C666" s="7">
        <v>2360</v>
      </c>
      <c r="D666" s="7">
        <v>13212.600000000166</v>
      </c>
      <c r="E666" s="7">
        <v>0</v>
      </c>
      <c r="F666" s="7">
        <v>0</v>
      </c>
      <c r="G666" s="7">
        <v>6744</v>
      </c>
      <c r="H666" s="7">
        <v>8183</v>
      </c>
      <c r="I666" s="7">
        <v>0</v>
      </c>
      <c r="J666" s="2">
        <v>43.450000762939453</v>
      </c>
      <c r="K666" s="23">
        <f t="shared" si="101"/>
        <v>26028.930000000091</v>
      </c>
      <c r="L666" s="23">
        <f t="shared" si="106"/>
        <v>3.8595685053380917</v>
      </c>
      <c r="M666" s="12" t="s">
        <v>11</v>
      </c>
      <c r="N666" s="7">
        <v>32996</v>
      </c>
      <c r="O666" s="7">
        <v>45500.42000000002</v>
      </c>
      <c r="P666" s="7">
        <f t="shared" si="103"/>
        <v>51705.02272727275</v>
      </c>
      <c r="Q666" s="7">
        <v>52591</v>
      </c>
      <c r="R666" s="7">
        <v>0</v>
      </c>
      <c r="S666" s="7">
        <f t="shared" si="104"/>
        <v>0</v>
      </c>
      <c r="T666" s="2">
        <v>8722</v>
      </c>
      <c r="U666" s="7">
        <f>N666*0.55+P666*5.24+Q666*4.1+S666*8.9</f>
        <v>504705.21909090917</v>
      </c>
      <c r="V666" s="7">
        <f t="shared" si="105"/>
        <v>57.86576692168186</v>
      </c>
      <c r="W666" s="17"/>
      <c r="X666" s="11"/>
      <c r="AA666" s="11"/>
      <c r="AB666" s="11"/>
      <c r="AC666" s="11"/>
      <c r="AD666" s="11"/>
      <c r="AE666" s="11"/>
    </row>
    <row r="667" spans="1:31" x14ac:dyDescent="0.25">
      <c r="A667" s="15" t="s">
        <v>1</v>
      </c>
      <c r="B667" s="21">
        <v>45838</v>
      </c>
      <c r="C667" s="7">
        <v>2317</v>
      </c>
      <c r="D667" s="7">
        <v>10567.79999999635</v>
      </c>
      <c r="E667" s="7">
        <v>0</v>
      </c>
      <c r="F667" s="7">
        <v>0</v>
      </c>
      <c r="G667" s="7">
        <v>6316</v>
      </c>
      <c r="H667" s="7">
        <v>7020</v>
      </c>
      <c r="I667" s="7">
        <v>0</v>
      </c>
      <c r="J667" s="2">
        <v>35.900001525878913</v>
      </c>
      <c r="K667" s="23">
        <f t="shared" si="101"/>
        <v>24232.439999997994</v>
      </c>
      <c r="L667" s="23">
        <f t="shared" si="106"/>
        <v>3.8366751108293213</v>
      </c>
      <c r="M667" s="12" t="s">
        <v>11</v>
      </c>
      <c r="N667" s="8">
        <v>30184</v>
      </c>
      <c r="O667" s="8">
        <v>47417.16</v>
      </c>
      <c r="P667" s="7">
        <f t="shared" si="103"/>
        <v>53883.136363636368</v>
      </c>
      <c r="Q667" s="8">
        <v>43389</v>
      </c>
      <c r="R667" s="8">
        <v>0</v>
      </c>
      <c r="S667" s="7">
        <f t="shared" si="104"/>
        <v>0</v>
      </c>
      <c r="T667" s="2">
        <v>8653</v>
      </c>
      <c r="U667" s="7">
        <f t="shared" si="102"/>
        <v>476843.73454545462</v>
      </c>
      <c r="V667" s="7">
        <f t="shared" si="105"/>
        <v>55.107330930943561</v>
      </c>
      <c r="W667" s="17"/>
      <c r="X667" s="11"/>
      <c r="AA667" s="11"/>
      <c r="AB667" s="11"/>
      <c r="AC667" s="11"/>
      <c r="AD667" s="11"/>
      <c r="AE667" s="11"/>
    </row>
    <row r="668" spans="1:31" x14ac:dyDescent="0.25">
      <c r="A668" s="15" t="s">
        <v>1</v>
      </c>
      <c r="B668" s="21">
        <v>45839</v>
      </c>
      <c r="C668" s="7">
        <v>4670</v>
      </c>
      <c r="D668" s="7">
        <v>14352.600000000164</v>
      </c>
      <c r="E668" s="7">
        <v>3200</v>
      </c>
      <c r="F668" s="7">
        <v>288</v>
      </c>
      <c r="G668" s="7">
        <v>9550</v>
      </c>
      <c r="H668" s="7">
        <v>10551</v>
      </c>
      <c r="I668" s="7">
        <v>19272</v>
      </c>
      <c r="J668" s="2">
        <v>33.549999237060547</v>
      </c>
      <c r="K668" s="23">
        <f>C668*8.051+D668*0.55+E668*8+F668*5</f>
        <v>72532.100000000093</v>
      </c>
      <c r="L668" s="23">
        <f t="shared" si="106"/>
        <v>7.5949842931937273</v>
      </c>
      <c r="M668" s="12" t="s">
        <v>11</v>
      </c>
      <c r="N668" s="7">
        <v>29773</v>
      </c>
      <c r="O668" s="7">
        <v>48500.970000000008</v>
      </c>
      <c r="P668" s="7">
        <f t="shared" si="103"/>
        <v>55114.738636363647</v>
      </c>
      <c r="Q668" s="7">
        <v>43740</v>
      </c>
      <c r="R668" s="7">
        <v>0</v>
      </c>
      <c r="S668" s="7">
        <f t="shared" si="104"/>
        <v>0</v>
      </c>
      <c r="T668" s="2">
        <v>8148</v>
      </c>
      <c r="U668" s="7">
        <f>N668*0.55+P668*5.257+Q668*4.05+S668*9.01</f>
        <v>483260.33101136371</v>
      </c>
      <c r="V668" s="7">
        <f t="shared" si="105"/>
        <v>59.310300811409391</v>
      </c>
      <c r="W668" s="17"/>
      <c r="X668" s="11"/>
      <c r="AA668" s="11"/>
      <c r="AB668" s="11"/>
      <c r="AC668" s="11"/>
      <c r="AD668" s="11"/>
      <c r="AE668" s="11"/>
    </row>
    <row r="669" spans="1:31" x14ac:dyDescent="0.25">
      <c r="A669" s="15" t="s">
        <v>1</v>
      </c>
      <c r="B669" s="21">
        <v>45840</v>
      </c>
      <c r="C669" s="7">
        <v>5618</v>
      </c>
      <c r="D669" s="7">
        <v>14512.200000003648</v>
      </c>
      <c r="E669" s="7">
        <v>0</v>
      </c>
      <c r="F669" s="7">
        <v>0</v>
      </c>
      <c r="G669" s="7">
        <v>9446</v>
      </c>
      <c r="H669" s="7">
        <v>10093</v>
      </c>
      <c r="I669" s="7">
        <v>0</v>
      </c>
      <c r="J669" s="2">
        <v>35.25</v>
      </c>
      <c r="K669" s="23">
        <f t="shared" ref="K669:K698" si="107">C669*8.051+D669*0.55+E669*8+F669*5</f>
        <v>53212.228000002011</v>
      </c>
      <c r="L669" s="23">
        <f t="shared" si="106"/>
        <v>5.6333080669068396</v>
      </c>
      <c r="M669" s="12" t="s">
        <v>11</v>
      </c>
      <c r="N669" s="7">
        <v>29628</v>
      </c>
      <c r="O669" s="7">
        <v>50174.259999999995</v>
      </c>
      <c r="P669" s="7">
        <f t="shared" si="103"/>
        <v>57016.204545454537</v>
      </c>
      <c r="Q669" s="7">
        <v>43170</v>
      </c>
      <c r="R669" s="7">
        <v>0</v>
      </c>
      <c r="S669" s="7">
        <f t="shared" si="104"/>
        <v>0</v>
      </c>
      <c r="T669" s="2">
        <v>8798</v>
      </c>
      <c r="U669" s="7">
        <f t="shared" ref="U669:U698" si="108">N669*0.55+P669*5.257+Q669*4.05+S669*9.01</f>
        <v>490868.08729545452</v>
      </c>
      <c r="V669" s="7">
        <f t="shared" si="105"/>
        <v>55.793144725557461</v>
      </c>
      <c r="W669" s="17"/>
      <c r="X669" s="11"/>
      <c r="AA669" s="11"/>
      <c r="AB669" s="11"/>
      <c r="AC669" s="11"/>
      <c r="AD669" s="11"/>
      <c r="AE669" s="11"/>
    </row>
    <row r="670" spans="1:31" x14ac:dyDescent="0.25">
      <c r="A670" s="15" t="s">
        <v>1</v>
      </c>
      <c r="B670" s="21">
        <v>45841</v>
      </c>
      <c r="C670" s="7">
        <v>4105</v>
      </c>
      <c r="D670" s="7">
        <v>8606.9999999991705</v>
      </c>
      <c r="E670" s="7">
        <v>4200</v>
      </c>
      <c r="F670" s="7">
        <v>196</v>
      </c>
      <c r="G670" s="7">
        <v>8086</v>
      </c>
      <c r="H670" s="7">
        <v>5315</v>
      </c>
      <c r="I670" s="7">
        <v>34975</v>
      </c>
      <c r="J670" s="2">
        <v>35.549999237060547</v>
      </c>
      <c r="K670" s="23">
        <f t="shared" si="107"/>
        <v>72363.204999999551</v>
      </c>
      <c r="L670" s="23">
        <f t="shared" si="106"/>
        <v>8.9491967598317519</v>
      </c>
      <c r="M670" s="12" t="s">
        <v>11</v>
      </c>
      <c r="N670" s="7">
        <v>29700</v>
      </c>
      <c r="O670" s="7">
        <v>43352.509999999995</v>
      </c>
      <c r="P670" s="7">
        <f t="shared" si="103"/>
        <v>49264.215909090904</v>
      </c>
      <c r="Q670" s="7">
        <v>49547</v>
      </c>
      <c r="R670" s="7">
        <v>0</v>
      </c>
      <c r="S670" s="7">
        <f t="shared" si="104"/>
        <v>0</v>
      </c>
      <c r="T670" s="2">
        <v>8580</v>
      </c>
      <c r="U670" s="7">
        <f t="shared" si="108"/>
        <v>475982.33303409087</v>
      </c>
      <c r="V670" s="7">
        <f t="shared" si="105"/>
        <v>55.475796390919683</v>
      </c>
      <c r="W670" s="17"/>
      <c r="X670" s="11"/>
      <c r="AA670" s="11"/>
      <c r="AB670" s="11"/>
      <c r="AC670" s="11"/>
      <c r="AD670" s="11"/>
      <c r="AE670" s="11"/>
    </row>
    <row r="671" spans="1:31" x14ac:dyDescent="0.25">
      <c r="A671" s="15" t="s">
        <v>1</v>
      </c>
      <c r="B671" s="21">
        <v>45842</v>
      </c>
      <c r="C671" s="7">
        <v>5300</v>
      </c>
      <c r="D671" s="7">
        <v>14215.799999997178</v>
      </c>
      <c r="E671" s="7">
        <v>0</v>
      </c>
      <c r="F671" s="7">
        <v>97</v>
      </c>
      <c r="G671" s="7">
        <v>10383</v>
      </c>
      <c r="H671" s="7">
        <v>10024</v>
      </c>
      <c r="I671" s="7">
        <v>0</v>
      </c>
      <c r="J671" s="2">
        <v>33.25</v>
      </c>
      <c r="K671" s="23">
        <f t="shared" si="107"/>
        <v>50973.989999998448</v>
      </c>
      <c r="L671" s="23">
        <f t="shared" si="106"/>
        <v>4.9093701242413994</v>
      </c>
      <c r="M671" s="12" t="s">
        <v>11</v>
      </c>
      <c r="N671" s="7">
        <v>25314</v>
      </c>
      <c r="O671" s="7">
        <v>29725.58</v>
      </c>
      <c r="P671" s="7">
        <f t="shared" si="103"/>
        <v>33779.068181818184</v>
      </c>
      <c r="Q671" s="7">
        <v>39610</v>
      </c>
      <c r="R671" s="7">
        <v>0</v>
      </c>
      <c r="S671" s="7">
        <f t="shared" si="104"/>
        <v>0</v>
      </c>
      <c r="T671" s="2">
        <v>5430</v>
      </c>
      <c r="U671" s="7">
        <f t="shared" si="108"/>
        <v>351919.76143181819</v>
      </c>
      <c r="V671" s="7">
        <f t="shared" si="105"/>
        <v>64.810269140298004</v>
      </c>
      <c r="W671" s="17"/>
      <c r="X671" s="11"/>
      <c r="AA671" s="11"/>
      <c r="AB671" s="11"/>
      <c r="AC671" s="11"/>
      <c r="AD671" s="11"/>
      <c r="AE671" s="11"/>
    </row>
    <row r="672" spans="1:31" x14ac:dyDescent="0.25">
      <c r="A672" s="15" t="s">
        <v>1</v>
      </c>
      <c r="B672" s="21">
        <v>45843</v>
      </c>
      <c r="C672" s="8">
        <v>3818</v>
      </c>
      <c r="D672" s="8">
        <v>14284.20000000282</v>
      </c>
      <c r="E672" s="8">
        <v>0</v>
      </c>
      <c r="F672" s="7">
        <v>21</v>
      </c>
      <c r="G672" s="8">
        <v>10216</v>
      </c>
      <c r="H672" s="8">
        <v>9979</v>
      </c>
      <c r="I672" s="8">
        <v>0</v>
      </c>
      <c r="J672" s="2">
        <v>32.349998474121087</v>
      </c>
      <c r="K672" s="23">
        <f t="shared" si="107"/>
        <v>38700.028000001555</v>
      </c>
      <c r="L672" s="23">
        <f t="shared" si="106"/>
        <v>3.7881781519187112</v>
      </c>
      <c r="M672" s="12" t="s">
        <v>11</v>
      </c>
      <c r="N672" s="8">
        <v>32627</v>
      </c>
      <c r="O672" s="8">
        <v>40295.590000000011</v>
      </c>
      <c r="P672" s="7">
        <f t="shared" si="103"/>
        <v>45790.443181818191</v>
      </c>
      <c r="Q672" s="8">
        <v>60348</v>
      </c>
      <c r="R672" s="8">
        <v>0</v>
      </c>
      <c r="S672" s="7">
        <f t="shared" si="104"/>
        <v>0</v>
      </c>
      <c r="T672" s="2">
        <v>8025</v>
      </c>
      <c r="U672" s="7">
        <f t="shared" si="108"/>
        <v>503074.60980681819</v>
      </c>
      <c r="V672" s="7">
        <f t="shared" si="105"/>
        <v>62.688424898045881</v>
      </c>
      <c r="W672" s="17"/>
      <c r="X672" s="11"/>
      <c r="AA672" s="11"/>
      <c r="AB672" s="11"/>
      <c r="AC672" s="11"/>
      <c r="AD672" s="11"/>
      <c r="AE672" s="11"/>
    </row>
    <row r="673" spans="1:31" x14ac:dyDescent="0.25">
      <c r="A673" s="15" t="s">
        <v>1</v>
      </c>
      <c r="B673" s="21">
        <v>45844</v>
      </c>
      <c r="C673" s="7">
        <v>4410</v>
      </c>
      <c r="D673" s="7">
        <v>14204.399999999003</v>
      </c>
      <c r="E673" s="7">
        <v>0</v>
      </c>
      <c r="F673" s="7">
        <v>171</v>
      </c>
      <c r="G673" s="7">
        <v>6575</v>
      </c>
      <c r="H673" s="7">
        <v>9681</v>
      </c>
      <c r="I673" s="7">
        <v>0</v>
      </c>
      <c r="J673" s="2">
        <v>33.25</v>
      </c>
      <c r="K673" s="23">
        <f t="shared" si="107"/>
        <v>44172.329999999456</v>
      </c>
      <c r="L673" s="23">
        <f t="shared" si="106"/>
        <v>6.7182250950569511</v>
      </c>
      <c r="M673" s="12" t="s">
        <v>11</v>
      </c>
      <c r="N673" s="7">
        <v>32623</v>
      </c>
      <c r="O673" s="7">
        <v>48286.159999999989</v>
      </c>
      <c r="P673" s="7">
        <f t="shared" si="103"/>
        <v>54870.636363636353</v>
      </c>
      <c r="Q673" s="7">
        <v>57629</v>
      </c>
      <c r="R673" s="7">
        <v>0</v>
      </c>
      <c r="S673" s="7">
        <f t="shared" si="104"/>
        <v>0</v>
      </c>
      <c r="T673" s="2">
        <v>10279</v>
      </c>
      <c r="U673" s="7">
        <f t="shared" si="108"/>
        <v>539795.03536363633</v>
      </c>
      <c r="V673" s="7">
        <f t="shared" si="105"/>
        <v>52.514353085284206</v>
      </c>
      <c r="W673" s="17"/>
      <c r="X673" s="11"/>
      <c r="AA673" s="11"/>
      <c r="AB673" s="11"/>
      <c r="AC673" s="11"/>
      <c r="AD673" s="11"/>
      <c r="AE673" s="11"/>
    </row>
    <row r="674" spans="1:31" x14ac:dyDescent="0.25">
      <c r="A674" s="15" t="s">
        <v>1</v>
      </c>
      <c r="B674" s="21">
        <v>45845</v>
      </c>
      <c r="C674" s="7">
        <v>4950</v>
      </c>
      <c r="D674" s="7">
        <v>8949.0000000024884</v>
      </c>
      <c r="E674" s="7">
        <v>0</v>
      </c>
      <c r="F674" s="7">
        <v>401</v>
      </c>
      <c r="G674" s="7">
        <v>7021</v>
      </c>
      <c r="H674" s="7">
        <v>7004</v>
      </c>
      <c r="I674" s="7">
        <v>0</v>
      </c>
      <c r="J674" s="2">
        <v>34.650001525878913</v>
      </c>
      <c r="K674" s="23">
        <f t="shared" si="107"/>
        <v>46779.400000001377</v>
      </c>
      <c r="L674" s="23">
        <f t="shared" si="106"/>
        <v>6.6627830793336242</v>
      </c>
      <c r="M674" s="12" t="s">
        <v>11</v>
      </c>
      <c r="N674" s="7">
        <v>31159</v>
      </c>
      <c r="O674" s="7">
        <v>44101.150000000009</v>
      </c>
      <c r="P674" s="7">
        <f t="shared" si="103"/>
        <v>50114.943181818191</v>
      </c>
      <c r="Q674" s="7">
        <v>49148</v>
      </c>
      <c r="R674" s="7">
        <v>0</v>
      </c>
      <c r="S674" s="7">
        <f t="shared" si="104"/>
        <v>0</v>
      </c>
      <c r="T674" s="2">
        <v>8959</v>
      </c>
      <c r="U674" s="7">
        <f t="shared" si="108"/>
        <v>479641.1063068182</v>
      </c>
      <c r="V674" s="7">
        <f t="shared" si="105"/>
        <v>53.537348622258982</v>
      </c>
      <c r="W674" s="17"/>
      <c r="X674" s="11"/>
      <c r="AA674" s="11"/>
      <c r="AB674" s="11"/>
      <c r="AC674" s="11"/>
      <c r="AD674" s="11"/>
      <c r="AE674" s="11"/>
    </row>
    <row r="675" spans="1:31" x14ac:dyDescent="0.25">
      <c r="A675" s="15" t="s">
        <v>1</v>
      </c>
      <c r="B675" s="21">
        <v>45846</v>
      </c>
      <c r="C675" s="7">
        <v>4312</v>
      </c>
      <c r="D675" s="7">
        <v>12597.000000003318</v>
      </c>
      <c r="E675" s="7">
        <v>3750</v>
      </c>
      <c r="F675" s="7">
        <v>374</v>
      </c>
      <c r="G675" s="7">
        <v>8526</v>
      </c>
      <c r="H675" s="7">
        <v>9131</v>
      </c>
      <c r="I675" s="7">
        <v>31165</v>
      </c>
      <c r="J675" s="2">
        <v>35.25</v>
      </c>
      <c r="K675" s="23">
        <f t="shared" si="107"/>
        <v>73514.262000001821</v>
      </c>
      <c r="L675" s="23">
        <f t="shared" si="106"/>
        <v>8.6223624208306155</v>
      </c>
      <c r="M675" s="12" t="s">
        <v>11</v>
      </c>
      <c r="N675" s="7">
        <v>33448</v>
      </c>
      <c r="O675" s="7">
        <v>42805.619999999995</v>
      </c>
      <c r="P675" s="7">
        <f t="shared" si="103"/>
        <v>48642.749999999993</v>
      </c>
      <c r="Q675" s="7">
        <v>49659</v>
      </c>
      <c r="R675" s="7">
        <v>7395.6599999999944</v>
      </c>
      <c r="S675" s="7">
        <f t="shared" si="104"/>
        <v>9860.8799999999919</v>
      </c>
      <c r="T675" s="2">
        <v>9605</v>
      </c>
      <c r="U675" s="7">
        <f t="shared" si="108"/>
        <v>564076.81554999994</v>
      </c>
      <c r="V675" s="7">
        <f t="shared" si="105"/>
        <v>58.727414424778758</v>
      </c>
      <c r="W675" s="17"/>
      <c r="X675" s="11"/>
      <c r="AA675" s="11"/>
      <c r="AB675" s="11"/>
      <c r="AC675" s="11"/>
      <c r="AD675" s="11"/>
      <c r="AE675" s="11"/>
    </row>
    <row r="676" spans="1:31" x14ac:dyDescent="0.25">
      <c r="A676" s="15" t="s">
        <v>1</v>
      </c>
      <c r="B676" s="21">
        <v>45847</v>
      </c>
      <c r="C676" s="7">
        <v>7568</v>
      </c>
      <c r="D676" s="7">
        <v>11798.999999998341</v>
      </c>
      <c r="E676" s="7">
        <v>0</v>
      </c>
      <c r="F676" s="7">
        <v>388</v>
      </c>
      <c r="G676" s="7">
        <v>9539</v>
      </c>
      <c r="H676" s="7">
        <v>7342</v>
      </c>
      <c r="I676" s="7">
        <v>0</v>
      </c>
      <c r="J676" s="2">
        <v>33.150001525878913</v>
      </c>
      <c r="K676" s="23">
        <f t="shared" si="107"/>
        <v>69359.417999999088</v>
      </c>
      <c r="L676" s="23">
        <f t="shared" si="106"/>
        <v>7.2711414194359039</v>
      </c>
      <c r="M676" s="12" t="s">
        <v>11</v>
      </c>
      <c r="N676" s="7">
        <v>32962</v>
      </c>
      <c r="O676" s="7">
        <v>48951.42</v>
      </c>
      <c r="P676" s="7">
        <f t="shared" si="103"/>
        <v>55626.613636363632</v>
      </c>
      <c r="Q676" s="7">
        <v>52830</v>
      </c>
      <c r="R676" s="7">
        <v>6745.3199999999897</v>
      </c>
      <c r="S676" s="7">
        <f t="shared" si="104"/>
        <v>8993.7599999999857</v>
      </c>
      <c r="T676" s="2">
        <v>9536</v>
      </c>
      <c r="U676" s="7">
        <f t="shared" si="108"/>
        <v>605553.48548636353</v>
      </c>
      <c r="V676" s="7">
        <f t="shared" si="105"/>
        <v>63.501833629023018</v>
      </c>
      <c r="W676" s="17"/>
      <c r="X676" s="11"/>
      <c r="AA676" s="11"/>
      <c r="AB676" s="11"/>
      <c r="AC676" s="11"/>
      <c r="AD676" s="11"/>
      <c r="AE676" s="11"/>
    </row>
    <row r="677" spans="1:31" x14ac:dyDescent="0.25">
      <c r="A677" s="15" t="s">
        <v>1</v>
      </c>
      <c r="B677" s="21">
        <v>45848</v>
      </c>
      <c r="C677" s="8">
        <v>4934</v>
      </c>
      <c r="D677" s="8">
        <v>14363.999999998339</v>
      </c>
      <c r="E677" s="8">
        <v>0</v>
      </c>
      <c r="F677" s="7">
        <v>412</v>
      </c>
      <c r="G677" s="8">
        <v>12022</v>
      </c>
      <c r="H677" s="8">
        <v>10494</v>
      </c>
      <c r="I677" s="8">
        <v>0</v>
      </c>
      <c r="J677" s="2">
        <v>31.45000076293945</v>
      </c>
      <c r="K677" s="23">
        <f t="shared" si="107"/>
        <v>49683.833999999086</v>
      </c>
      <c r="L677" s="23">
        <f t="shared" si="106"/>
        <v>4.1327428048576849</v>
      </c>
      <c r="M677" s="12" t="s">
        <v>11</v>
      </c>
      <c r="N677" s="8">
        <v>32872</v>
      </c>
      <c r="O677" s="8">
        <v>53524.290000000008</v>
      </c>
      <c r="P677" s="7">
        <f t="shared" si="103"/>
        <v>60823.056818181831</v>
      </c>
      <c r="Q677" s="8">
        <v>56556</v>
      </c>
      <c r="R677" s="8">
        <v>5107.2199999999757</v>
      </c>
      <c r="S677" s="7">
        <f t="shared" si="104"/>
        <v>6809.6266666666343</v>
      </c>
      <c r="T677" s="2">
        <v>9555</v>
      </c>
      <c r="U677" s="7">
        <f t="shared" si="108"/>
        <v>628232.94595984812</v>
      </c>
      <c r="V677" s="7">
        <f t="shared" si="105"/>
        <v>65.749130922014459</v>
      </c>
      <c r="W677" s="17"/>
      <c r="X677" s="11"/>
      <c r="AA677" s="11"/>
      <c r="AB677" s="11"/>
      <c r="AC677" s="11"/>
      <c r="AD677" s="11"/>
      <c r="AE677" s="11"/>
    </row>
    <row r="678" spans="1:31" x14ac:dyDescent="0.25">
      <c r="A678" s="15" t="s">
        <v>1</v>
      </c>
      <c r="B678" s="21">
        <v>45849</v>
      </c>
      <c r="C678" s="7">
        <v>6430</v>
      </c>
      <c r="D678" s="7">
        <v>15013.800000002155</v>
      </c>
      <c r="E678" s="7">
        <v>0</v>
      </c>
      <c r="F678" s="7">
        <v>398</v>
      </c>
      <c r="G678" s="7">
        <v>10216</v>
      </c>
      <c r="H678" s="7">
        <v>10078</v>
      </c>
      <c r="I678" s="7">
        <v>0</v>
      </c>
      <c r="J678" s="2">
        <v>30.35000038146973</v>
      </c>
      <c r="K678" s="23">
        <f t="shared" si="107"/>
        <v>62015.520000001183</v>
      </c>
      <c r="L678" s="23">
        <f t="shared" si="106"/>
        <v>6.0704306969460831</v>
      </c>
      <c r="M678" s="12" t="s">
        <v>11</v>
      </c>
      <c r="N678" s="7">
        <v>34155</v>
      </c>
      <c r="O678" s="7">
        <v>48321.44999999999</v>
      </c>
      <c r="P678" s="7">
        <f t="shared" si="103"/>
        <v>54910.738636363625</v>
      </c>
      <c r="Q678" s="7">
        <v>50118</v>
      </c>
      <c r="R678" s="7">
        <v>9743.2399999999925</v>
      </c>
      <c r="S678" s="7">
        <f t="shared" si="104"/>
        <v>12990.986666666657</v>
      </c>
      <c r="T678" s="2">
        <v>11642</v>
      </c>
      <c r="U678" s="7">
        <f t="shared" si="108"/>
        <v>627477.69287803012</v>
      </c>
      <c r="V678" s="7">
        <f t="shared" si="105"/>
        <v>53.897757505414027</v>
      </c>
      <c r="W678" s="17"/>
      <c r="X678" s="11"/>
      <c r="AA678" s="11"/>
      <c r="AB678" s="11"/>
      <c r="AC678" s="11"/>
      <c r="AD678" s="11"/>
      <c r="AE678" s="11"/>
    </row>
    <row r="679" spans="1:31" x14ac:dyDescent="0.25">
      <c r="A679" s="15" t="s">
        <v>1</v>
      </c>
      <c r="B679" s="21">
        <v>45850</v>
      </c>
      <c r="C679" s="7">
        <v>3760</v>
      </c>
      <c r="D679" s="7">
        <v>12847.800000000498</v>
      </c>
      <c r="E679" s="7">
        <v>0</v>
      </c>
      <c r="F679" s="7">
        <v>352</v>
      </c>
      <c r="G679" s="7">
        <v>10289</v>
      </c>
      <c r="H679" s="7">
        <v>9641</v>
      </c>
      <c r="I679" s="7">
        <v>0</v>
      </c>
      <c r="J679" s="2">
        <v>30.25</v>
      </c>
      <c r="K679" s="23">
        <f t="shared" si="107"/>
        <v>39098.050000000279</v>
      </c>
      <c r="L679" s="23">
        <f t="shared" si="106"/>
        <v>3.7999854213237709</v>
      </c>
      <c r="M679" s="12" t="s">
        <v>11</v>
      </c>
      <c r="N679" s="7">
        <v>33868</v>
      </c>
      <c r="O679" s="7">
        <v>46893.290000000008</v>
      </c>
      <c r="P679" s="7">
        <f t="shared" si="103"/>
        <v>53287.829545454551</v>
      </c>
      <c r="Q679" s="7">
        <v>46164</v>
      </c>
      <c r="R679" s="7">
        <v>9743.2399999999925</v>
      </c>
      <c r="S679" s="7">
        <f t="shared" si="104"/>
        <v>12990.986666666657</v>
      </c>
      <c r="T679" s="2">
        <v>11668</v>
      </c>
      <c r="U679" s="7">
        <f t="shared" si="108"/>
        <v>602774.50978712109</v>
      </c>
      <c r="V679" s="7">
        <f t="shared" si="105"/>
        <v>51.660482498039173</v>
      </c>
      <c r="W679" s="17"/>
      <c r="X679" s="11"/>
      <c r="AA679" s="11"/>
      <c r="AB679" s="11"/>
      <c r="AC679" s="11"/>
      <c r="AD679" s="11"/>
      <c r="AE679" s="11"/>
    </row>
    <row r="680" spans="1:31" x14ac:dyDescent="0.25">
      <c r="A680" s="15" t="s">
        <v>1</v>
      </c>
      <c r="B680" s="21">
        <v>45851</v>
      </c>
      <c r="C680" s="7">
        <v>4760</v>
      </c>
      <c r="D680" s="7">
        <v>15435.600000000994</v>
      </c>
      <c r="E680" s="7">
        <v>0</v>
      </c>
      <c r="F680" s="7">
        <v>215</v>
      </c>
      <c r="G680" s="7">
        <v>7614</v>
      </c>
      <c r="H680" s="7">
        <v>10265</v>
      </c>
      <c r="I680" s="7">
        <v>0</v>
      </c>
      <c r="J680" s="2">
        <v>35.599998474121087</v>
      </c>
      <c r="K680" s="23">
        <f t="shared" si="107"/>
        <v>47887.340000000549</v>
      </c>
      <c r="L680" s="23">
        <f t="shared" si="106"/>
        <v>6.2893800893092395</v>
      </c>
      <c r="M680" s="12" t="s">
        <v>11</v>
      </c>
      <c r="N680" s="7">
        <v>33033</v>
      </c>
      <c r="O680" s="7">
        <v>43643.259999999995</v>
      </c>
      <c r="P680" s="7">
        <f t="shared" si="103"/>
        <v>49594.613636363632</v>
      </c>
      <c r="Q680" s="7">
        <v>52567</v>
      </c>
      <c r="R680" s="7">
        <v>10117.98000000005</v>
      </c>
      <c r="S680" s="7">
        <f t="shared" si="104"/>
        <v>13490.640000000067</v>
      </c>
      <c r="T680" s="2">
        <v>10812</v>
      </c>
      <c r="U680" s="7">
        <f t="shared" si="108"/>
        <v>613334.05028636416</v>
      </c>
      <c r="V680" s="7">
        <f t="shared" si="105"/>
        <v>56.727159663925654</v>
      </c>
      <c r="W680" s="17"/>
      <c r="X680" s="11"/>
      <c r="AA680" s="11"/>
      <c r="AB680" s="11"/>
      <c r="AC680" s="11"/>
      <c r="AD680" s="11"/>
      <c r="AE680" s="11"/>
    </row>
    <row r="681" spans="1:31" x14ac:dyDescent="0.25">
      <c r="A681" s="15" t="s">
        <v>1</v>
      </c>
      <c r="B681" s="21">
        <v>45852</v>
      </c>
      <c r="C681" s="7">
        <v>4350</v>
      </c>
      <c r="D681" s="7">
        <v>9496.2000000019889</v>
      </c>
      <c r="E681" s="7">
        <v>0</v>
      </c>
      <c r="F681" s="7">
        <v>333</v>
      </c>
      <c r="G681" s="7">
        <v>7326</v>
      </c>
      <c r="H681" s="7">
        <v>6375</v>
      </c>
      <c r="I681" s="7">
        <v>0</v>
      </c>
      <c r="J681" s="2">
        <v>42.450000762939453</v>
      </c>
      <c r="K681" s="23">
        <f t="shared" si="107"/>
        <v>41909.760000001093</v>
      </c>
      <c r="L681" s="23">
        <f t="shared" si="106"/>
        <v>5.7206879606881103</v>
      </c>
      <c r="M681" s="12" t="s">
        <v>11</v>
      </c>
      <c r="N681" s="7">
        <v>30555</v>
      </c>
      <c r="O681" s="7">
        <v>44012.570000000007</v>
      </c>
      <c r="P681" s="7">
        <f t="shared" si="103"/>
        <v>50014.284090909096</v>
      </c>
      <c r="Q681" s="7">
        <v>45683</v>
      </c>
      <c r="R681" s="7">
        <v>4122.1399999999785</v>
      </c>
      <c r="S681" s="7">
        <f t="shared" si="104"/>
        <v>5496.1866666666383</v>
      </c>
      <c r="T681" s="2">
        <v>9917</v>
      </c>
      <c r="U681" s="7">
        <f t="shared" si="108"/>
        <v>514267.13333257544</v>
      </c>
      <c r="V681" s="7">
        <f t="shared" si="105"/>
        <v>51.857127491436465</v>
      </c>
      <c r="W681" s="17"/>
      <c r="X681" s="11"/>
      <c r="AA681" s="11"/>
      <c r="AB681" s="11"/>
      <c r="AC681" s="11"/>
      <c r="AD681" s="11"/>
      <c r="AE681" s="11"/>
    </row>
    <row r="682" spans="1:31" x14ac:dyDescent="0.25">
      <c r="A682" s="15" t="s">
        <v>1</v>
      </c>
      <c r="B682" s="21">
        <v>45853</v>
      </c>
      <c r="C682" s="8">
        <v>3697</v>
      </c>
      <c r="D682" s="8">
        <v>14215.799999997178</v>
      </c>
      <c r="E682" s="8">
        <v>5750</v>
      </c>
      <c r="F682" s="7">
        <v>394</v>
      </c>
      <c r="G682" s="8">
        <v>8992</v>
      </c>
      <c r="H682" s="8">
        <v>9615</v>
      </c>
      <c r="I682" s="8">
        <v>39872</v>
      </c>
      <c r="J682" s="2">
        <v>42.700000762939453</v>
      </c>
      <c r="K682" s="23">
        <f t="shared" si="107"/>
        <v>85553.236999998451</v>
      </c>
      <c r="L682" s="23">
        <f t="shared" si="106"/>
        <v>9.5143724421706466</v>
      </c>
      <c r="M682" s="12" t="s">
        <v>11</v>
      </c>
      <c r="N682" s="8">
        <v>33640</v>
      </c>
      <c r="O682" s="8">
        <v>46074.259999999995</v>
      </c>
      <c r="P682" s="7">
        <f t="shared" si="103"/>
        <v>52357.113636363632</v>
      </c>
      <c r="Q682" s="8">
        <v>60892</v>
      </c>
      <c r="R682" s="8">
        <v>0</v>
      </c>
      <c r="S682" s="7">
        <f t="shared" si="104"/>
        <v>0</v>
      </c>
      <c r="T682" s="2">
        <v>9549</v>
      </c>
      <c r="U682" s="7">
        <f t="shared" si="108"/>
        <v>540355.94638636359</v>
      </c>
      <c r="V682" s="7">
        <f t="shared" si="105"/>
        <v>56.587699904321248</v>
      </c>
      <c r="W682" s="17"/>
      <c r="X682" s="11"/>
      <c r="AA682" s="11"/>
      <c r="AB682" s="11"/>
      <c r="AC682" s="11"/>
      <c r="AD682" s="11"/>
      <c r="AE682" s="11"/>
    </row>
    <row r="683" spans="1:31" x14ac:dyDescent="0.25">
      <c r="A683" s="15" t="s">
        <v>1</v>
      </c>
      <c r="B683" s="21">
        <v>45854</v>
      </c>
      <c r="C683" s="7">
        <v>4790</v>
      </c>
      <c r="D683" s="7">
        <v>15469.799999999665</v>
      </c>
      <c r="E683" s="7">
        <v>0</v>
      </c>
      <c r="F683" s="7">
        <v>403</v>
      </c>
      <c r="G683" s="7">
        <v>8185</v>
      </c>
      <c r="H683" s="7">
        <v>9771</v>
      </c>
      <c r="I683" s="7">
        <v>0</v>
      </c>
      <c r="J683" s="2">
        <v>40.049999237060547</v>
      </c>
      <c r="K683" s="23">
        <f t="shared" si="107"/>
        <v>49087.679999999818</v>
      </c>
      <c r="L683" s="23">
        <f t="shared" si="106"/>
        <v>5.9972730604764592</v>
      </c>
      <c r="M683" s="12" t="s">
        <v>11</v>
      </c>
      <c r="N683" s="7">
        <v>32527</v>
      </c>
      <c r="O683" s="7">
        <v>40013.659999999989</v>
      </c>
      <c r="P683" s="7">
        <f t="shared" si="103"/>
        <v>45470.068181818169</v>
      </c>
      <c r="Q683" s="7">
        <v>54356</v>
      </c>
      <c r="R683" s="7">
        <v>0</v>
      </c>
      <c r="S683" s="7">
        <f t="shared" si="104"/>
        <v>0</v>
      </c>
      <c r="T683" s="2">
        <v>10293</v>
      </c>
      <c r="U683" s="7">
        <f t="shared" si="108"/>
        <v>477067.79843181808</v>
      </c>
      <c r="V683" s="7">
        <f t="shared" si="105"/>
        <v>46.348761141729142</v>
      </c>
      <c r="W683" s="17"/>
      <c r="X683" s="11"/>
      <c r="AA683" s="11"/>
      <c r="AB683" s="11"/>
      <c r="AC683" s="11"/>
      <c r="AD683" s="11"/>
      <c r="AE683" s="11"/>
    </row>
    <row r="684" spans="1:31" x14ac:dyDescent="0.25">
      <c r="A684" s="15" t="s">
        <v>1</v>
      </c>
      <c r="B684" s="21">
        <v>45855</v>
      </c>
      <c r="C684" s="7">
        <v>3500</v>
      </c>
      <c r="D684" s="7">
        <v>16108.200000001158</v>
      </c>
      <c r="E684" s="7">
        <v>6325</v>
      </c>
      <c r="F684" s="7">
        <v>364</v>
      </c>
      <c r="G684" s="7">
        <v>8854</v>
      </c>
      <c r="H684" s="7">
        <v>11133</v>
      </c>
      <c r="I684" s="7">
        <v>45612</v>
      </c>
      <c r="J684" s="2">
        <v>35</v>
      </c>
      <c r="K684" s="23">
        <f t="shared" si="107"/>
        <v>89458.010000000635</v>
      </c>
      <c r="L684" s="23">
        <f t="shared" si="106"/>
        <v>10.103683081093363</v>
      </c>
      <c r="M684" s="12" t="s">
        <v>11</v>
      </c>
      <c r="N684" s="7">
        <v>22853</v>
      </c>
      <c r="O684" s="7">
        <v>22912.570000000003</v>
      </c>
      <c r="P684" s="7">
        <f t="shared" si="103"/>
        <v>26037.011363636368</v>
      </c>
      <c r="Q684" s="7">
        <v>33698</v>
      </c>
      <c r="R684" s="7">
        <v>8.2299999999850115</v>
      </c>
      <c r="S684" s="7">
        <f t="shared" si="104"/>
        <v>10.973333333313349</v>
      </c>
      <c r="T684" s="2">
        <v>4709</v>
      </c>
      <c r="U684" s="7">
        <f t="shared" si="108"/>
        <v>286021.48847196955</v>
      </c>
      <c r="V684" s="7">
        <f t="shared" si="105"/>
        <v>60.739326496489603</v>
      </c>
      <c r="W684" s="17"/>
      <c r="X684" s="11"/>
      <c r="AA684" s="11"/>
      <c r="AB684" s="11"/>
      <c r="AC684" s="11"/>
      <c r="AD684" s="11"/>
      <c r="AE684" s="11"/>
    </row>
    <row r="685" spans="1:31" x14ac:dyDescent="0.25">
      <c r="A685" s="15" t="s">
        <v>1</v>
      </c>
      <c r="B685" s="21">
        <v>45856</v>
      </c>
      <c r="C685" s="7">
        <v>5670</v>
      </c>
      <c r="D685" s="7">
        <v>14523.600000001823</v>
      </c>
      <c r="E685" s="7">
        <v>0</v>
      </c>
      <c r="F685" s="7">
        <v>387</v>
      </c>
      <c r="G685" s="7">
        <v>9065</v>
      </c>
      <c r="H685" s="7">
        <v>10321</v>
      </c>
      <c r="I685" s="7">
        <v>0</v>
      </c>
      <c r="J685" s="2">
        <v>33.049999237060547</v>
      </c>
      <c r="K685" s="23">
        <f t="shared" si="107"/>
        <v>55572.150000000998</v>
      </c>
      <c r="L685" s="23">
        <f t="shared" si="106"/>
        <v>6.1304081632654164</v>
      </c>
      <c r="M685" s="12" t="s">
        <v>11</v>
      </c>
      <c r="N685" s="7">
        <v>32485</v>
      </c>
      <c r="O685" s="7">
        <v>35750.329999999987</v>
      </c>
      <c r="P685" s="7">
        <f t="shared" si="103"/>
        <v>40625.374999999985</v>
      </c>
      <c r="Q685" s="7">
        <v>58937</v>
      </c>
      <c r="R685" s="7">
        <v>0</v>
      </c>
      <c r="S685" s="7">
        <f t="shared" si="104"/>
        <v>0</v>
      </c>
      <c r="T685" s="2">
        <v>9137</v>
      </c>
      <c r="U685" s="7">
        <f t="shared" si="108"/>
        <v>470129.19637499988</v>
      </c>
      <c r="V685" s="7">
        <f t="shared" si="105"/>
        <v>51.453343151472026</v>
      </c>
      <c r="W685" s="17"/>
      <c r="X685" s="11"/>
      <c r="AA685" s="11"/>
      <c r="AB685" s="11"/>
      <c r="AC685" s="11"/>
      <c r="AD685" s="11"/>
      <c r="AE685" s="11"/>
    </row>
    <row r="686" spans="1:31" x14ac:dyDescent="0.25">
      <c r="A686" s="15" t="s">
        <v>1</v>
      </c>
      <c r="B686" s="21">
        <v>45857</v>
      </c>
      <c r="C686" s="7">
        <v>4360</v>
      </c>
      <c r="D686" s="7">
        <v>14626.199999997842</v>
      </c>
      <c r="E686" s="7">
        <v>0</v>
      </c>
      <c r="F686" s="7">
        <v>378</v>
      </c>
      <c r="G686" s="7">
        <v>7982</v>
      </c>
      <c r="H686" s="7">
        <v>9566</v>
      </c>
      <c r="I686" s="7">
        <v>0</v>
      </c>
      <c r="J686" s="2">
        <v>32.150001525878913</v>
      </c>
      <c r="K686" s="23">
        <f t="shared" si="107"/>
        <v>45036.769999998811</v>
      </c>
      <c r="L686" s="23">
        <f t="shared" si="106"/>
        <v>5.6422914056625926</v>
      </c>
      <c r="M686" s="12" t="s">
        <v>11</v>
      </c>
      <c r="N686" s="7">
        <v>33276</v>
      </c>
      <c r="O686" s="7">
        <v>37607.490000000005</v>
      </c>
      <c r="P686" s="7">
        <f t="shared" si="103"/>
        <v>42735.784090909096</v>
      </c>
      <c r="Q686" s="7">
        <v>58205</v>
      </c>
      <c r="R686" s="7">
        <v>13331.5</v>
      </c>
      <c r="S686" s="7">
        <f t="shared" si="104"/>
        <v>17775.333333333332</v>
      </c>
      <c r="T686" s="2">
        <v>9514</v>
      </c>
      <c r="U686" s="7">
        <f t="shared" si="108"/>
        <v>638849.82029924239</v>
      </c>
      <c r="V686" s="7">
        <f t="shared" si="105"/>
        <v>67.148393977216983</v>
      </c>
      <c r="W686" s="17"/>
      <c r="X686" s="11"/>
      <c r="AA686" s="11"/>
      <c r="AB686" s="11"/>
      <c r="AC686" s="11"/>
      <c r="AD686" s="11"/>
      <c r="AE686" s="11"/>
    </row>
    <row r="687" spans="1:31" x14ac:dyDescent="0.25">
      <c r="A687" s="15" t="s">
        <v>1</v>
      </c>
      <c r="B687" s="21">
        <v>45858</v>
      </c>
      <c r="C687" s="8">
        <v>5090</v>
      </c>
      <c r="D687" s="8">
        <v>15196.200000001989</v>
      </c>
      <c r="E687" s="8">
        <v>0</v>
      </c>
      <c r="F687" s="7">
        <v>186</v>
      </c>
      <c r="G687" s="8">
        <v>6612</v>
      </c>
      <c r="H687" s="8">
        <v>10198</v>
      </c>
      <c r="I687" s="8">
        <v>0</v>
      </c>
      <c r="J687" s="2">
        <v>30.35000038146973</v>
      </c>
      <c r="K687" s="23">
        <f t="shared" si="107"/>
        <v>50267.500000001099</v>
      </c>
      <c r="L687" s="23">
        <f t="shared" si="106"/>
        <v>7.6024652147612066</v>
      </c>
      <c r="M687" s="12" t="s">
        <v>11</v>
      </c>
      <c r="N687" s="8">
        <v>35075</v>
      </c>
      <c r="O687" s="8">
        <v>43178.970000000008</v>
      </c>
      <c r="P687" s="7">
        <f t="shared" si="103"/>
        <v>49067.011363636375</v>
      </c>
      <c r="Q687" s="8">
        <v>49544</v>
      </c>
      <c r="R687" s="8">
        <v>10867.460000000036</v>
      </c>
      <c r="S687" s="7">
        <f t="shared" si="104"/>
        <v>14489.946666666714</v>
      </c>
      <c r="T687" s="2">
        <v>8986</v>
      </c>
      <c r="U687" s="7">
        <f t="shared" si="108"/>
        <v>608444.14820530347</v>
      </c>
      <c r="V687" s="7">
        <f t="shared" si="105"/>
        <v>67.71023238429818</v>
      </c>
      <c r="W687" s="17"/>
      <c r="X687" s="11"/>
      <c r="AA687" s="11"/>
      <c r="AB687" s="11"/>
      <c r="AC687" s="11"/>
      <c r="AD687" s="11"/>
      <c r="AE687" s="11"/>
    </row>
    <row r="688" spans="1:31" x14ac:dyDescent="0.25">
      <c r="A688" s="15" t="s">
        <v>1</v>
      </c>
      <c r="B688" s="21">
        <v>45859</v>
      </c>
      <c r="C688" s="7">
        <v>4060</v>
      </c>
      <c r="D688" s="7">
        <v>8926.1999999978434</v>
      </c>
      <c r="E688" s="7">
        <v>0</v>
      </c>
      <c r="F688" s="7">
        <v>516</v>
      </c>
      <c r="G688" s="7">
        <v>5938</v>
      </c>
      <c r="H688" s="7">
        <v>6656</v>
      </c>
      <c r="I688" s="7">
        <v>0</v>
      </c>
      <c r="J688" s="2">
        <v>31.75</v>
      </c>
      <c r="K688" s="23">
        <f t="shared" si="107"/>
        <v>40176.469999998815</v>
      </c>
      <c r="L688" s="23">
        <f t="shared" si="106"/>
        <v>6.7659936005387022</v>
      </c>
      <c r="M688" s="12" t="s">
        <v>11</v>
      </c>
      <c r="N688" s="7">
        <v>19393</v>
      </c>
      <c r="O688" s="7">
        <v>17985.380000000012</v>
      </c>
      <c r="P688" s="7">
        <f t="shared" si="103"/>
        <v>20437.931818181831</v>
      </c>
      <c r="Q688" s="7">
        <v>25339</v>
      </c>
      <c r="R688" s="7">
        <v>5995.8400000000056</v>
      </c>
      <c r="S688" s="7">
        <f t="shared" si="104"/>
        <v>7994.4533333333411</v>
      </c>
      <c r="T688" s="2">
        <v>4068</v>
      </c>
      <c r="U688" s="7">
        <f t="shared" si="108"/>
        <v>292761.33210151526</v>
      </c>
      <c r="V688" s="7">
        <f t="shared" si="105"/>
        <v>71.966895796832659</v>
      </c>
      <c r="W688" s="17"/>
      <c r="X688" s="11"/>
      <c r="AA688" s="11"/>
      <c r="AB688" s="11"/>
      <c r="AC688" s="11"/>
      <c r="AD688" s="11"/>
      <c r="AE688" s="11"/>
    </row>
    <row r="689" spans="1:31" x14ac:dyDescent="0.25">
      <c r="A689" s="15" t="s">
        <v>1</v>
      </c>
      <c r="B689" s="21">
        <v>45860</v>
      </c>
      <c r="C689" s="7">
        <v>5462</v>
      </c>
      <c r="D689" s="7">
        <v>14421.000000001659</v>
      </c>
      <c r="E689" s="7">
        <v>4625</v>
      </c>
      <c r="F689" s="7">
        <v>592</v>
      </c>
      <c r="G689" s="7">
        <v>9008</v>
      </c>
      <c r="H689" s="7">
        <v>9828</v>
      </c>
      <c r="I689" s="7">
        <v>43097</v>
      </c>
      <c r="J689" s="2">
        <v>32.599998474121087</v>
      </c>
      <c r="K689" s="23">
        <f t="shared" si="107"/>
        <v>91866.11200000091</v>
      </c>
      <c r="L689" s="23">
        <f t="shared" si="106"/>
        <v>10.198280639431717</v>
      </c>
      <c r="M689" s="12" t="s">
        <v>11</v>
      </c>
      <c r="N689" s="7">
        <v>27410</v>
      </c>
      <c r="O689" s="7">
        <v>27857.159999999982</v>
      </c>
      <c r="P689" s="7">
        <f t="shared" si="103"/>
        <v>31655.863636363614</v>
      </c>
      <c r="Q689" s="7">
        <v>53391</v>
      </c>
      <c r="R689" s="7">
        <v>0</v>
      </c>
      <c r="S689" s="7">
        <f t="shared" si="104"/>
        <v>0</v>
      </c>
      <c r="T689" s="2">
        <v>7260</v>
      </c>
      <c r="U689" s="7">
        <f t="shared" si="108"/>
        <v>397723.92513636348</v>
      </c>
      <c r="V689" s="7">
        <f t="shared" si="105"/>
        <v>54.782909798397171</v>
      </c>
      <c r="W689" s="17"/>
      <c r="X689" s="11"/>
      <c r="AA689" s="11"/>
      <c r="AB689" s="11"/>
      <c r="AC689" s="11"/>
      <c r="AD689" s="11"/>
      <c r="AE689" s="11"/>
    </row>
    <row r="690" spans="1:31" x14ac:dyDescent="0.25">
      <c r="A690" s="15" t="s">
        <v>1</v>
      </c>
      <c r="B690" s="21">
        <v>45861</v>
      </c>
      <c r="C690" s="7">
        <v>3890</v>
      </c>
      <c r="D690" s="7">
        <v>13840</v>
      </c>
      <c r="E690" s="7">
        <v>0</v>
      </c>
      <c r="F690" s="7">
        <v>599</v>
      </c>
      <c r="G690" s="7">
        <v>10704</v>
      </c>
      <c r="H690" s="7">
        <v>9612</v>
      </c>
      <c r="I690" s="7">
        <v>0</v>
      </c>
      <c r="J690" s="2">
        <v>33.400001525878913</v>
      </c>
      <c r="K690" s="23">
        <f t="shared" si="107"/>
        <v>41925.39</v>
      </c>
      <c r="L690" s="23">
        <f t="shared" si="106"/>
        <v>3.9167965246636771</v>
      </c>
      <c r="M690" s="12" t="s">
        <v>11</v>
      </c>
      <c r="N690" s="7">
        <v>32905</v>
      </c>
      <c r="O690" s="7">
        <v>50507.190000000017</v>
      </c>
      <c r="P690" s="7">
        <f t="shared" si="103"/>
        <v>57394.53409090911</v>
      </c>
      <c r="Q690" s="7">
        <v>58269</v>
      </c>
      <c r="R690" s="7">
        <v>0</v>
      </c>
      <c r="S690" s="7">
        <f t="shared" si="104"/>
        <v>0</v>
      </c>
      <c r="T690" s="2">
        <v>8849</v>
      </c>
      <c r="U690" s="7">
        <f t="shared" si="108"/>
        <v>555810.26571590919</v>
      </c>
      <c r="V690" s="7">
        <f t="shared" si="105"/>
        <v>62.810517088474313</v>
      </c>
      <c r="W690" s="17"/>
      <c r="X690" s="11"/>
      <c r="AA690" s="11"/>
      <c r="AB690" s="11"/>
      <c r="AC690" s="11"/>
      <c r="AD690" s="11"/>
      <c r="AE690" s="11"/>
    </row>
    <row r="691" spans="1:31" x14ac:dyDescent="0.25">
      <c r="A691" s="15" t="s">
        <v>1</v>
      </c>
      <c r="B691" s="21">
        <v>45862</v>
      </c>
      <c r="C691" s="7">
        <v>5175</v>
      </c>
      <c r="D691" s="7">
        <v>9530.4000000006636</v>
      </c>
      <c r="E691" s="7">
        <v>4550</v>
      </c>
      <c r="F691" s="7">
        <v>546</v>
      </c>
      <c r="G691" s="7">
        <v>11615</v>
      </c>
      <c r="H691" s="7">
        <v>5413</v>
      </c>
      <c r="I691" s="7">
        <v>40677</v>
      </c>
      <c r="J691" s="2">
        <v>39.25</v>
      </c>
      <c r="K691" s="23">
        <f t="shared" si="107"/>
        <v>86035.645000000368</v>
      </c>
      <c r="L691" s="23">
        <f t="shared" si="106"/>
        <v>7.407287559190733</v>
      </c>
      <c r="M691" s="12" t="s">
        <v>11</v>
      </c>
      <c r="N691" s="7">
        <v>33736</v>
      </c>
      <c r="O691" s="7">
        <v>50436.859999999993</v>
      </c>
      <c r="P691" s="7">
        <f t="shared" si="103"/>
        <v>57314.613636363625</v>
      </c>
      <c r="Q691" s="7">
        <v>59137</v>
      </c>
      <c r="R691" s="7">
        <v>0</v>
      </c>
      <c r="S691" s="7">
        <f t="shared" si="104"/>
        <v>0</v>
      </c>
      <c r="T691" s="2">
        <v>10482</v>
      </c>
      <c r="U691" s="7">
        <f t="shared" si="108"/>
        <v>559362.57388636353</v>
      </c>
      <c r="V691" s="7">
        <f t="shared" si="105"/>
        <v>53.364107411406557</v>
      </c>
      <c r="W691" s="17"/>
      <c r="X691" s="11"/>
      <c r="AA691" s="11"/>
      <c r="AB691" s="11"/>
      <c r="AC691" s="11"/>
      <c r="AD691" s="11"/>
      <c r="AE691" s="11"/>
    </row>
    <row r="692" spans="1:31" x14ac:dyDescent="0.25">
      <c r="A692" s="15" t="s">
        <v>1</v>
      </c>
      <c r="B692" s="21">
        <v>45863</v>
      </c>
      <c r="C692" s="8">
        <v>4039</v>
      </c>
      <c r="D692" s="8">
        <v>11285.999999997512</v>
      </c>
      <c r="E692" s="8">
        <v>0</v>
      </c>
      <c r="F692" s="7">
        <v>637</v>
      </c>
      <c r="G692" s="8">
        <v>11849</v>
      </c>
      <c r="H692" s="8">
        <v>8325</v>
      </c>
      <c r="I692" s="8">
        <v>0</v>
      </c>
      <c r="J692" s="2">
        <v>33.549999237060547</v>
      </c>
      <c r="K692" s="23">
        <f t="shared" si="107"/>
        <v>41910.288999998636</v>
      </c>
      <c r="L692" s="23">
        <f t="shared" si="106"/>
        <v>3.5370317326355503</v>
      </c>
      <c r="M692" s="12" t="s">
        <v>11</v>
      </c>
      <c r="N692" s="8">
        <v>28607</v>
      </c>
      <c r="O692" s="8">
        <v>37513.719999999994</v>
      </c>
      <c r="P692" s="7">
        <f t="shared" si="103"/>
        <v>42629.227272727265</v>
      </c>
      <c r="Q692" s="8">
        <v>45476</v>
      </c>
      <c r="R692" s="8">
        <v>0</v>
      </c>
      <c r="S692" s="7">
        <f t="shared" si="104"/>
        <v>0</v>
      </c>
      <c r="T692" s="2">
        <v>6849</v>
      </c>
      <c r="U692" s="7">
        <f t="shared" si="108"/>
        <v>424013.49777272722</v>
      </c>
      <c r="V692" s="7">
        <f t="shared" si="105"/>
        <v>61.908818480468277</v>
      </c>
      <c r="W692" s="17"/>
      <c r="X692" s="11"/>
      <c r="AA692" s="11"/>
      <c r="AB692" s="11"/>
      <c r="AC692" s="11"/>
      <c r="AD692" s="11"/>
      <c r="AE692" s="11"/>
    </row>
    <row r="693" spans="1:31" x14ac:dyDescent="0.25">
      <c r="A693" s="15" t="s">
        <v>1</v>
      </c>
      <c r="B693" s="21">
        <v>45864</v>
      </c>
      <c r="C693" s="7">
        <v>4470</v>
      </c>
      <c r="D693" s="7">
        <v>10453.800000002157</v>
      </c>
      <c r="E693" s="7">
        <v>3550</v>
      </c>
      <c r="F693" s="7">
        <v>624</v>
      </c>
      <c r="G693" s="7">
        <v>11631</v>
      </c>
      <c r="H693" s="7">
        <v>6562</v>
      </c>
      <c r="I693" s="7">
        <v>35628</v>
      </c>
      <c r="J693" s="2">
        <v>37.799999237060547</v>
      </c>
      <c r="K693" s="23">
        <f t="shared" si="107"/>
        <v>73257.560000001191</v>
      </c>
      <c r="L693" s="23">
        <f t="shared" si="106"/>
        <v>6.2984747657124229</v>
      </c>
      <c r="M693" s="12" t="s">
        <v>11</v>
      </c>
      <c r="N693" s="7">
        <v>28741</v>
      </c>
      <c r="O693" s="7">
        <v>34377.220000000008</v>
      </c>
      <c r="P693" s="7">
        <f t="shared" si="103"/>
        <v>39065.022727272735</v>
      </c>
      <c r="Q693" s="7">
        <v>52560</v>
      </c>
      <c r="R693" s="7">
        <v>0</v>
      </c>
      <c r="S693" s="7">
        <f t="shared" si="104"/>
        <v>0</v>
      </c>
      <c r="T693" s="2">
        <v>7087</v>
      </c>
      <c r="U693" s="7">
        <f t="shared" si="108"/>
        <v>434040.37447727274</v>
      </c>
      <c r="V693" s="7">
        <f t="shared" si="105"/>
        <v>61.244585082160683</v>
      </c>
      <c r="W693" s="17"/>
      <c r="X693" s="11"/>
      <c r="AA693" s="11"/>
      <c r="AB693" s="11"/>
      <c r="AC693" s="11"/>
      <c r="AD693" s="11"/>
      <c r="AE693" s="11"/>
    </row>
    <row r="694" spans="1:31" x14ac:dyDescent="0.25">
      <c r="A694" s="15" t="s">
        <v>1</v>
      </c>
      <c r="B694" s="21">
        <v>45865</v>
      </c>
      <c r="C694" s="7">
        <v>5633</v>
      </c>
      <c r="D694" s="7">
        <v>13417.800000000498</v>
      </c>
      <c r="E694" s="7">
        <v>0</v>
      </c>
      <c r="F694" s="7">
        <v>219</v>
      </c>
      <c r="G694" s="7">
        <v>9674</v>
      </c>
      <c r="H694" s="7">
        <v>9047</v>
      </c>
      <c r="I694" s="7">
        <v>0</v>
      </c>
      <c r="J694" s="2">
        <v>35.900001525878913</v>
      </c>
      <c r="K694" s="23">
        <f t="shared" si="107"/>
        <v>53826.07300000028</v>
      </c>
      <c r="L694" s="23">
        <f t="shared" si="106"/>
        <v>5.5639934876990162</v>
      </c>
      <c r="M694" s="12" t="s">
        <v>11</v>
      </c>
      <c r="N694" s="7">
        <v>32084</v>
      </c>
      <c r="O694" s="7">
        <v>49214.739999999991</v>
      </c>
      <c r="P694" s="7">
        <f t="shared" si="103"/>
        <v>55925.840909090897</v>
      </c>
      <c r="Q694" s="7">
        <v>52770</v>
      </c>
      <c r="R694" s="7">
        <v>4122.1400000000449</v>
      </c>
      <c r="S694" s="7">
        <f t="shared" si="104"/>
        <v>5496.1866666667265</v>
      </c>
      <c r="T694" s="2">
        <v>9028</v>
      </c>
      <c r="U694" s="7">
        <f t="shared" si="108"/>
        <v>574887.4875257581</v>
      </c>
      <c r="V694" s="7">
        <f t="shared" si="105"/>
        <v>63.678277306796424</v>
      </c>
      <c r="W694" s="17"/>
      <c r="X694" s="11"/>
      <c r="AA694" s="11"/>
      <c r="AB694" s="11"/>
      <c r="AC694" s="11"/>
      <c r="AD694" s="11"/>
      <c r="AE694" s="11"/>
    </row>
    <row r="695" spans="1:31" x14ac:dyDescent="0.25">
      <c r="A695" s="15" t="s">
        <v>1</v>
      </c>
      <c r="B695" s="21">
        <v>45866</v>
      </c>
      <c r="C695" s="7">
        <v>3331</v>
      </c>
      <c r="D695" s="7">
        <v>8276.3999999981752</v>
      </c>
      <c r="E695" s="7">
        <v>4600</v>
      </c>
      <c r="F695" s="7">
        <v>557</v>
      </c>
      <c r="G695" s="7">
        <v>6722</v>
      </c>
      <c r="H695" s="7">
        <v>6053</v>
      </c>
      <c r="I695" s="7">
        <v>46127</v>
      </c>
      <c r="J695" s="2">
        <v>35.200000762939453</v>
      </c>
      <c r="K695" s="23">
        <f t="shared" si="107"/>
        <v>70954.900999998994</v>
      </c>
      <c r="L695" s="23">
        <f t="shared" si="106"/>
        <v>10.555623475156054</v>
      </c>
      <c r="M695" s="12" t="s">
        <v>11</v>
      </c>
      <c r="N695" s="7">
        <v>29719</v>
      </c>
      <c r="O695" s="7">
        <v>36435.589999999997</v>
      </c>
      <c r="P695" s="7">
        <f t="shared" si="103"/>
        <v>41404.079545454544</v>
      </c>
      <c r="Q695" s="7">
        <v>42294</v>
      </c>
      <c r="R695" s="7">
        <v>8619.0200000000168</v>
      </c>
      <c r="S695" s="7">
        <f t="shared" si="104"/>
        <v>11492.026666666688</v>
      </c>
      <c r="T695" s="2">
        <v>6876</v>
      </c>
      <c r="U695" s="7">
        <f t="shared" si="108"/>
        <v>508840.55643712135</v>
      </c>
      <c r="V695" s="7">
        <f t="shared" si="105"/>
        <v>74.002407858801831</v>
      </c>
      <c r="W695" s="17"/>
      <c r="X695" s="11"/>
      <c r="AA695" s="11"/>
      <c r="AB695" s="11"/>
      <c r="AC695" s="11"/>
      <c r="AD695" s="11"/>
      <c r="AE695" s="11"/>
    </row>
    <row r="696" spans="1:31" x14ac:dyDescent="0.25">
      <c r="A696" s="15" t="s">
        <v>1</v>
      </c>
      <c r="B696" s="21">
        <v>45867</v>
      </c>
      <c r="C696" s="7">
        <v>4475</v>
      </c>
      <c r="D696" s="7">
        <v>13691.400000002321</v>
      </c>
      <c r="E696" s="7">
        <v>3900</v>
      </c>
      <c r="F696" s="7">
        <v>651</v>
      </c>
      <c r="G696" s="7">
        <v>9860</v>
      </c>
      <c r="H696" s="7">
        <v>9527</v>
      </c>
      <c r="I696" s="7">
        <v>39006</v>
      </c>
      <c r="J696" s="2">
        <v>36.049999237060547</v>
      </c>
      <c r="K696" s="23">
        <f t="shared" si="107"/>
        <v>78013.495000001276</v>
      </c>
      <c r="L696" s="23">
        <f t="shared" si="106"/>
        <v>7.912119168357127</v>
      </c>
      <c r="M696" s="12" t="s">
        <v>11</v>
      </c>
      <c r="N696" s="7">
        <v>32343</v>
      </c>
      <c r="O696" s="7">
        <v>38318.25</v>
      </c>
      <c r="P696" s="7">
        <f t="shared" si="103"/>
        <v>43543.465909090912</v>
      </c>
      <c r="Q696" s="7">
        <v>57050</v>
      </c>
      <c r="R696" s="7">
        <v>13331.5</v>
      </c>
      <c r="S696" s="7">
        <f t="shared" si="104"/>
        <v>17775.333333333332</v>
      </c>
      <c r="T696" s="2">
        <v>8805</v>
      </c>
      <c r="U696" s="7">
        <f t="shared" si="108"/>
        <v>637904.90361742419</v>
      </c>
      <c r="V696" s="7">
        <f t="shared" si="105"/>
        <v>72.448029939514385</v>
      </c>
      <c r="W696" s="17"/>
      <c r="X696" s="11"/>
      <c r="AA696" s="11"/>
      <c r="AB696" s="11"/>
      <c r="AC696" s="11"/>
      <c r="AD696" s="11"/>
      <c r="AE696" s="11"/>
    </row>
    <row r="697" spans="1:31" x14ac:dyDescent="0.25">
      <c r="A697" s="15" t="s">
        <v>1</v>
      </c>
      <c r="B697" s="21">
        <v>45868</v>
      </c>
      <c r="C697" s="7">
        <v>3410</v>
      </c>
      <c r="D697" s="7">
        <v>14705.999999997512</v>
      </c>
      <c r="E697" s="7">
        <v>0</v>
      </c>
      <c r="F697" s="7">
        <v>615</v>
      </c>
      <c r="G697" s="7">
        <v>9335</v>
      </c>
      <c r="H697" s="7">
        <v>9417</v>
      </c>
      <c r="I697" s="7">
        <v>0</v>
      </c>
      <c r="J697" s="2">
        <v>36.299999237060547</v>
      </c>
      <c r="K697" s="23">
        <f t="shared" si="107"/>
        <v>38617.209999998631</v>
      </c>
      <c r="L697" s="23">
        <f t="shared" si="106"/>
        <v>4.1368194965183323</v>
      </c>
      <c r="M697" s="12" t="s">
        <v>11</v>
      </c>
      <c r="N697" s="8">
        <v>35677</v>
      </c>
      <c r="O697" s="8">
        <v>38607.25</v>
      </c>
      <c r="P697" s="7">
        <f t="shared" si="103"/>
        <v>43871.875</v>
      </c>
      <c r="Q697" s="8">
        <v>54627</v>
      </c>
      <c r="R697" s="8">
        <v>8993.7600000000075</v>
      </c>
      <c r="S697" s="7">
        <f t="shared" si="104"/>
        <v>11991.680000000009</v>
      </c>
      <c r="T697" s="2">
        <v>11406</v>
      </c>
      <c r="U697" s="7">
        <f t="shared" si="108"/>
        <v>579541.18367500009</v>
      </c>
      <c r="V697" s="7">
        <f t="shared" si="105"/>
        <v>50.810203723917247</v>
      </c>
      <c r="W697" s="17"/>
      <c r="X697" s="11"/>
      <c r="AA697" s="11"/>
      <c r="AB697" s="11"/>
      <c r="AC697" s="11"/>
      <c r="AD697" s="11"/>
      <c r="AE697" s="11"/>
    </row>
    <row r="698" spans="1:31" x14ac:dyDescent="0.25">
      <c r="A698" s="15" t="s">
        <v>1</v>
      </c>
      <c r="B698" s="21">
        <v>45869</v>
      </c>
      <c r="C698" s="7">
        <v>4564</v>
      </c>
      <c r="D698" s="7">
        <v>11502.600000000164</v>
      </c>
      <c r="E698" s="7">
        <v>3850</v>
      </c>
      <c r="F698" s="7">
        <v>0</v>
      </c>
      <c r="G698" s="7">
        <v>9680</v>
      </c>
      <c r="H698" s="7">
        <v>8154</v>
      </c>
      <c r="I698" s="7">
        <v>38421</v>
      </c>
      <c r="J698" s="2">
        <v>37.849998474121087</v>
      </c>
      <c r="K698" s="23">
        <f t="shared" si="107"/>
        <v>73871.19400000009</v>
      </c>
      <c r="L698" s="23">
        <f t="shared" si="106"/>
        <v>7.6313216942148854</v>
      </c>
      <c r="M698" s="12" t="s">
        <v>11</v>
      </c>
      <c r="N698" s="7">
        <v>33844</v>
      </c>
      <c r="O698" s="7">
        <v>38531.360000000001</v>
      </c>
      <c r="P698" s="7">
        <f t="shared" si="103"/>
        <v>43785.636363636368</v>
      </c>
      <c r="Q698" s="7">
        <v>45564</v>
      </c>
      <c r="R698" s="7">
        <v>15579.940000000019</v>
      </c>
      <c r="S698" s="7">
        <f t="shared" si="104"/>
        <v>20773.253333333359</v>
      </c>
      <c r="T698" s="2">
        <v>9271</v>
      </c>
      <c r="U698" s="7">
        <f t="shared" si="108"/>
        <v>620496.50289696991</v>
      </c>
      <c r="V698" s="7">
        <f t="shared" si="105"/>
        <v>66.928756649441254</v>
      </c>
      <c r="W698" s="17"/>
      <c r="X698" s="11"/>
      <c r="AA698" s="11"/>
      <c r="AB698" s="11"/>
      <c r="AC698" s="11"/>
      <c r="AD698" s="11"/>
      <c r="AE698" s="11"/>
    </row>
    <row r="699" spans="1:31" x14ac:dyDescent="0.25">
      <c r="A699" s="15" t="s">
        <v>1</v>
      </c>
      <c r="B699" s="21">
        <v>45870</v>
      </c>
      <c r="C699" s="7">
        <v>4436</v>
      </c>
      <c r="D699" s="7">
        <v>12802.199999999501</v>
      </c>
      <c r="E699" s="7">
        <v>0</v>
      </c>
      <c r="F699" s="7">
        <v>552</v>
      </c>
      <c r="G699" s="7">
        <v>9494</v>
      </c>
      <c r="H699" s="7">
        <v>7532</v>
      </c>
      <c r="I699" s="7">
        <v>0</v>
      </c>
      <c r="J699" s="2">
        <v>33.299999237060547</v>
      </c>
      <c r="K699" s="23">
        <f>C699*8.001+D699*0.54+E699*8+F699*5</f>
        <v>45165.623999999727</v>
      </c>
      <c r="L699" s="23">
        <f t="shared" si="106"/>
        <v>4.7572808089319283</v>
      </c>
      <c r="M699" s="12" t="s">
        <v>11</v>
      </c>
      <c r="N699" s="7">
        <v>33374</v>
      </c>
      <c r="O699" s="7">
        <v>36294.379999999997</v>
      </c>
      <c r="P699" s="7">
        <f t="shared" si="103"/>
        <v>41243.613636363632</v>
      </c>
      <c r="Q699" s="7">
        <v>52024</v>
      </c>
      <c r="R699" s="7">
        <v>8993.7600000000075</v>
      </c>
      <c r="S699" s="7">
        <f t="shared" si="104"/>
        <v>11991.680000000009</v>
      </c>
      <c r="T699" s="2">
        <v>7898</v>
      </c>
      <c r="U699" s="7">
        <f>N699*0.54+P699*4.985+Q699*4.12+S699*8.92</f>
        <v>544926.03957727284</v>
      </c>
      <c r="V699" s="7">
        <f t="shared" si="105"/>
        <v>68.995446895071268</v>
      </c>
      <c r="W699" s="17"/>
      <c r="X699" s="11"/>
      <c r="AA699" s="11"/>
      <c r="AB699" s="11"/>
      <c r="AC699" s="11"/>
      <c r="AD699" s="11"/>
      <c r="AE699" s="11"/>
    </row>
    <row r="700" spans="1:31" x14ac:dyDescent="0.25">
      <c r="A700" s="15" t="s">
        <v>1</v>
      </c>
      <c r="B700" s="21">
        <v>45871</v>
      </c>
      <c r="C700" s="7">
        <v>2710</v>
      </c>
      <c r="D700" s="7">
        <v>13759.799999999668</v>
      </c>
      <c r="E700" s="7">
        <v>0</v>
      </c>
      <c r="F700" s="7">
        <v>536</v>
      </c>
      <c r="G700" s="7">
        <v>9194</v>
      </c>
      <c r="H700" s="7">
        <v>9194</v>
      </c>
      <c r="I700" s="7">
        <v>0</v>
      </c>
      <c r="J700" s="2">
        <v>30.89999961853027</v>
      </c>
      <c r="K700" s="23">
        <f t="shared" ref="K700:K729" si="109">C700*8.001+D700*0.54+E700*8+F700*5</f>
        <v>31793.001999999819</v>
      </c>
      <c r="L700" s="23">
        <f t="shared" si="106"/>
        <v>3.4580163149880159</v>
      </c>
      <c r="M700" s="12" t="s">
        <v>11</v>
      </c>
      <c r="N700" s="7">
        <v>35648</v>
      </c>
      <c r="O700" s="7">
        <v>46429</v>
      </c>
      <c r="P700" s="7">
        <f t="shared" si="103"/>
        <v>52760.227272727272</v>
      </c>
      <c r="Q700" s="7">
        <v>49816</v>
      </c>
      <c r="R700" s="7">
        <v>10867.459999999968</v>
      </c>
      <c r="S700" s="7">
        <f t="shared" si="104"/>
        <v>14489.946666666625</v>
      </c>
      <c r="T700" s="2">
        <v>9175</v>
      </c>
      <c r="U700" s="7">
        <f t="shared" ref="U700:U729" si="110">N700*0.54+P700*4.985+Q700*4.12+S700*8.92</f>
        <v>616751.89722121181</v>
      </c>
      <c r="V700" s="7">
        <f t="shared" si="105"/>
        <v>67.220915228469948</v>
      </c>
      <c r="W700" s="17"/>
      <c r="X700" s="11"/>
      <c r="AA700" s="11"/>
      <c r="AB700" s="11"/>
      <c r="AC700" s="11"/>
      <c r="AD700" s="11"/>
      <c r="AE700" s="11"/>
    </row>
    <row r="701" spans="1:31" x14ac:dyDescent="0.25">
      <c r="A701" s="15" t="s">
        <v>1</v>
      </c>
      <c r="B701" s="21">
        <v>45872</v>
      </c>
      <c r="C701" s="7">
        <v>3502</v>
      </c>
      <c r="D701" s="7">
        <v>14991.000000001657</v>
      </c>
      <c r="E701" s="7">
        <v>0</v>
      </c>
      <c r="F701" s="7">
        <v>94</v>
      </c>
      <c r="G701" s="7">
        <v>9578.4</v>
      </c>
      <c r="H701" s="7">
        <v>9578.4</v>
      </c>
      <c r="I701" s="7">
        <v>0</v>
      </c>
      <c r="J701" s="2">
        <v>34.099998474121087</v>
      </c>
      <c r="K701" s="23">
        <f t="shared" si="109"/>
        <v>36584.642000000895</v>
      </c>
      <c r="L701" s="23">
        <f t="shared" si="106"/>
        <v>3.8194940699909061</v>
      </c>
      <c r="M701" s="12" t="s">
        <v>11</v>
      </c>
      <c r="N701" s="7">
        <v>29590</v>
      </c>
      <c r="O701" s="7">
        <v>30178.849999999995</v>
      </c>
      <c r="P701" s="7">
        <f t="shared" si="103"/>
        <v>34294.147727272721</v>
      </c>
      <c r="Q701" s="7">
        <v>43010</v>
      </c>
      <c r="R701" s="7">
        <v>3747.3999999999869</v>
      </c>
      <c r="S701" s="7">
        <f t="shared" si="104"/>
        <v>4996.5333333333156</v>
      </c>
      <c r="T701" s="2">
        <v>5806</v>
      </c>
      <c r="U701" s="7">
        <f t="shared" si="110"/>
        <v>408705.20375378767</v>
      </c>
      <c r="V701" s="7">
        <f t="shared" si="105"/>
        <v>70.393593481534225</v>
      </c>
      <c r="W701" s="17"/>
      <c r="X701" s="11"/>
      <c r="AA701" s="11"/>
      <c r="AB701" s="11"/>
      <c r="AC701" s="11"/>
      <c r="AD701" s="11"/>
      <c r="AE701" s="11"/>
    </row>
    <row r="702" spans="1:31" x14ac:dyDescent="0.25">
      <c r="A702" s="15" t="s">
        <v>1</v>
      </c>
      <c r="B702" s="21">
        <v>45873</v>
      </c>
      <c r="C702" s="7">
        <v>3881</v>
      </c>
      <c r="D702" s="7">
        <v>10031.999999999171</v>
      </c>
      <c r="E702" s="7">
        <v>4050</v>
      </c>
      <c r="F702" s="7">
        <v>0</v>
      </c>
      <c r="G702" s="7">
        <v>7096</v>
      </c>
      <c r="H702" s="7">
        <v>6900</v>
      </c>
      <c r="I702" s="7">
        <v>40552</v>
      </c>
      <c r="J702" s="2">
        <v>37.700000762939453</v>
      </c>
      <c r="K702" s="23">
        <f t="shared" si="109"/>
        <v>68869.160999999556</v>
      </c>
      <c r="L702" s="23">
        <f t="shared" si="106"/>
        <v>9.7053496335963292</v>
      </c>
      <c r="M702" s="12" t="s">
        <v>11</v>
      </c>
      <c r="N702" s="7">
        <v>34594</v>
      </c>
      <c r="O702" s="7">
        <v>37759.640000000007</v>
      </c>
      <c r="P702" s="7">
        <f t="shared" si="103"/>
        <v>42908.681818181823</v>
      </c>
      <c r="Q702" s="7">
        <v>61857</v>
      </c>
      <c r="R702" s="7">
        <v>4871.620000000029</v>
      </c>
      <c r="S702" s="7">
        <f t="shared" si="104"/>
        <v>6495.493333333372</v>
      </c>
      <c r="T702" s="2">
        <v>8454</v>
      </c>
      <c r="U702" s="7">
        <f t="shared" si="110"/>
        <v>545371.17939697008</v>
      </c>
      <c r="V702" s="7">
        <f t="shared" si="105"/>
        <v>64.510430494082101</v>
      </c>
      <c r="W702" s="17"/>
      <c r="X702" s="11"/>
      <c r="AA702" s="11"/>
      <c r="AB702" s="11"/>
      <c r="AC702" s="11"/>
      <c r="AD702" s="11"/>
      <c r="AE702" s="11"/>
    </row>
    <row r="703" spans="1:31" x14ac:dyDescent="0.25">
      <c r="A703" s="15" t="s">
        <v>1</v>
      </c>
      <c r="B703" s="21">
        <v>45874</v>
      </c>
      <c r="C703" s="8">
        <v>3009</v>
      </c>
      <c r="D703" s="8">
        <v>13087.199999999501</v>
      </c>
      <c r="E703" s="8">
        <v>3350</v>
      </c>
      <c r="F703" s="7">
        <v>232</v>
      </c>
      <c r="G703" s="8">
        <v>9301</v>
      </c>
      <c r="H703" s="8">
        <v>8996</v>
      </c>
      <c r="I703" s="8">
        <v>34339</v>
      </c>
      <c r="J703" s="2">
        <v>40.200000762939453</v>
      </c>
      <c r="K703" s="23">
        <f t="shared" si="109"/>
        <v>59102.096999999732</v>
      </c>
      <c r="L703" s="23">
        <f t="shared" si="106"/>
        <v>6.3543809267820377</v>
      </c>
      <c r="M703" s="12" t="s">
        <v>11</v>
      </c>
      <c r="N703" s="8">
        <v>34594</v>
      </c>
      <c r="O703" s="8">
        <v>33307</v>
      </c>
      <c r="P703" s="7">
        <f t="shared" si="103"/>
        <v>37848.86363636364</v>
      </c>
      <c r="Q703" s="8">
        <v>54321</v>
      </c>
      <c r="R703" s="8">
        <v>5246.3599999999551</v>
      </c>
      <c r="S703" s="7">
        <f t="shared" si="104"/>
        <v>6995.1466666666065</v>
      </c>
      <c r="T703" s="2">
        <v>8480</v>
      </c>
      <c r="U703" s="7">
        <f t="shared" si="110"/>
        <v>493556.57349393889</v>
      </c>
      <c r="V703" s="7">
        <f t="shared" si="105"/>
        <v>58.202426119568266</v>
      </c>
      <c r="W703" s="17"/>
      <c r="X703" s="11"/>
      <c r="AA703" s="11"/>
      <c r="AB703" s="11"/>
      <c r="AC703" s="11"/>
      <c r="AD703" s="11"/>
      <c r="AE703" s="11"/>
    </row>
    <row r="704" spans="1:31" x14ac:dyDescent="0.25">
      <c r="A704" s="15" t="s">
        <v>1</v>
      </c>
      <c r="B704" s="21">
        <v>45875</v>
      </c>
      <c r="C704" s="7">
        <v>2768</v>
      </c>
      <c r="D704" s="7">
        <v>12756.600000002652</v>
      </c>
      <c r="E704" s="7">
        <v>0</v>
      </c>
      <c r="F704" s="7">
        <v>546</v>
      </c>
      <c r="G704" s="7">
        <v>9835</v>
      </c>
      <c r="H704" s="7">
        <v>8476</v>
      </c>
      <c r="I704" s="7">
        <v>0</v>
      </c>
      <c r="J704" s="2">
        <v>37.900001525878913</v>
      </c>
      <c r="K704" s="23">
        <f t="shared" si="109"/>
        <v>31765.332000001432</v>
      </c>
      <c r="L704" s="23">
        <f t="shared" si="106"/>
        <v>3.2298253177429013</v>
      </c>
      <c r="M704" s="12" t="s">
        <v>11</v>
      </c>
      <c r="N704" s="7">
        <v>29688</v>
      </c>
      <c r="O704" s="7">
        <v>33307</v>
      </c>
      <c r="P704" s="7">
        <f t="shared" si="103"/>
        <v>37848.86363636364</v>
      </c>
      <c r="Q704" s="7">
        <v>56167</v>
      </c>
      <c r="R704" s="7">
        <v>0</v>
      </c>
      <c r="S704" s="7">
        <f t="shared" si="104"/>
        <v>0</v>
      </c>
      <c r="T704" s="2">
        <v>8121</v>
      </c>
      <c r="U704" s="7">
        <f t="shared" si="110"/>
        <v>436116.14522727276</v>
      </c>
      <c r="V704" s="7">
        <f t="shared" si="105"/>
        <v>53.702271299996646</v>
      </c>
      <c r="W704" s="17"/>
      <c r="X704" s="11"/>
      <c r="AA704" s="11"/>
      <c r="AB704" s="11"/>
      <c r="AC704" s="11"/>
      <c r="AD704" s="11"/>
      <c r="AE704" s="11"/>
    </row>
    <row r="705" spans="1:31" x14ac:dyDescent="0.25">
      <c r="A705" s="15" t="s">
        <v>1</v>
      </c>
      <c r="B705" s="21">
        <v>45876</v>
      </c>
      <c r="C705" s="7">
        <v>3265</v>
      </c>
      <c r="D705" s="7">
        <v>12106.799999998839</v>
      </c>
      <c r="E705" s="7">
        <v>2000</v>
      </c>
      <c r="F705" s="7">
        <v>445</v>
      </c>
      <c r="G705" s="7">
        <v>10116</v>
      </c>
      <c r="H705" s="7">
        <v>8549</v>
      </c>
      <c r="I705" s="7">
        <v>21356</v>
      </c>
      <c r="J705" s="2">
        <v>37.5</v>
      </c>
      <c r="K705" s="23">
        <f t="shared" si="109"/>
        <v>50885.936999999372</v>
      </c>
      <c r="L705" s="23">
        <f t="shared" si="106"/>
        <v>5.0302428825622156</v>
      </c>
      <c r="M705" s="12" t="s">
        <v>11</v>
      </c>
      <c r="N705" s="7">
        <v>32293</v>
      </c>
      <c r="O705" s="7">
        <v>37709.85</v>
      </c>
      <c r="P705" s="7">
        <f t="shared" si="103"/>
        <v>42852.102272727272</v>
      </c>
      <c r="Q705" s="7">
        <v>56209</v>
      </c>
      <c r="R705" s="7">
        <v>0</v>
      </c>
      <c r="S705" s="7">
        <f t="shared" si="104"/>
        <v>0</v>
      </c>
      <c r="T705" s="2">
        <v>9323</v>
      </c>
      <c r="U705" s="7">
        <f t="shared" si="110"/>
        <v>462637.02982954547</v>
      </c>
      <c r="V705" s="7">
        <f t="shared" si="105"/>
        <v>49.623193159878312</v>
      </c>
      <c r="W705" s="17"/>
      <c r="X705" s="11"/>
      <c r="AA705" s="11"/>
      <c r="AB705" s="11"/>
      <c r="AC705" s="11"/>
      <c r="AD705" s="11"/>
      <c r="AE705" s="11"/>
    </row>
    <row r="706" spans="1:31" x14ac:dyDescent="0.25">
      <c r="A706" s="15" t="s">
        <v>1</v>
      </c>
      <c r="B706" s="21">
        <v>45877</v>
      </c>
      <c r="C706" s="7">
        <v>3294</v>
      </c>
      <c r="D706" s="7">
        <v>12163.800000002155</v>
      </c>
      <c r="E706" s="7">
        <v>0</v>
      </c>
      <c r="F706" s="7">
        <v>425</v>
      </c>
      <c r="G706" s="7">
        <v>9368</v>
      </c>
      <c r="H706" s="7">
        <v>8164</v>
      </c>
      <c r="I706" s="7">
        <v>0</v>
      </c>
      <c r="J706" s="2">
        <v>42.049999237060547</v>
      </c>
      <c r="K706" s="23">
        <f t="shared" si="109"/>
        <v>35048.746000001163</v>
      </c>
      <c r="L706" s="23">
        <f t="shared" si="106"/>
        <v>3.7413264304014904</v>
      </c>
      <c r="M706" s="12" t="s">
        <v>11</v>
      </c>
      <c r="N706" s="7">
        <v>34083</v>
      </c>
      <c r="O706" s="7">
        <v>52002.66</v>
      </c>
      <c r="P706" s="7">
        <f t="shared" ref="P706:P769" si="111">O706/0.88</f>
        <v>59093.931818181823</v>
      </c>
      <c r="Q706" s="7">
        <v>42535</v>
      </c>
      <c r="R706" s="7">
        <v>0</v>
      </c>
      <c r="S706" s="7">
        <f t="shared" si="104"/>
        <v>0</v>
      </c>
      <c r="T706" s="2">
        <v>9340</v>
      </c>
      <c r="U706" s="7">
        <f t="shared" si="110"/>
        <v>488232.27011363645</v>
      </c>
      <c r="V706" s="7">
        <f t="shared" si="105"/>
        <v>52.273262324800477</v>
      </c>
      <c r="W706" s="17"/>
      <c r="X706" s="11"/>
      <c r="AA706" s="11"/>
      <c r="AB706" s="11"/>
      <c r="AC706" s="11"/>
      <c r="AD706" s="11"/>
      <c r="AE706" s="11"/>
    </row>
    <row r="707" spans="1:31" x14ac:dyDescent="0.25">
      <c r="A707" s="15" t="s">
        <v>1</v>
      </c>
      <c r="B707" s="21">
        <v>45878</v>
      </c>
      <c r="C707" s="7">
        <v>2780</v>
      </c>
      <c r="D707" s="7">
        <v>11513.999999998341</v>
      </c>
      <c r="E707" s="7">
        <v>0</v>
      </c>
      <c r="F707" s="7">
        <v>488</v>
      </c>
      <c r="G707" s="7">
        <v>9683</v>
      </c>
      <c r="H707" s="7">
        <v>6729</v>
      </c>
      <c r="I707" s="7">
        <v>0</v>
      </c>
      <c r="J707" s="2">
        <v>44.549999237060547</v>
      </c>
      <c r="K707" s="23">
        <f t="shared" si="109"/>
        <v>30900.339999999102</v>
      </c>
      <c r="L707" s="23">
        <f t="shared" si="106"/>
        <v>3.1911948776204793</v>
      </c>
      <c r="M707" s="12" t="s">
        <v>11</v>
      </c>
      <c r="N707" s="7">
        <v>35814</v>
      </c>
      <c r="O707" s="7">
        <v>58036.25</v>
      </c>
      <c r="P707" s="7">
        <f t="shared" si="111"/>
        <v>65950.284090909088</v>
      </c>
      <c r="Q707" s="7">
        <v>43030</v>
      </c>
      <c r="R707" s="7">
        <v>0</v>
      </c>
      <c r="S707" s="7">
        <f t="shared" ref="S707:S770" si="112">R707/0.75</f>
        <v>0</v>
      </c>
      <c r="T707" s="2">
        <v>9150</v>
      </c>
      <c r="U707" s="7">
        <f t="shared" si="110"/>
        <v>525385.3261931818</v>
      </c>
      <c r="V707" s="7">
        <f t="shared" ref="V707:V770" si="113">U707/T707</f>
        <v>57.419161332588175</v>
      </c>
      <c r="W707" s="17"/>
      <c r="X707" s="11"/>
      <c r="AA707" s="11"/>
      <c r="AB707" s="11"/>
      <c r="AC707" s="11"/>
      <c r="AD707" s="11"/>
      <c r="AE707" s="11"/>
    </row>
    <row r="708" spans="1:31" x14ac:dyDescent="0.25">
      <c r="A708" s="15" t="s">
        <v>1</v>
      </c>
      <c r="B708" s="21">
        <v>45879</v>
      </c>
      <c r="C708" s="8">
        <v>2956</v>
      </c>
      <c r="D708" s="8">
        <v>13964.999999999998</v>
      </c>
      <c r="E708" s="8">
        <v>0</v>
      </c>
      <c r="F708" s="7">
        <v>151</v>
      </c>
      <c r="G708" s="8">
        <v>10259</v>
      </c>
      <c r="H708" s="8">
        <v>9100</v>
      </c>
      <c r="I708" s="8">
        <v>0</v>
      </c>
      <c r="J708" s="2">
        <v>45.200000762939453</v>
      </c>
      <c r="K708" s="23">
        <f t="shared" si="109"/>
        <v>31947.055999999997</v>
      </c>
      <c r="L708" s="23">
        <f t="shared" si="106"/>
        <v>3.1140516619553558</v>
      </c>
      <c r="M708" s="12" t="s">
        <v>11</v>
      </c>
      <c r="N708" s="8">
        <v>36228</v>
      </c>
      <c r="O708" s="8">
        <v>52464.770000000019</v>
      </c>
      <c r="P708" s="7">
        <f t="shared" si="111"/>
        <v>59619.056818181838</v>
      </c>
      <c r="Q708" s="8">
        <v>45099</v>
      </c>
      <c r="R708" s="8">
        <v>0</v>
      </c>
      <c r="S708" s="7">
        <f t="shared" si="112"/>
        <v>0</v>
      </c>
      <c r="T708" s="2">
        <v>9152</v>
      </c>
      <c r="U708" s="7">
        <f t="shared" si="110"/>
        <v>502571.99823863647</v>
      </c>
      <c r="V708" s="7">
        <f t="shared" si="113"/>
        <v>54.913898408941925</v>
      </c>
      <c r="W708" s="17"/>
      <c r="X708" s="11"/>
      <c r="AA708" s="11"/>
      <c r="AB708" s="11"/>
      <c r="AC708" s="11"/>
      <c r="AD708" s="11"/>
      <c r="AE708" s="11"/>
    </row>
    <row r="709" spans="1:31" x14ac:dyDescent="0.25">
      <c r="A709" s="15" t="s">
        <v>1</v>
      </c>
      <c r="B709" s="21">
        <v>45880</v>
      </c>
      <c r="C709" s="7">
        <v>3118</v>
      </c>
      <c r="D709" s="7">
        <v>9131.3999999981752</v>
      </c>
      <c r="E709" s="7">
        <v>0</v>
      </c>
      <c r="F709" s="7">
        <v>434</v>
      </c>
      <c r="G709" s="7">
        <v>6886</v>
      </c>
      <c r="H709" s="7">
        <v>5824</v>
      </c>
      <c r="I709" s="7">
        <v>0</v>
      </c>
      <c r="J709" s="2">
        <v>43.450000762939453</v>
      </c>
      <c r="K709" s="23">
        <f t="shared" si="109"/>
        <v>32048.073999999015</v>
      </c>
      <c r="L709" s="23">
        <f t="shared" si="106"/>
        <v>4.6540914899795256</v>
      </c>
      <c r="M709" s="12" t="s">
        <v>11</v>
      </c>
      <c r="N709" s="7">
        <v>33715</v>
      </c>
      <c r="O709" s="7">
        <v>41444.169999999976</v>
      </c>
      <c r="P709" s="7">
        <f t="shared" si="111"/>
        <v>47095.647727272699</v>
      </c>
      <c r="Q709" s="7">
        <v>56929</v>
      </c>
      <c r="R709" s="7">
        <v>0</v>
      </c>
      <c r="S709" s="7">
        <f t="shared" si="112"/>
        <v>0</v>
      </c>
      <c r="T709" s="2">
        <v>9220</v>
      </c>
      <c r="U709" s="7">
        <f t="shared" si="110"/>
        <v>487525.38392045442</v>
      </c>
      <c r="V709" s="7">
        <f t="shared" si="113"/>
        <v>52.87693968768486</v>
      </c>
      <c r="W709" s="17"/>
      <c r="X709" s="11"/>
      <c r="AA709" s="11"/>
      <c r="AB709" s="11"/>
      <c r="AC709" s="11"/>
      <c r="AD709" s="11"/>
      <c r="AE709" s="11"/>
    </row>
    <row r="710" spans="1:31" x14ac:dyDescent="0.25">
      <c r="A710" s="15" t="s">
        <v>1</v>
      </c>
      <c r="B710" s="21">
        <v>45881</v>
      </c>
      <c r="C710" s="7">
        <v>2639</v>
      </c>
      <c r="D710" s="7">
        <v>15469.799999999666</v>
      </c>
      <c r="E710" s="7">
        <v>3400</v>
      </c>
      <c r="F710" s="7">
        <v>552</v>
      </c>
      <c r="G710" s="7">
        <v>9105</v>
      </c>
      <c r="H710" s="7">
        <v>9105</v>
      </c>
      <c r="I710" s="7">
        <v>28426</v>
      </c>
      <c r="J710" s="2">
        <v>40.650001525878913</v>
      </c>
      <c r="K710" s="23">
        <f t="shared" si="109"/>
        <v>59428.330999999816</v>
      </c>
      <c r="L710" s="23">
        <f t="shared" si="106"/>
        <v>6.5269995606809248</v>
      </c>
      <c r="M710" s="12" t="s">
        <v>11</v>
      </c>
      <c r="N710" s="7">
        <v>35087</v>
      </c>
      <c r="O710" s="7">
        <v>37968.220000000008</v>
      </c>
      <c r="P710" s="7">
        <f t="shared" si="111"/>
        <v>43145.704545454551</v>
      </c>
      <c r="Q710" s="7">
        <v>57070</v>
      </c>
      <c r="R710" s="7">
        <v>0</v>
      </c>
      <c r="S710" s="7">
        <f t="shared" si="112"/>
        <v>0</v>
      </c>
      <c r="T710" s="2">
        <v>9622</v>
      </c>
      <c r="U710" s="7">
        <f t="shared" si="110"/>
        <v>469156.71715909097</v>
      </c>
      <c r="V710" s="7">
        <f t="shared" si="113"/>
        <v>48.75875256278227</v>
      </c>
      <c r="W710" s="17"/>
      <c r="X710" s="11"/>
      <c r="AA710" s="11"/>
      <c r="AB710" s="11"/>
      <c r="AC710" s="11"/>
      <c r="AD710" s="11"/>
      <c r="AE710" s="11"/>
    </row>
    <row r="711" spans="1:31" x14ac:dyDescent="0.25">
      <c r="A711" s="15" t="s">
        <v>1</v>
      </c>
      <c r="B711" s="21">
        <v>45882</v>
      </c>
      <c r="C711" s="7">
        <v>2320</v>
      </c>
      <c r="D711" s="7">
        <v>13508.999999998339</v>
      </c>
      <c r="E711" s="7">
        <v>0</v>
      </c>
      <c r="F711" s="7">
        <v>513</v>
      </c>
      <c r="G711" s="7">
        <v>8964</v>
      </c>
      <c r="H711" s="7">
        <v>8442</v>
      </c>
      <c r="I711" s="7">
        <v>0</v>
      </c>
      <c r="J711" s="2">
        <v>39.900001525878913</v>
      </c>
      <c r="K711" s="23">
        <f t="shared" si="109"/>
        <v>28422.179999999105</v>
      </c>
      <c r="L711" s="23">
        <f t="shared" si="106"/>
        <v>3.1707028112448801</v>
      </c>
      <c r="M711" s="12" t="s">
        <v>11</v>
      </c>
      <c r="N711" s="7">
        <v>36148</v>
      </c>
      <c r="O711" s="7">
        <v>56421.450000000012</v>
      </c>
      <c r="P711" s="7">
        <f t="shared" si="111"/>
        <v>64115.284090909103</v>
      </c>
      <c r="Q711" s="7">
        <v>42681</v>
      </c>
      <c r="R711" s="7">
        <v>0</v>
      </c>
      <c r="S711" s="7">
        <f t="shared" si="112"/>
        <v>0</v>
      </c>
      <c r="T711" s="2">
        <v>9288</v>
      </c>
      <c r="U711" s="7">
        <f t="shared" si="110"/>
        <v>514980.33119318192</v>
      </c>
      <c r="V711" s="7">
        <f t="shared" si="113"/>
        <v>55.445772092289182</v>
      </c>
      <c r="W711" s="17"/>
      <c r="X711" s="11"/>
      <c r="AA711" s="11"/>
      <c r="AB711" s="11"/>
      <c r="AC711" s="11"/>
      <c r="AD711" s="11"/>
      <c r="AE711" s="11"/>
    </row>
    <row r="712" spans="1:31" x14ac:dyDescent="0.25">
      <c r="A712" s="15" t="s">
        <v>1</v>
      </c>
      <c r="B712" s="21">
        <v>45883</v>
      </c>
      <c r="C712" s="7">
        <v>4108</v>
      </c>
      <c r="D712" s="7">
        <v>13862.399999999832</v>
      </c>
      <c r="E712" s="7">
        <v>0</v>
      </c>
      <c r="F712" s="7">
        <v>343</v>
      </c>
      <c r="G712" s="7">
        <v>9061</v>
      </c>
      <c r="H712" s="7">
        <v>9061</v>
      </c>
      <c r="I712" s="7">
        <v>0</v>
      </c>
      <c r="J712" s="2">
        <v>38.400001525878913</v>
      </c>
      <c r="K712" s="23">
        <f t="shared" si="109"/>
        <v>42068.803999999909</v>
      </c>
      <c r="L712" s="23">
        <f t="shared" si="106"/>
        <v>4.6428433947687795</v>
      </c>
      <c r="M712" s="12" t="s">
        <v>11</v>
      </c>
      <c r="N712" s="7">
        <v>35433</v>
      </c>
      <c r="O712" s="7">
        <v>45157.1</v>
      </c>
      <c r="P712" s="7">
        <f t="shared" si="111"/>
        <v>51314.88636363636</v>
      </c>
      <c r="Q712" s="7">
        <v>49075</v>
      </c>
      <c r="R712" s="7">
        <v>0</v>
      </c>
      <c r="S712" s="7">
        <f t="shared" si="112"/>
        <v>0</v>
      </c>
      <c r="T712" s="2">
        <v>8698</v>
      </c>
      <c r="U712" s="7">
        <f t="shared" si="110"/>
        <v>477127.52852272725</v>
      </c>
      <c r="V712" s="7">
        <f t="shared" si="113"/>
        <v>54.854854969271933</v>
      </c>
      <c r="W712" s="17"/>
      <c r="X712" s="11"/>
      <c r="AA712" s="11"/>
      <c r="AB712" s="11"/>
      <c r="AC712" s="11"/>
      <c r="AD712" s="11"/>
      <c r="AE712" s="11"/>
    </row>
    <row r="713" spans="1:31" x14ac:dyDescent="0.25">
      <c r="A713" s="15" t="s">
        <v>1</v>
      </c>
      <c r="B713" s="21">
        <v>45884</v>
      </c>
      <c r="C713" s="8">
        <v>4208</v>
      </c>
      <c r="D713" s="8">
        <v>12733.800000002157</v>
      </c>
      <c r="E713" s="8">
        <v>0</v>
      </c>
      <c r="F713" s="7">
        <v>401</v>
      </c>
      <c r="G713" s="8">
        <v>8412</v>
      </c>
      <c r="H713" s="8">
        <v>8580</v>
      </c>
      <c r="I713" s="8">
        <v>0</v>
      </c>
      <c r="J713" s="2">
        <v>44.299999237060547</v>
      </c>
      <c r="K713" s="23">
        <f t="shared" si="109"/>
        <v>42549.460000001163</v>
      </c>
      <c r="L713" s="23">
        <f t="shared" ref="L713:L776" si="114">K713/G713</f>
        <v>5.058185924869373</v>
      </c>
      <c r="M713" s="12" t="s">
        <v>11</v>
      </c>
      <c r="N713" s="8">
        <v>34247</v>
      </c>
      <c r="O713" s="8">
        <v>42412.509999999995</v>
      </c>
      <c r="P713" s="7">
        <f t="shared" si="111"/>
        <v>48196.034090909088</v>
      </c>
      <c r="Q713" s="8">
        <v>51401</v>
      </c>
      <c r="R713" s="8">
        <v>0</v>
      </c>
      <c r="S713" s="7">
        <f t="shared" si="112"/>
        <v>0</v>
      </c>
      <c r="T713" s="2">
        <v>8470</v>
      </c>
      <c r="U713" s="7">
        <f t="shared" si="110"/>
        <v>470522.72994318185</v>
      </c>
      <c r="V713" s="7">
        <f t="shared" si="113"/>
        <v>55.55168004051734</v>
      </c>
      <c r="W713" s="17"/>
      <c r="X713" s="11"/>
      <c r="AA713" s="11"/>
      <c r="AB713" s="11"/>
      <c r="AC713" s="11"/>
      <c r="AD713" s="11"/>
      <c r="AE713" s="11"/>
    </row>
    <row r="714" spans="1:31" x14ac:dyDescent="0.25">
      <c r="A714" s="15" t="s">
        <v>1</v>
      </c>
      <c r="B714" s="21">
        <v>45885</v>
      </c>
      <c r="C714" s="7">
        <v>3042</v>
      </c>
      <c r="D714" s="7">
        <v>15173.399999997346</v>
      </c>
      <c r="E714" s="7">
        <v>4200</v>
      </c>
      <c r="F714" s="7">
        <v>439</v>
      </c>
      <c r="G714" s="7">
        <v>5713</v>
      </c>
      <c r="H714" s="7">
        <v>9412</v>
      </c>
      <c r="I714" s="7">
        <v>42053</v>
      </c>
      <c r="J714" s="2">
        <v>44.900001525878913</v>
      </c>
      <c r="K714" s="23">
        <f t="shared" si="109"/>
        <v>68327.677999998559</v>
      </c>
      <c r="L714" s="23">
        <f t="shared" si="114"/>
        <v>11.960034657797753</v>
      </c>
      <c r="M714" s="12" t="s">
        <v>11</v>
      </c>
      <c r="N714" s="7">
        <v>36117</v>
      </c>
      <c r="O714" s="7">
        <v>46429</v>
      </c>
      <c r="P714" s="7">
        <f t="shared" si="111"/>
        <v>52760.227272727272</v>
      </c>
      <c r="Q714" s="7">
        <v>54951</v>
      </c>
      <c r="R714" s="7">
        <v>0</v>
      </c>
      <c r="S714" s="7">
        <f t="shared" si="112"/>
        <v>0</v>
      </c>
      <c r="T714" s="2">
        <v>9373</v>
      </c>
      <c r="U714" s="7">
        <f t="shared" si="110"/>
        <v>508911.03295454546</v>
      </c>
      <c r="V714" s="7">
        <f t="shared" si="113"/>
        <v>54.295426539479941</v>
      </c>
      <c r="W714" s="17"/>
      <c r="X714" s="11"/>
      <c r="AA714" s="11"/>
      <c r="AB714" s="11"/>
      <c r="AC714" s="11"/>
      <c r="AD714" s="11"/>
      <c r="AE714" s="11"/>
    </row>
    <row r="715" spans="1:31" x14ac:dyDescent="0.25">
      <c r="A715" s="15" t="s">
        <v>1</v>
      </c>
      <c r="B715" s="21">
        <v>45886</v>
      </c>
      <c r="C715" s="7">
        <v>2632</v>
      </c>
      <c r="D715" s="7">
        <v>15811.799999998839</v>
      </c>
      <c r="E715" s="7">
        <v>0</v>
      </c>
      <c r="F715" s="7">
        <v>92</v>
      </c>
      <c r="G715" s="7">
        <v>5537</v>
      </c>
      <c r="H715" s="7">
        <v>9797</v>
      </c>
      <c r="I715" s="7">
        <v>0</v>
      </c>
      <c r="J715" s="2">
        <v>39.299999237060547</v>
      </c>
      <c r="K715" s="23">
        <f t="shared" si="109"/>
        <v>30057.003999999371</v>
      </c>
      <c r="L715" s="23">
        <f t="shared" si="114"/>
        <v>5.4283915477694364</v>
      </c>
      <c r="M715" s="12" t="s">
        <v>11</v>
      </c>
      <c r="N715" s="7">
        <v>35636</v>
      </c>
      <c r="O715" s="7">
        <v>42714.68</v>
      </c>
      <c r="P715" s="7">
        <f t="shared" si="111"/>
        <v>48539.409090909088</v>
      </c>
      <c r="Q715" s="7">
        <v>51774</v>
      </c>
      <c r="R715" s="7">
        <v>0</v>
      </c>
      <c r="S715" s="7">
        <f t="shared" si="112"/>
        <v>0</v>
      </c>
      <c r="T715" s="2">
        <v>9199</v>
      </c>
      <c r="U715" s="7">
        <f t="shared" si="110"/>
        <v>474521.27431818179</v>
      </c>
      <c r="V715" s="7">
        <f t="shared" si="113"/>
        <v>51.584006339621894</v>
      </c>
      <c r="W715" s="17"/>
      <c r="X715" s="11"/>
      <c r="AA715" s="11"/>
      <c r="AB715" s="11"/>
      <c r="AC715" s="11"/>
      <c r="AD715" s="11"/>
      <c r="AE715" s="11"/>
    </row>
    <row r="716" spans="1:31" x14ac:dyDescent="0.25">
      <c r="A716" s="15" t="s">
        <v>1</v>
      </c>
      <c r="B716" s="21">
        <v>45887</v>
      </c>
      <c r="C716" s="7">
        <v>2560</v>
      </c>
      <c r="D716" s="7">
        <v>7866.0000000016589</v>
      </c>
      <c r="E716" s="7">
        <v>6050</v>
      </c>
      <c r="F716" s="7">
        <v>464</v>
      </c>
      <c r="G716" s="7">
        <v>5906</v>
      </c>
      <c r="H716" s="7">
        <v>5174</v>
      </c>
      <c r="I716" s="7">
        <v>60584</v>
      </c>
      <c r="J716" s="2">
        <v>33.75</v>
      </c>
      <c r="K716" s="23">
        <f t="shared" si="109"/>
        <v>75450.200000000885</v>
      </c>
      <c r="L716" s="23">
        <f t="shared" si="114"/>
        <v>12.775177785303232</v>
      </c>
      <c r="M716" s="12" t="s">
        <v>11</v>
      </c>
      <c r="N716" s="7">
        <v>34087</v>
      </c>
      <c r="O716" s="7">
        <v>43905.62000000001</v>
      </c>
      <c r="P716" s="7">
        <f t="shared" si="111"/>
        <v>49892.750000000015</v>
      </c>
      <c r="Q716" s="7">
        <v>39744</v>
      </c>
      <c r="R716" s="7">
        <v>0</v>
      </c>
      <c r="S716" s="7">
        <f t="shared" si="112"/>
        <v>0</v>
      </c>
      <c r="T716" s="2">
        <v>8515</v>
      </c>
      <c r="U716" s="7">
        <f t="shared" si="110"/>
        <v>430867.61875000014</v>
      </c>
      <c r="V716" s="7">
        <f t="shared" si="113"/>
        <v>50.601012184380522</v>
      </c>
      <c r="W716" s="17"/>
      <c r="X716" s="11"/>
      <c r="AA716" s="11"/>
      <c r="AB716" s="11"/>
      <c r="AC716" s="11"/>
      <c r="AD716" s="11"/>
      <c r="AE716" s="11"/>
    </row>
    <row r="717" spans="1:31" x14ac:dyDescent="0.25">
      <c r="A717" s="15" t="s">
        <v>1</v>
      </c>
      <c r="B717" s="21">
        <v>45888</v>
      </c>
      <c r="C717" s="7">
        <v>5570</v>
      </c>
      <c r="D717" s="7">
        <v>6703.1999999970139</v>
      </c>
      <c r="E717" s="7">
        <v>0</v>
      </c>
      <c r="F717" s="7">
        <v>495</v>
      </c>
      <c r="G717" s="7">
        <v>8152</v>
      </c>
      <c r="H717" s="7">
        <v>4315</v>
      </c>
      <c r="I717" s="7">
        <v>0</v>
      </c>
      <c r="J717" s="2">
        <v>32.700000762939453</v>
      </c>
      <c r="K717" s="23">
        <f t="shared" si="109"/>
        <v>50660.297999998387</v>
      </c>
      <c r="L717" s="23">
        <f t="shared" si="114"/>
        <v>6.2144624631990171</v>
      </c>
      <c r="M717" s="12" t="s">
        <v>11</v>
      </c>
      <c r="N717" s="7">
        <v>3352</v>
      </c>
      <c r="O717" s="7">
        <v>44299.7</v>
      </c>
      <c r="P717" s="7">
        <f t="shared" si="111"/>
        <v>50340.568181818177</v>
      </c>
      <c r="Q717" s="7">
        <v>44153</v>
      </c>
      <c r="R717" s="7">
        <v>0</v>
      </c>
      <c r="S717" s="7">
        <f t="shared" si="112"/>
        <v>0</v>
      </c>
      <c r="T717" s="2">
        <v>8289</v>
      </c>
      <c r="U717" s="7">
        <f t="shared" si="110"/>
        <v>434668.17238636361</v>
      </c>
      <c r="V717" s="7">
        <f t="shared" si="113"/>
        <v>52.439157001612209</v>
      </c>
      <c r="W717" s="17"/>
      <c r="X717" s="11"/>
      <c r="AA717" s="11"/>
      <c r="AB717" s="11"/>
      <c r="AC717" s="11"/>
      <c r="AD717" s="11"/>
      <c r="AE717" s="11"/>
    </row>
    <row r="718" spans="1:31" x14ac:dyDescent="0.25">
      <c r="A718" s="15" t="s">
        <v>1</v>
      </c>
      <c r="B718" s="21">
        <v>45889</v>
      </c>
      <c r="C718" s="8">
        <v>5297</v>
      </c>
      <c r="D718" s="8">
        <v>14204.399999999003</v>
      </c>
      <c r="E718" s="8">
        <v>0</v>
      </c>
      <c r="F718" s="7">
        <v>269</v>
      </c>
      <c r="G718" s="8">
        <v>6404</v>
      </c>
      <c r="H718" s="8">
        <v>10036</v>
      </c>
      <c r="I718" s="8">
        <v>0</v>
      </c>
      <c r="J718" s="2">
        <v>36.75</v>
      </c>
      <c r="K718" s="23">
        <f t="shared" si="109"/>
        <v>51396.672999999457</v>
      </c>
      <c r="L718" s="23">
        <f t="shared" si="114"/>
        <v>8.0257140849468236</v>
      </c>
      <c r="M718" s="12" t="s">
        <v>11</v>
      </c>
      <c r="N718" s="8">
        <v>33391</v>
      </c>
      <c r="O718" s="8">
        <v>46308.039999999994</v>
      </c>
      <c r="P718" s="7">
        <f t="shared" si="111"/>
        <v>52622.772727272721</v>
      </c>
      <c r="Q718" s="8">
        <v>45064</v>
      </c>
      <c r="R718" s="8">
        <v>0</v>
      </c>
      <c r="S718" s="7">
        <f t="shared" si="112"/>
        <v>0</v>
      </c>
      <c r="T718" s="2">
        <v>7367</v>
      </c>
      <c r="U718" s="7">
        <f t="shared" si="110"/>
        <v>466019.34204545454</v>
      </c>
      <c r="V718" s="7">
        <f t="shared" si="113"/>
        <v>63.257681830521861</v>
      </c>
      <c r="W718" s="17"/>
      <c r="X718" s="11"/>
      <c r="AA718" s="11"/>
      <c r="AB718" s="11"/>
      <c r="AC718" s="11"/>
      <c r="AD718" s="11"/>
      <c r="AE718" s="11"/>
    </row>
    <row r="719" spans="1:31" x14ac:dyDescent="0.25">
      <c r="A719" s="15" t="s">
        <v>1</v>
      </c>
      <c r="B719" s="21">
        <v>45890</v>
      </c>
      <c r="C719" s="7">
        <v>3295</v>
      </c>
      <c r="D719" s="7">
        <v>14238.600000001825</v>
      </c>
      <c r="E719" s="7">
        <v>0</v>
      </c>
      <c r="F719" s="7">
        <v>232</v>
      </c>
      <c r="G719" s="7">
        <v>5299</v>
      </c>
      <c r="H719" s="7">
        <v>9854</v>
      </c>
      <c r="I719" s="7">
        <v>0</v>
      </c>
      <c r="J719" s="2">
        <v>36.099998474121087</v>
      </c>
      <c r="K719" s="23">
        <f t="shared" si="109"/>
        <v>35212.139000000985</v>
      </c>
      <c r="L719" s="23">
        <f t="shared" si="114"/>
        <v>6.6450535950181138</v>
      </c>
      <c r="M719" s="12" t="s">
        <v>11</v>
      </c>
      <c r="N719" s="7">
        <v>33963</v>
      </c>
      <c r="O719" s="7">
        <v>39971.30000000001</v>
      </c>
      <c r="P719" s="7">
        <f t="shared" si="111"/>
        <v>45421.931818181831</v>
      </c>
      <c r="Q719" s="7">
        <v>46343</v>
      </c>
      <c r="R719" s="7">
        <v>0</v>
      </c>
      <c r="S719" s="7">
        <f t="shared" si="112"/>
        <v>0</v>
      </c>
      <c r="T719" s="2">
        <v>7619</v>
      </c>
      <c r="U719" s="7">
        <f t="shared" si="110"/>
        <v>435701.51011363644</v>
      </c>
      <c r="V719" s="7">
        <f t="shared" si="113"/>
        <v>57.186180616043636</v>
      </c>
      <c r="W719" s="17"/>
      <c r="X719" s="11"/>
      <c r="AA719" s="11"/>
      <c r="AB719" s="11"/>
      <c r="AC719" s="11"/>
      <c r="AD719" s="11"/>
      <c r="AE719" s="11"/>
    </row>
    <row r="720" spans="1:31" x14ac:dyDescent="0.25">
      <c r="A720" s="15" t="s">
        <v>1</v>
      </c>
      <c r="B720" s="21">
        <v>45891</v>
      </c>
      <c r="C720" s="7">
        <v>5160</v>
      </c>
      <c r="D720" s="7">
        <v>14740.20000000033</v>
      </c>
      <c r="E720" s="7">
        <v>0</v>
      </c>
      <c r="F720" s="7">
        <v>415</v>
      </c>
      <c r="G720" s="7">
        <v>6614</v>
      </c>
      <c r="H720" s="7">
        <v>9516</v>
      </c>
      <c r="I720" s="7">
        <v>0</v>
      </c>
      <c r="J720" s="2">
        <v>33.349998474121087</v>
      </c>
      <c r="K720" s="23">
        <f t="shared" si="109"/>
        <v>51319.868000000177</v>
      </c>
      <c r="L720" s="23">
        <f t="shared" si="114"/>
        <v>7.759278500151221</v>
      </c>
      <c r="M720" s="12" t="s">
        <v>11</v>
      </c>
      <c r="N720" s="7">
        <v>36162</v>
      </c>
      <c r="O720" s="7">
        <v>45298.490000000005</v>
      </c>
      <c r="P720" s="7">
        <f t="shared" si="111"/>
        <v>51475.556818181823</v>
      </c>
      <c r="Q720" s="7">
        <v>52926</v>
      </c>
      <c r="R720" s="7">
        <v>0</v>
      </c>
      <c r="S720" s="7">
        <f t="shared" si="112"/>
        <v>0</v>
      </c>
      <c r="T720" s="2">
        <v>8781</v>
      </c>
      <c r="U720" s="7">
        <f t="shared" si="110"/>
        <v>494188.25073863642</v>
      </c>
      <c r="V720" s="7">
        <f t="shared" si="113"/>
        <v>56.279267821277351</v>
      </c>
      <c r="W720" s="17"/>
      <c r="X720" s="11"/>
      <c r="AA720" s="11"/>
      <c r="AB720" s="11"/>
      <c r="AC720" s="11"/>
      <c r="AD720" s="11"/>
      <c r="AE720" s="11"/>
    </row>
    <row r="721" spans="1:31" x14ac:dyDescent="0.25">
      <c r="A721" s="15" t="s">
        <v>1</v>
      </c>
      <c r="B721" s="21">
        <v>45892</v>
      </c>
      <c r="C721" s="7">
        <v>4910</v>
      </c>
      <c r="D721" s="7">
        <v>13155.600000000994</v>
      </c>
      <c r="E721" s="7">
        <v>0</v>
      </c>
      <c r="F721" s="7">
        <v>58</v>
      </c>
      <c r="G721" s="7">
        <v>6039</v>
      </c>
      <c r="H721" s="7">
        <v>9630</v>
      </c>
      <c r="I721" s="7">
        <v>0</v>
      </c>
      <c r="J721" s="2">
        <v>29.35000038146973</v>
      </c>
      <c r="K721" s="23">
        <f t="shared" si="109"/>
        <v>46678.934000000532</v>
      </c>
      <c r="L721" s="23">
        <f t="shared" si="114"/>
        <v>7.7295800629244136</v>
      </c>
      <c r="M721" s="12" t="s">
        <v>11</v>
      </c>
      <c r="N721" s="7">
        <v>36076</v>
      </c>
      <c r="O721" s="7">
        <v>44107.549999999988</v>
      </c>
      <c r="P721" s="7">
        <f t="shared" si="111"/>
        <v>50122.215909090897</v>
      </c>
      <c r="Q721" s="7">
        <v>50921</v>
      </c>
      <c r="R721" s="7">
        <v>0</v>
      </c>
      <c r="S721" s="7">
        <f t="shared" si="112"/>
        <v>0</v>
      </c>
      <c r="T721" s="2">
        <v>8272</v>
      </c>
      <c r="U721" s="7">
        <f t="shared" si="110"/>
        <v>479134.80630681815</v>
      </c>
      <c r="V721" s="7">
        <f t="shared" si="113"/>
        <v>57.922486255659834</v>
      </c>
      <c r="W721" s="17"/>
      <c r="X721" s="11"/>
      <c r="AA721" s="11"/>
      <c r="AB721" s="11"/>
      <c r="AC721" s="11"/>
      <c r="AD721" s="11"/>
      <c r="AE721" s="11"/>
    </row>
    <row r="722" spans="1:31" x14ac:dyDescent="0.25">
      <c r="A722" s="15" t="s">
        <v>1</v>
      </c>
      <c r="B722" s="21">
        <v>45893</v>
      </c>
      <c r="C722" s="7">
        <v>3510</v>
      </c>
      <c r="D722" s="7">
        <v>14785.800000001325</v>
      </c>
      <c r="E722" s="7">
        <v>0</v>
      </c>
      <c r="F722" s="7">
        <v>0</v>
      </c>
      <c r="G722" s="7">
        <v>8451</v>
      </c>
      <c r="H722" s="7">
        <v>10384</v>
      </c>
      <c r="I722" s="7">
        <v>0</v>
      </c>
      <c r="J722" s="2">
        <v>30.85000038146973</v>
      </c>
      <c r="K722" s="23">
        <f t="shared" si="109"/>
        <v>36067.842000000717</v>
      </c>
      <c r="L722" s="23">
        <f t="shared" si="114"/>
        <v>4.2678785942492858</v>
      </c>
      <c r="M722" s="12" t="s">
        <v>11</v>
      </c>
      <c r="N722" s="7">
        <v>36301</v>
      </c>
      <c r="O722" s="7">
        <v>45500.42</v>
      </c>
      <c r="P722" s="7">
        <f t="shared" si="111"/>
        <v>51705.022727272728</v>
      </c>
      <c r="Q722" s="7">
        <v>55702</v>
      </c>
      <c r="R722" s="7">
        <v>0</v>
      </c>
      <c r="S722" s="7">
        <f t="shared" si="112"/>
        <v>0</v>
      </c>
      <c r="T722" s="2">
        <v>9243</v>
      </c>
      <c r="U722" s="7">
        <f t="shared" si="110"/>
        <v>506844.31829545461</v>
      </c>
      <c r="V722" s="7">
        <f t="shared" si="113"/>
        <v>54.835477474354064</v>
      </c>
      <c r="W722" s="17"/>
      <c r="X722" s="11"/>
      <c r="AA722" s="11"/>
      <c r="AB722" s="11"/>
      <c r="AC722" s="11"/>
      <c r="AD722" s="11"/>
      <c r="AE722" s="11"/>
    </row>
    <row r="723" spans="1:31" x14ac:dyDescent="0.25">
      <c r="A723" s="15" t="s">
        <v>1</v>
      </c>
      <c r="B723" s="21">
        <v>45894</v>
      </c>
      <c r="C723" s="8">
        <v>4416</v>
      </c>
      <c r="D723" s="8">
        <v>8869.1999999986729</v>
      </c>
      <c r="E723" s="8">
        <v>0</v>
      </c>
      <c r="F723" s="7">
        <v>0</v>
      </c>
      <c r="G723" s="8">
        <v>6803</v>
      </c>
      <c r="H723" s="8">
        <v>7197</v>
      </c>
      <c r="I723" s="8">
        <v>0</v>
      </c>
      <c r="J723" s="2">
        <v>31.04999923706055</v>
      </c>
      <c r="K723" s="23">
        <f t="shared" si="109"/>
        <v>40121.783999999279</v>
      </c>
      <c r="L723" s="23">
        <f t="shared" si="114"/>
        <v>5.8976604439216933</v>
      </c>
      <c r="M723" s="12" t="s">
        <v>11</v>
      </c>
      <c r="N723" s="8">
        <v>32712</v>
      </c>
      <c r="O723" s="8">
        <v>40085.200000000012</v>
      </c>
      <c r="P723" s="7">
        <f t="shared" si="111"/>
        <v>45551.363636363647</v>
      </c>
      <c r="Q723" s="8">
        <v>45334</v>
      </c>
      <c r="R723" s="8">
        <v>0</v>
      </c>
      <c r="S723" s="7">
        <f t="shared" si="112"/>
        <v>0</v>
      </c>
      <c r="T723" s="2">
        <v>7684</v>
      </c>
      <c r="U723" s="7">
        <f t="shared" si="110"/>
        <v>431514.10772727279</v>
      </c>
      <c r="V723" s="7">
        <f t="shared" si="113"/>
        <v>56.157484087359812</v>
      </c>
      <c r="W723" s="17"/>
      <c r="X723" s="11"/>
      <c r="AA723" s="11"/>
      <c r="AB723" s="11"/>
      <c r="AC723" s="11"/>
      <c r="AD723" s="11"/>
      <c r="AE723" s="11"/>
    </row>
    <row r="724" spans="1:31" x14ac:dyDescent="0.25">
      <c r="A724" s="15" t="s">
        <v>1</v>
      </c>
      <c r="B724" s="21">
        <v>45895</v>
      </c>
      <c r="C724" s="9">
        <v>6594</v>
      </c>
      <c r="D724" s="9">
        <v>14101.799999998837</v>
      </c>
      <c r="E724" s="9">
        <v>2700</v>
      </c>
      <c r="F724" s="9">
        <v>0</v>
      </c>
      <c r="G724" s="9">
        <v>9703</v>
      </c>
      <c r="H724" s="9">
        <v>9417</v>
      </c>
      <c r="I724" s="9">
        <v>34423</v>
      </c>
      <c r="J724" s="2">
        <v>31.5</v>
      </c>
      <c r="K724" s="23">
        <f t="shared" si="109"/>
        <v>81973.565999999366</v>
      </c>
      <c r="L724" s="23">
        <f t="shared" si="114"/>
        <v>8.4482702257033253</v>
      </c>
      <c r="M724" s="12" t="s">
        <v>11</v>
      </c>
      <c r="N724" s="9">
        <v>31833</v>
      </c>
      <c r="O724" s="9">
        <v>41098.490000000005</v>
      </c>
      <c r="P724" s="7">
        <f t="shared" si="111"/>
        <v>46702.829545454551</v>
      </c>
      <c r="Q724" s="9">
        <v>39324</v>
      </c>
      <c r="R724" s="9">
        <v>0</v>
      </c>
      <c r="S724" s="7">
        <f t="shared" si="112"/>
        <v>0</v>
      </c>
      <c r="T724" s="2">
        <v>6931</v>
      </c>
      <c r="U724" s="7">
        <f t="shared" si="110"/>
        <v>412018.30528409092</v>
      </c>
      <c r="V724" s="7">
        <f t="shared" si="113"/>
        <v>59.445722880405555</v>
      </c>
      <c r="W724" s="17"/>
      <c r="X724" s="11"/>
      <c r="AA724" s="11"/>
      <c r="AB724" s="11"/>
      <c r="AC724" s="11"/>
      <c r="AD724" s="11"/>
      <c r="AE724" s="11"/>
    </row>
    <row r="725" spans="1:31" x14ac:dyDescent="0.25">
      <c r="A725" s="15" t="s">
        <v>1</v>
      </c>
      <c r="B725" s="21">
        <v>45896</v>
      </c>
      <c r="C725" s="10">
        <v>3592</v>
      </c>
      <c r="D725" s="10">
        <v>13075.800000001323</v>
      </c>
      <c r="E725" s="10">
        <v>0</v>
      </c>
      <c r="F725" s="10">
        <v>0</v>
      </c>
      <c r="G725" s="10">
        <v>10576</v>
      </c>
      <c r="H725" s="10">
        <v>8892</v>
      </c>
      <c r="I725" s="10">
        <v>0</v>
      </c>
      <c r="J725" s="2">
        <v>29.70000076293945</v>
      </c>
      <c r="K725" s="23">
        <f t="shared" si="109"/>
        <v>35800.524000000711</v>
      </c>
      <c r="L725" s="23">
        <f t="shared" si="114"/>
        <v>3.3850722390318371</v>
      </c>
      <c r="M725" s="12" t="s">
        <v>11</v>
      </c>
      <c r="N725" s="10">
        <v>33571</v>
      </c>
      <c r="O725" s="10">
        <v>48507.12999999999</v>
      </c>
      <c r="P725" s="7">
        <f t="shared" si="111"/>
        <v>55121.738636363625</v>
      </c>
      <c r="Q725" s="10">
        <v>44182</v>
      </c>
      <c r="R725" s="10">
        <v>6646.1800000000112</v>
      </c>
      <c r="S725" s="7">
        <f t="shared" si="112"/>
        <v>8861.5733333333483</v>
      </c>
      <c r="T725" s="2">
        <v>8444</v>
      </c>
      <c r="U725" s="7">
        <f t="shared" si="110"/>
        <v>553985.28123560618</v>
      </c>
      <c r="V725" s="7">
        <f t="shared" si="113"/>
        <v>65.606973144908352</v>
      </c>
      <c r="W725" s="17"/>
      <c r="X725" s="11"/>
      <c r="AA725" s="11"/>
      <c r="AB725" s="11"/>
      <c r="AC725" s="11"/>
      <c r="AD725" s="11"/>
      <c r="AE725" s="11"/>
    </row>
    <row r="726" spans="1:31" x14ac:dyDescent="0.25">
      <c r="A726" s="15" t="s">
        <v>1</v>
      </c>
      <c r="B726" s="21">
        <v>45897</v>
      </c>
      <c r="C726" s="7">
        <v>2596</v>
      </c>
      <c r="D726" s="7">
        <v>13041.599999998505</v>
      </c>
      <c r="E726" s="7">
        <v>3350</v>
      </c>
      <c r="F726" s="7">
        <v>0</v>
      </c>
      <c r="G726" s="7">
        <v>8052</v>
      </c>
      <c r="H726" s="7">
        <v>7748</v>
      </c>
      <c r="I726" s="7">
        <v>22324</v>
      </c>
      <c r="J726" s="2">
        <v>30.14999961853027</v>
      </c>
      <c r="K726" s="23">
        <f t="shared" si="109"/>
        <v>54613.05999999919</v>
      </c>
      <c r="L726" s="23">
        <f t="shared" si="114"/>
        <v>6.7825459513163429</v>
      </c>
      <c r="M726" s="12" t="s">
        <v>11</v>
      </c>
      <c r="N726" s="7">
        <v>33807</v>
      </c>
      <c r="O726" s="7">
        <v>47332.87000000001</v>
      </c>
      <c r="P726" s="7">
        <f t="shared" si="111"/>
        <v>53787.352272727287</v>
      </c>
      <c r="Q726" s="7">
        <v>44772</v>
      </c>
      <c r="R726" s="7">
        <v>0</v>
      </c>
      <c r="S726" s="7">
        <f t="shared" si="112"/>
        <v>0</v>
      </c>
      <c r="T726" s="2">
        <v>7218</v>
      </c>
      <c r="U726" s="7">
        <f t="shared" si="110"/>
        <v>470846.37107954558</v>
      </c>
      <c r="V726" s="7">
        <f t="shared" si="113"/>
        <v>65.232248694866385</v>
      </c>
      <c r="W726" s="17"/>
      <c r="X726" s="11"/>
      <c r="AA726" s="11"/>
      <c r="AB726" s="11"/>
      <c r="AC726" s="11"/>
      <c r="AD726" s="11"/>
      <c r="AE726" s="11"/>
    </row>
    <row r="727" spans="1:31" x14ac:dyDescent="0.25">
      <c r="A727" s="15" t="s">
        <v>1</v>
      </c>
      <c r="B727" s="21">
        <v>45898</v>
      </c>
      <c r="C727" s="7">
        <v>4750</v>
      </c>
      <c r="D727" s="7">
        <v>15002.399999999834</v>
      </c>
      <c r="E727" s="7">
        <v>4250</v>
      </c>
      <c r="F727" s="7">
        <v>0</v>
      </c>
      <c r="G727" s="7">
        <v>9508</v>
      </c>
      <c r="H727" s="7">
        <v>9523</v>
      </c>
      <c r="I727" s="7">
        <v>42357</v>
      </c>
      <c r="J727" s="2">
        <v>33.650001525878913</v>
      </c>
      <c r="K727" s="23">
        <f t="shared" si="109"/>
        <v>80106.045999999915</v>
      </c>
      <c r="L727" s="23">
        <f t="shared" si="114"/>
        <v>8.4251205300799246</v>
      </c>
      <c r="M727" s="12" t="s">
        <v>11</v>
      </c>
      <c r="N727" s="7">
        <v>34203</v>
      </c>
      <c r="O727" s="7">
        <v>46154.5</v>
      </c>
      <c r="P727" s="7">
        <f t="shared" si="111"/>
        <v>52448.295454545456</v>
      </c>
      <c r="Q727" s="7">
        <v>45284</v>
      </c>
      <c r="R727" s="7">
        <v>4377.7399999999907</v>
      </c>
      <c r="S727" s="7">
        <f t="shared" si="112"/>
        <v>5836.9866666666539</v>
      </c>
      <c r="T727" s="2">
        <v>7876</v>
      </c>
      <c r="U727" s="7">
        <f t="shared" si="110"/>
        <v>518560.37390757567</v>
      </c>
      <c r="V727" s="7">
        <f t="shared" si="113"/>
        <v>65.840575661195487</v>
      </c>
      <c r="W727" s="17"/>
      <c r="X727" s="11"/>
      <c r="AA727" s="11"/>
      <c r="AB727" s="11"/>
      <c r="AC727" s="11"/>
      <c r="AD727" s="11"/>
      <c r="AE727" s="11"/>
    </row>
    <row r="728" spans="1:31" x14ac:dyDescent="0.25">
      <c r="A728" s="15" t="s">
        <v>1</v>
      </c>
      <c r="B728" s="21">
        <v>45899</v>
      </c>
      <c r="C728" s="7">
        <v>4744</v>
      </c>
      <c r="D728" s="7">
        <v>15389.999999999998</v>
      </c>
      <c r="E728" s="7">
        <v>0</v>
      </c>
      <c r="F728" s="7">
        <v>0</v>
      </c>
      <c r="G728" s="7">
        <v>8367</v>
      </c>
      <c r="H728" s="7">
        <v>9521</v>
      </c>
      <c r="I728" s="7">
        <v>0</v>
      </c>
      <c r="J728" s="2">
        <v>32</v>
      </c>
      <c r="K728" s="23">
        <f t="shared" si="109"/>
        <v>46267.343999999997</v>
      </c>
      <c r="L728" s="23">
        <f t="shared" si="114"/>
        <v>5.529741125851559</v>
      </c>
      <c r="M728" s="12" t="s">
        <v>11</v>
      </c>
      <c r="N728" s="8">
        <v>36822</v>
      </c>
      <c r="O728" s="8">
        <v>45964.709999999992</v>
      </c>
      <c r="P728" s="7">
        <f t="shared" si="111"/>
        <v>52232.624999999993</v>
      </c>
      <c r="Q728" s="8">
        <v>59024</v>
      </c>
      <c r="R728" s="8">
        <v>0</v>
      </c>
      <c r="S728" s="7">
        <f t="shared" si="112"/>
        <v>0</v>
      </c>
      <c r="T728" s="2">
        <v>8272</v>
      </c>
      <c r="U728" s="7">
        <f t="shared" si="110"/>
        <v>523442.39562499995</v>
      </c>
      <c r="V728" s="7">
        <f t="shared" si="113"/>
        <v>63.2788195871615</v>
      </c>
      <c r="W728" s="17"/>
      <c r="X728" s="11"/>
      <c r="AA728" s="11"/>
      <c r="AB728" s="11"/>
      <c r="AC728" s="11"/>
      <c r="AD728" s="11"/>
      <c r="AE728" s="11"/>
    </row>
    <row r="729" spans="1:31" x14ac:dyDescent="0.25">
      <c r="A729" s="15" t="s">
        <v>1</v>
      </c>
      <c r="B729" s="21">
        <v>45900</v>
      </c>
      <c r="C729" s="7">
        <v>3920</v>
      </c>
      <c r="D729" s="7">
        <v>12608.400000001491</v>
      </c>
      <c r="E729" s="7">
        <v>0</v>
      </c>
      <c r="F729" s="7">
        <v>0</v>
      </c>
      <c r="G729" s="7">
        <v>6524</v>
      </c>
      <c r="H729" s="7">
        <v>7461</v>
      </c>
      <c r="I729" s="7">
        <v>0</v>
      </c>
      <c r="J729" s="2">
        <v>28.5</v>
      </c>
      <c r="K729" s="23">
        <f t="shared" si="109"/>
        <v>38172.456000000806</v>
      </c>
      <c r="L729" s="23">
        <f t="shared" si="114"/>
        <v>5.8510815450645008</v>
      </c>
      <c r="M729" s="12" t="s">
        <v>11</v>
      </c>
      <c r="N729" s="7">
        <v>35988</v>
      </c>
      <c r="O729" s="7">
        <v>39464.650000000023</v>
      </c>
      <c r="P729" s="7">
        <f t="shared" si="111"/>
        <v>44846.193181818206</v>
      </c>
      <c r="Q729" s="7">
        <v>55848</v>
      </c>
      <c r="R729" s="7">
        <v>0</v>
      </c>
      <c r="S729" s="7">
        <f t="shared" si="112"/>
        <v>0</v>
      </c>
      <c r="T729" s="2">
        <v>6841</v>
      </c>
      <c r="U729" s="7">
        <f t="shared" si="110"/>
        <v>473085.55301136378</v>
      </c>
      <c r="V729" s="7">
        <f t="shared" si="113"/>
        <v>69.154444234960351</v>
      </c>
      <c r="W729" s="17"/>
      <c r="X729" s="11"/>
      <c r="AA729" s="11"/>
      <c r="AB729" s="11"/>
      <c r="AC729" s="11"/>
      <c r="AD729" s="11"/>
      <c r="AE729" s="11"/>
    </row>
    <row r="730" spans="1:31" x14ac:dyDescent="0.25">
      <c r="A730" s="15" t="s">
        <v>1</v>
      </c>
      <c r="B730" s="21">
        <v>45901</v>
      </c>
      <c r="C730" s="7">
        <v>5659</v>
      </c>
      <c r="D730" s="7">
        <v>8139.5999999993355</v>
      </c>
      <c r="E730" s="7">
        <v>0</v>
      </c>
      <c r="F730" s="7">
        <v>551</v>
      </c>
      <c r="G730" s="7">
        <v>8119</v>
      </c>
      <c r="H730" s="7">
        <v>5547</v>
      </c>
      <c r="I730" s="7">
        <v>0</v>
      </c>
      <c r="J730" s="2">
        <v>30.85000038146973</v>
      </c>
      <c r="K730" s="23">
        <f>C730*7.9+D730*0.54+E730*7.8+F730*5</f>
        <v>51856.48399999964</v>
      </c>
      <c r="L730" s="23">
        <f t="shared" si="114"/>
        <v>6.3870530853552951</v>
      </c>
      <c r="M730" s="12" t="s">
        <v>11</v>
      </c>
      <c r="N730" s="7">
        <v>33390</v>
      </c>
      <c r="O730" s="7">
        <v>41166.889999999985</v>
      </c>
      <c r="P730" s="7">
        <f t="shared" si="111"/>
        <v>46780.556818181802</v>
      </c>
      <c r="Q730" s="7">
        <v>52458</v>
      </c>
      <c r="R730" s="7">
        <v>0</v>
      </c>
      <c r="S730" s="7">
        <f t="shared" si="112"/>
        <v>0</v>
      </c>
      <c r="T730" s="2">
        <v>7070</v>
      </c>
      <c r="U730" s="7">
        <f>N730*0.54+P730*4.916+Q730*4.18+S730*8.75</f>
        <v>467278.25731818174</v>
      </c>
      <c r="V730" s="7">
        <f t="shared" si="113"/>
        <v>66.093105702713117</v>
      </c>
      <c r="W730" s="17"/>
      <c r="X730" s="11"/>
      <c r="AA730" s="11"/>
      <c r="AB730" s="11"/>
      <c r="AC730" s="11"/>
      <c r="AD730" s="11"/>
      <c r="AE730" s="11"/>
    </row>
    <row r="731" spans="1:31" x14ac:dyDescent="0.25">
      <c r="A731" s="15" t="s">
        <v>1</v>
      </c>
      <c r="B731" s="21">
        <v>45902</v>
      </c>
      <c r="C731" s="7">
        <v>3444</v>
      </c>
      <c r="D731" s="7">
        <v>14021.999999999169</v>
      </c>
      <c r="E731" s="7">
        <v>3850</v>
      </c>
      <c r="F731" s="7">
        <v>384</v>
      </c>
      <c r="G731" s="7">
        <v>8784</v>
      </c>
      <c r="H731" s="7">
        <v>9355</v>
      </c>
      <c r="I731" s="7">
        <v>25582</v>
      </c>
      <c r="J731" s="2">
        <v>32.650001525878913</v>
      </c>
      <c r="K731" s="23">
        <f t="shared" ref="K731:K759" si="115">C731*7.9+D731*0.54+E731*7.8+F731*5</f>
        <v>66729.479999999545</v>
      </c>
      <c r="L731" s="23">
        <f t="shared" si="114"/>
        <v>7.5967076502731725</v>
      </c>
      <c r="M731" s="12" t="s">
        <v>11</v>
      </c>
      <c r="N731" s="7">
        <v>21997</v>
      </c>
      <c r="O731" s="7">
        <v>17805.37999999999</v>
      </c>
      <c r="P731" s="7">
        <f t="shared" si="111"/>
        <v>20233.386363636353</v>
      </c>
      <c r="Q731" s="7">
        <v>32955</v>
      </c>
      <c r="R731" s="7">
        <v>0</v>
      </c>
      <c r="S731" s="7">
        <f t="shared" si="112"/>
        <v>0</v>
      </c>
      <c r="T731" s="2">
        <v>3715</v>
      </c>
      <c r="U731" s="7">
        <f t="shared" ref="U731:U759" si="116">N731*0.54+P731*4.916+Q731*4.18+S731*8.75</f>
        <v>249097.60736363631</v>
      </c>
      <c r="V731" s="7">
        <f t="shared" si="113"/>
        <v>67.051845858313953</v>
      </c>
      <c r="W731" s="17"/>
      <c r="X731" s="11"/>
      <c r="AA731" s="11"/>
      <c r="AB731" s="11"/>
      <c r="AC731" s="11"/>
      <c r="AD731" s="11"/>
      <c r="AE731" s="11"/>
    </row>
    <row r="732" spans="1:31" x14ac:dyDescent="0.25">
      <c r="A732" s="15" t="s">
        <v>1</v>
      </c>
      <c r="B732" s="21">
        <v>45903</v>
      </c>
      <c r="C732" s="7">
        <v>4830</v>
      </c>
      <c r="D732" s="7">
        <v>13543.200000001161</v>
      </c>
      <c r="E732" s="7">
        <v>0</v>
      </c>
      <c r="F732" s="7">
        <v>294</v>
      </c>
      <c r="G732" s="7">
        <v>9873</v>
      </c>
      <c r="H732" s="7">
        <v>9334</v>
      </c>
      <c r="I732" s="7">
        <v>0</v>
      </c>
      <c r="J732" s="2">
        <v>33.200000762939453</v>
      </c>
      <c r="K732" s="23">
        <f t="shared" si="115"/>
        <v>46940.328000000627</v>
      </c>
      <c r="L732" s="23">
        <f t="shared" si="114"/>
        <v>4.7544138559708928</v>
      </c>
      <c r="M732" s="12" t="s">
        <v>11</v>
      </c>
      <c r="N732" s="7">
        <v>32454</v>
      </c>
      <c r="O732" s="7">
        <v>21388.280000000013</v>
      </c>
      <c r="P732" s="7">
        <f t="shared" si="111"/>
        <v>24304.863636363651</v>
      </c>
      <c r="Q732" s="7">
        <v>66145</v>
      </c>
      <c r="R732" s="7">
        <v>0</v>
      </c>
      <c r="S732" s="7">
        <f t="shared" si="112"/>
        <v>0</v>
      </c>
      <c r="T732" s="2">
        <v>6926</v>
      </c>
      <c r="U732" s="7">
        <f t="shared" si="116"/>
        <v>413493.96963636368</v>
      </c>
      <c r="V732" s="7">
        <f t="shared" si="113"/>
        <v>59.701699341086297</v>
      </c>
      <c r="W732" s="17"/>
      <c r="X732" s="11"/>
      <c r="AA732" s="11"/>
      <c r="AB732" s="11"/>
      <c r="AC732" s="11"/>
      <c r="AD732" s="11"/>
      <c r="AE732" s="11"/>
    </row>
    <row r="733" spans="1:31" x14ac:dyDescent="0.25">
      <c r="A733" s="15" t="s">
        <v>1</v>
      </c>
      <c r="B733" s="21">
        <v>45904</v>
      </c>
      <c r="C733" s="7">
        <v>5247</v>
      </c>
      <c r="D733" s="7">
        <v>10390</v>
      </c>
      <c r="E733" s="7">
        <v>4375</v>
      </c>
      <c r="F733" s="7">
        <v>121</v>
      </c>
      <c r="G733" s="7">
        <v>8781</v>
      </c>
      <c r="H733" s="7">
        <v>5205</v>
      </c>
      <c r="I733" s="7">
        <v>29160</v>
      </c>
      <c r="J733" s="2">
        <v>35.650001525878913</v>
      </c>
      <c r="K733" s="23">
        <f t="shared" si="115"/>
        <v>81791.899999999994</v>
      </c>
      <c r="L733" s="23">
        <f t="shared" si="114"/>
        <v>9.3146452568044626</v>
      </c>
      <c r="M733" s="12" t="s">
        <v>11</v>
      </c>
      <c r="N733" s="7">
        <v>24803</v>
      </c>
      <c r="O733" s="7">
        <v>21943.989999999991</v>
      </c>
      <c r="P733" s="7">
        <f t="shared" si="111"/>
        <v>24936.352272727261</v>
      </c>
      <c r="Q733" s="7">
        <v>48760</v>
      </c>
      <c r="R733" s="7">
        <v>0</v>
      </c>
      <c r="S733" s="7">
        <f t="shared" si="112"/>
        <v>0</v>
      </c>
      <c r="T733" s="2">
        <v>5050</v>
      </c>
      <c r="U733" s="7">
        <f t="shared" si="116"/>
        <v>339797.52777272719</v>
      </c>
      <c r="V733" s="7">
        <f t="shared" si="113"/>
        <v>67.286639162916273</v>
      </c>
      <c r="W733" s="17"/>
      <c r="X733" s="11"/>
      <c r="AA733" s="11"/>
      <c r="AB733" s="11"/>
      <c r="AC733" s="11"/>
      <c r="AD733" s="11"/>
      <c r="AE733" s="11"/>
    </row>
    <row r="734" spans="1:31" x14ac:dyDescent="0.25">
      <c r="A734" s="15" t="s">
        <v>1</v>
      </c>
      <c r="B734" s="21">
        <v>45905</v>
      </c>
      <c r="C734" s="8">
        <v>3920</v>
      </c>
      <c r="D734" s="8">
        <v>15104.999999999998</v>
      </c>
      <c r="E734" s="8">
        <v>0</v>
      </c>
      <c r="F734" s="7">
        <v>0</v>
      </c>
      <c r="G734" s="8">
        <v>7678</v>
      </c>
      <c r="H734" s="8">
        <v>8388</v>
      </c>
      <c r="I734" s="8">
        <v>0</v>
      </c>
      <c r="J734" s="2">
        <v>35.349998474121087</v>
      </c>
      <c r="K734" s="23">
        <f t="shared" si="115"/>
        <v>39124.699999999997</v>
      </c>
      <c r="L734" s="23">
        <f t="shared" si="114"/>
        <v>5.0956889815056003</v>
      </c>
      <c r="M734" s="12" t="s">
        <v>11</v>
      </c>
      <c r="N734" s="8">
        <v>28700</v>
      </c>
      <c r="O734" s="8">
        <v>32036.010000000009</v>
      </c>
      <c r="P734" s="7">
        <f t="shared" si="111"/>
        <v>36404.556818181831</v>
      </c>
      <c r="Q734" s="8">
        <v>58254</v>
      </c>
      <c r="R734" s="8">
        <v>0</v>
      </c>
      <c r="S734" s="7">
        <f t="shared" si="112"/>
        <v>0</v>
      </c>
      <c r="T734" s="2">
        <v>6968</v>
      </c>
      <c r="U734" s="7">
        <f t="shared" si="116"/>
        <v>437964.52131818188</v>
      </c>
      <c r="V734" s="7">
        <f t="shared" si="113"/>
        <v>62.853691348763185</v>
      </c>
      <c r="W734" s="17"/>
      <c r="X734" s="11"/>
      <c r="AA734" s="11"/>
      <c r="AB734" s="11"/>
      <c r="AC734" s="11"/>
      <c r="AD734" s="11"/>
      <c r="AE734" s="11"/>
    </row>
    <row r="735" spans="1:31" x14ac:dyDescent="0.25">
      <c r="A735" s="15" t="s">
        <v>1</v>
      </c>
      <c r="B735" s="21">
        <v>45906</v>
      </c>
      <c r="C735" s="7">
        <v>2330</v>
      </c>
      <c r="D735" s="7">
        <v>13851.000000001659</v>
      </c>
      <c r="E735" s="7">
        <v>0</v>
      </c>
      <c r="F735" s="7">
        <v>47</v>
      </c>
      <c r="G735" s="7">
        <v>8102</v>
      </c>
      <c r="H735" s="7">
        <v>8102</v>
      </c>
      <c r="I735" s="7">
        <v>0</v>
      </c>
      <c r="J735" s="2">
        <v>35.700000762939453</v>
      </c>
      <c r="K735" s="23">
        <f t="shared" si="115"/>
        <v>26121.540000000896</v>
      </c>
      <c r="L735" s="23">
        <f t="shared" si="114"/>
        <v>3.2240854110097379</v>
      </c>
      <c r="M735" s="12" t="s">
        <v>11</v>
      </c>
      <c r="N735" s="7">
        <v>26216</v>
      </c>
      <c r="O735" s="7">
        <v>24607.369999999992</v>
      </c>
      <c r="P735" s="7">
        <f t="shared" si="111"/>
        <v>27962.920454545445</v>
      </c>
      <c r="Q735" s="7">
        <v>54537</v>
      </c>
      <c r="R735" s="7">
        <v>0</v>
      </c>
      <c r="S735" s="7">
        <f t="shared" si="112"/>
        <v>0</v>
      </c>
      <c r="T735" s="2">
        <v>5915</v>
      </c>
      <c r="U735" s="7">
        <f t="shared" si="116"/>
        <v>379587.0169545454</v>
      </c>
      <c r="V735" s="7">
        <f t="shared" si="113"/>
        <v>64.173629239990774</v>
      </c>
      <c r="W735" s="17"/>
      <c r="X735" s="11"/>
      <c r="AA735" s="11"/>
      <c r="AB735" s="11"/>
      <c r="AC735" s="11"/>
      <c r="AD735" s="11"/>
      <c r="AE735" s="11"/>
    </row>
    <row r="736" spans="1:31" x14ac:dyDescent="0.25">
      <c r="A736" s="15" t="s">
        <v>1</v>
      </c>
      <c r="B736" s="21">
        <v>45907</v>
      </c>
      <c r="C736" s="7">
        <v>4190</v>
      </c>
      <c r="D736" s="7">
        <v>15686.399999998173</v>
      </c>
      <c r="E736" s="7">
        <v>0</v>
      </c>
      <c r="F736" s="7">
        <v>32</v>
      </c>
      <c r="G736" s="7">
        <v>8671</v>
      </c>
      <c r="H736" s="7">
        <v>9338</v>
      </c>
      <c r="I736" s="7">
        <v>0</v>
      </c>
      <c r="J736" s="2">
        <v>32.700000762939453</v>
      </c>
      <c r="K736" s="23">
        <f t="shared" si="115"/>
        <v>41731.655999999013</v>
      </c>
      <c r="L736" s="23">
        <f t="shared" si="114"/>
        <v>4.8127846845806728</v>
      </c>
      <c r="M736" s="12" t="s">
        <v>11</v>
      </c>
      <c r="N736" s="7">
        <v>30022</v>
      </c>
      <c r="O736" s="7">
        <v>32500.300000000007</v>
      </c>
      <c r="P736" s="7">
        <f t="shared" si="111"/>
        <v>36932.159090909096</v>
      </c>
      <c r="Q736" s="7">
        <v>49115</v>
      </c>
      <c r="R736" s="7">
        <v>0</v>
      </c>
      <c r="S736" s="7">
        <f t="shared" si="112"/>
        <v>0</v>
      </c>
      <c r="T736" s="2">
        <v>6630</v>
      </c>
      <c r="U736" s="7">
        <f t="shared" si="116"/>
        <v>403071.0740909091</v>
      </c>
      <c r="V736" s="7">
        <f t="shared" si="113"/>
        <v>60.795033799533797</v>
      </c>
      <c r="W736" s="17"/>
      <c r="X736" s="11"/>
      <c r="AA736" s="11"/>
      <c r="AB736" s="11"/>
      <c r="AC736" s="11"/>
      <c r="AD736" s="11"/>
      <c r="AE736" s="11"/>
    </row>
    <row r="737" spans="1:31" x14ac:dyDescent="0.25">
      <c r="A737" s="15" t="s">
        <v>1</v>
      </c>
      <c r="B737" s="21">
        <v>45908</v>
      </c>
      <c r="C737" s="7">
        <v>4580</v>
      </c>
      <c r="D737" s="7">
        <v>10522.199999999502</v>
      </c>
      <c r="E737" s="7">
        <v>0</v>
      </c>
      <c r="F737" s="7">
        <v>0</v>
      </c>
      <c r="G737" s="7">
        <v>9791</v>
      </c>
      <c r="H737" s="7">
        <v>6365</v>
      </c>
      <c r="I737" s="7">
        <v>0</v>
      </c>
      <c r="J737" s="2">
        <v>26.75</v>
      </c>
      <c r="K737" s="23">
        <f t="shared" si="115"/>
        <v>41863.987999999736</v>
      </c>
      <c r="L737" s="23">
        <f t="shared" si="114"/>
        <v>4.2757622306199297</v>
      </c>
      <c r="M737" s="12" t="s">
        <v>11</v>
      </c>
      <c r="N737" s="7">
        <v>28243</v>
      </c>
      <c r="O737" s="7">
        <v>33316.740000000005</v>
      </c>
      <c r="P737" s="7">
        <f t="shared" si="111"/>
        <v>37859.931818181823</v>
      </c>
      <c r="Q737" s="7">
        <v>49497</v>
      </c>
      <c r="R737" s="7">
        <v>0</v>
      </c>
      <c r="S737" s="7">
        <f t="shared" si="112"/>
        <v>0</v>
      </c>
      <c r="T737" s="2">
        <v>6747</v>
      </c>
      <c r="U737" s="7">
        <f t="shared" si="116"/>
        <v>408268.10481818183</v>
      </c>
      <c r="V737" s="7">
        <f t="shared" si="113"/>
        <v>60.511057480092163</v>
      </c>
      <c r="W737" s="17"/>
      <c r="X737" s="11"/>
      <c r="AA737" s="11"/>
      <c r="AB737" s="11"/>
      <c r="AC737" s="11"/>
      <c r="AD737" s="11"/>
      <c r="AE737" s="11"/>
    </row>
    <row r="738" spans="1:31" x14ac:dyDescent="0.25">
      <c r="A738" s="15" t="s">
        <v>1</v>
      </c>
      <c r="B738" s="21">
        <v>45909</v>
      </c>
      <c r="C738" s="7">
        <v>3550</v>
      </c>
      <c r="D738" s="7">
        <v>16963.200000001161</v>
      </c>
      <c r="E738" s="7">
        <v>7500</v>
      </c>
      <c r="F738" s="7">
        <v>0</v>
      </c>
      <c r="G738" s="7">
        <v>13356</v>
      </c>
      <c r="H738" s="7">
        <v>9407</v>
      </c>
      <c r="I738" s="7">
        <v>85693</v>
      </c>
      <c r="J738" s="2">
        <v>29.20000076293945</v>
      </c>
      <c r="K738" s="23">
        <f t="shared" si="115"/>
        <v>95705.128000000637</v>
      </c>
      <c r="L738" s="23">
        <f t="shared" si="114"/>
        <v>7.1657029050614431</v>
      </c>
      <c r="M738" s="12" t="s">
        <v>11</v>
      </c>
      <c r="N738" s="7">
        <v>30593</v>
      </c>
      <c r="O738" s="7">
        <v>36801.269999999997</v>
      </c>
      <c r="P738" s="7">
        <f t="shared" si="111"/>
        <v>41819.624999999993</v>
      </c>
      <c r="Q738" s="7">
        <v>50966</v>
      </c>
      <c r="R738" s="7">
        <v>8319.8800000000047</v>
      </c>
      <c r="S738" s="7">
        <f t="shared" si="112"/>
        <v>11093.17333333334</v>
      </c>
      <c r="T738" s="2">
        <v>7129</v>
      </c>
      <c r="U738" s="7">
        <f t="shared" si="116"/>
        <v>532208.64316666662</v>
      </c>
      <c r="V738" s="7">
        <f t="shared" si="113"/>
        <v>74.654038878758115</v>
      </c>
      <c r="W738" s="17"/>
      <c r="X738" s="11"/>
      <c r="AA738" s="11"/>
      <c r="AB738" s="11"/>
      <c r="AC738" s="11"/>
      <c r="AD738" s="11"/>
      <c r="AE738" s="11"/>
    </row>
    <row r="739" spans="1:31" x14ac:dyDescent="0.25">
      <c r="A739" s="15" t="s">
        <v>1</v>
      </c>
      <c r="B739" s="21">
        <v>45910</v>
      </c>
      <c r="C739" s="8">
        <v>4610</v>
      </c>
      <c r="D739" s="8">
        <v>15829.999999998108</v>
      </c>
      <c r="E739" s="8">
        <v>0</v>
      </c>
      <c r="F739" s="7">
        <v>0</v>
      </c>
      <c r="G739" s="8">
        <v>12471</v>
      </c>
      <c r="H739" s="8">
        <v>10176</v>
      </c>
      <c r="I739" s="8">
        <v>0</v>
      </c>
      <c r="J739" s="2">
        <v>33.25</v>
      </c>
      <c r="K739" s="23">
        <f t="shared" si="115"/>
        <v>44967.199999998978</v>
      </c>
      <c r="L739" s="23">
        <f t="shared" si="114"/>
        <v>3.6057413198619983</v>
      </c>
      <c r="M739" s="12" t="s">
        <v>11</v>
      </c>
      <c r="N739" s="8">
        <v>26203</v>
      </c>
      <c r="O739" s="8">
        <v>31851.30000000001</v>
      </c>
      <c r="P739" s="7">
        <f t="shared" si="111"/>
        <v>36194.659090909103</v>
      </c>
      <c r="Q739" s="8">
        <v>45112</v>
      </c>
      <c r="R739" s="8">
        <v>2623.1800000000108</v>
      </c>
      <c r="S739" s="7">
        <f t="shared" si="112"/>
        <v>3497.5733333333478</v>
      </c>
      <c r="T739" s="2">
        <v>6449</v>
      </c>
      <c r="U739" s="7">
        <f t="shared" si="116"/>
        <v>411254.4907575759</v>
      </c>
      <c r="V739" s="7">
        <f t="shared" si="113"/>
        <v>63.770273028000602</v>
      </c>
      <c r="W739" s="17"/>
      <c r="X739" s="11"/>
      <c r="AA739" s="11"/>
      <c r="AB739" s="11"/>
      <c r="AC739" s="11"/>
      <c r="AD739" s="11"/>
      <c r="AE739" s="11"/>
    </row>
    <row r="740" spans="1:31" x14ac:dyDescent="0.25">
      <c r="A740" s="15" t="s">
        <v>1</v>
      </c>
      <c r="B740" s="21">
        <v>45911</v>
      </c>
      <c r="C740" s="7">
        <v>5278</v>
      </c>
      <c r="D740" s="7">
        <v>15290.000000000873</v>
      </c>
      <c r="E740" s="7">
        <v>5750</v>
      </c>
      <c r="F740" s="7">
        <v>0</v>
      </c>
      <c r="G740" s="7">
        <v>11466</v>
      </c>
      <c r="H740" s="7">
        <v>10930</v>
      </c>
      <c r="I740" s="7">
        <v>66912</v>
      </c>
      <c r="J740" s="2">
        <v>36.349998474121087</v>
      </c>
      <c r="K740" s="23">
        <f t="shared" si="115"/>
        <v>94802.800000000483</v>
      </c>
      <c r="L740" s="23">
        <f t="shared" si="114"/>
        <v>8.268166753881081</v>
      </c>
      <c r="M740" s="12" t="s">
        <v>11</v>
      </c>
      <c r="N740" s="7">
        <v>27668</v>
      </c>
      <c r="O740" s="7">
        <v>26290.029999999992</v>
      </c>
      <c r="P740" s="7">
        <f t="shared" si="111"/>
        <v>29875.034090909081</v>
      </c>
      <c r="Q740" s="7">
        <v>46520</v>
      </c>
      <c r="R740" s="7">
        <v>11991.679999999977</v>
      </c>
      <c r="S740" s="7">
        <f t="shared" si="112"/>
        <v>15988.906666666635</v>
      </c>
      <c r="T740" s="2">
        <v>7477</v>
      </c>
      <c r="U740" s="7">
        <f t="shared" si="116"/>
        <v>496162.92092424206</v>
      </c>
      <c r="V740" s="7">
        <f t="shared" si="113"/>
        <v>66.358555694027288</v>
      </c>
      <c r="W740" s="17"/>
      <c r="X740" s="11"/>
      <c r="AA740" s="11"/>
      <c r="AB740" s="11"/>
      <c r="AC740" s="11"/>
      <c r="AD740" s="11"/>
      <c r="AE740" s="11"/>
    </row>
    <row r="741" spans="1:31" x14ac:dyDescent="0.25">
      <c r="A741" s="15" t="s">
        <v>1</v>
      </c>
      <c r="B741" s="21">
        <v>45912</v>
      </c>
      <c r="C741" s="7">
        <v>4133</v>
      </c>
      <c r="D741" s="7">
        <v>13850.000000002183</v>
      </c>
      <c r="E741" s="7">
        <v>0</v>
      </c>
      <c r="F741" s="7">
        <v>0</v>
      </c>
      <c r="G741" s="7">
        <v>9751</v>
      </c>
      <c r="H741" s="7">
        <v>9656</v>
      </c>
      <c r="I741" s="7">
        <v>0</v>
      </c>
      <c r="J741" s="2">
        <v>36</v>
      </c>
      <c r="K741" s="23">
        <f t="shared" si="115"/>
        <v>40129.700000001183</v>
      </c>
      <c r="L741" s="23">
        <f t="shared" si="114"/>
        <v>4.1154445697878357</v>
      </c>
      <c r="M741" s="12" t="s">
        <v>11</v>
      </c>
      <c r="N741" s="7">
        <v>28941</v>
      </c>
      <c r="O741" s="7">
        <v>31678.190000000002</v>
      </c>
      <c r="P741" s="7">
        <f t="shared" si="111"/>
        <v>35997.943181818184</v>
      </c>
      <c r="Q741" s="7">
        <v>52662</v>
      </c>
      <c r="R741" s="7">
        <v>13371.5</v>
      </c>
      <c r="S741" s="7">
        <f t="shared" si="112"/>
        <v>17828.666666666668</v>
      </c>
      <c r="T741" s="2">
        <v>7955</v>
      </c>
      <c r="U741" s="7">
        <f t="shared" si="116"/>
        <v>568722.02201515157</v>
      </c>
      <c r="V741" s="7">
        <f t="shared" si="113"/>
        <v>71.492397487762616</v>
      </c>
      <c r="W741" s="17"/>
      <c r="X741" s="11"/>
      <c r="AA741" s="11"/>
      <c r="AB741" s="11"/>
      <c r="AC741" s="11"/>
      <c r="AD741" s="11"/>
      <c r="AE741" s="11"/>
    </row>
    <row r="742" spans="1:31" x14ac:dyDescent="0.25">
      <c r="A742" s="15" t="s">
        <v>1</v>
      </c>
      <c r="B742" s="21">
        <v>45913</v>
      </c>
      <c r="C742" s="7">
        <v>4063</v>
      </c>
      <c r="D742" s="7">
        <v>14769.999999996799</v>
      </c>
      <c r="E742" s="7">
        <v>0</v>
      </c>
      <c r="F742" s="7">
        <v>0</v>
      </c>
      <c r="G742" s="7">
        <v>12756</v>
      </c>
      <c r="H742" s="7">
        <v>10078</v>
      </c>
      <c r="I742" s="7">
        <v>0</v>
      </c>
      <c r="J742" s="2">
        <v>36.950000762939453</v>
      </c>
      <c r="K742" s="23">
        <f t="shared" si="115"/>
        <v>40073.499999998276</v>
      </c>
      <c r="L742" s="23">
        <f t="shared" si="114"/>
        <v>3.1415412354968857</v>
      </c>
      <c r="M742" s="12" t="s">
        <v>11</v>
      </c>
      <c r="N742" s="7">
        <v>29333</v>
      </c>
      <c r="O742" s="7">
        <v>37607.489999999991</v>
      </c>
      <c r="P742" s="7">
        <f t="shared" si="111"/>
        <v>42735.784090909081</v>
      </c>
      <c r="Q742" s="7">
        <v>46654</v>
      </c>
      <c r="R742" s="7">
        <v>9368.5</v>
      </c>
      <c r="S742" s="7">
        <f t="shared" si="112"/>
        <v>12491.333333333334</v>
      </c>
      <c r="T742" s="2">
        <v>8853</v>
      </c>
      <c r="U742" s="7">
        <f t="shared" si="116"/>
        <v>530241.82125757576</v>
      </c>
      <c r="V742" s="7">
        <f t="shared" si="113"/>
        <v>59.894027025593104</v>
      </c>
      <c r="W742" s="17"/>
      <c r="X742" s="11"/>
      <c r="AA742" s="11"/>
      <c r="AB742" s="11"/>
      <c r="AC742" s="11"/>
      <c r="AD742" s="11"/>
      <c r="AE742" s="11"/>
    </row>
    <row r="743" spans="1:31" x14ac:dyDescent="0.25">
      <c r="A743" s="15" t="s">
        <v>1</v>
      </c>
      <c r="B743" s="21">
        <v>45914</v>
      </c>
      <c r="C743" s="7">
        <v>3780</v>
      </c>
      <c r="D743" s="7">
        <v>16149.999999997817</v>
      </c>
      <c r="E743" s="7">
        <v>0</v>
      </c>
      <c r="F743" s="7">
        <v>0</v>
      </c>
      <c r="G743" s="7">
        <v>10201</v>
      </c>
      <c r="H743" s="7">
        <v>10587</v>
      </c>
      <c r="I743" s="7">
        <v>0</v>
      </c>
      <c r="J743" s="2">
        <v>36.049999237060547</v>
      </c>
      <c r="K743" s="23">
        <f t="shared" si="115"/>
        <v>38582.999999998821</v>
      </c>
      <c r="L743" s="23">
        <f t="shared" si="114"/>
        <v>3.7822762474266072</v>
      </c>
      <c r="M743" s="12" t="s">
        <v>11</v>
      </c>
      <c r="N743" s="7">
        <v>28550</v>
      </c>
      <c r="O743" s="7">
        <v>31571.720000000008</v>
      </c>
      <c r="P743" s="7">
        <f t="shared" si="111"/>
        <v>35876.954545454551</v>
      </c>
      <c r="Q743" s="7">
        <v>47367</v>
      </c>
      <c r="R743" s="7">
        <v>10492.720000000008</v>
      </c>
      <c r="S743" s="7">
        <f t="shared" si="112"/>
        <v>13990.293333333344</v>
      </c>
      <c r="T743" s="2">
        <v>8784</v>
      </c>
      <c r="U743" s="7">
        <f t="shared" si="116"/>
        <v>512197.23521212139</v>
      </c>
      <c r="V743" s="7">
        <f t="shared" si="113"/>
        <v>58.310249910305259</v>
      </c>
      <c r="W743" s="17"/>
      <c r="X743" s="11"/>
      <c r="AA743" s="11"/>
      <c r="AB743" s="11"/>
      <c r="AC743" s="11"/>
      <c r="AD743" s="11"/>
      <c r="AE743" s="11"/>
    </row>
    <row r="744" spans="1:31" x14ac:dyDescent="0.25">
      <c r="A744" s="15" t="s">
        <v>1</v>
      </c>
      <c r="B744" s="21">
        <v>45915</v>
      </c>
      <c r="C744" s="8">
        <v>5557</v>
      </c>
      <c r="D744" s="8">
        <v>9630.0000000010186</v>
      </c>
      <c r="E744" s="8">
        <v>0</v>
      </c>
      <c r="F744" s="7">
        <v>0</v>
      </c>
      <c r="G744" s="8">
        <v>8755</v>
      </c>
      <c r="H744" s="8">
        <v>6646</v>
      </c>
      <c r="I744" s="8">
        <v>0</v>
      </c>
      <c r="J744" s="2">
        <v>37.900001525878913</v>
      </c>
      <c r="K744" s="23">
        <f t="shared" si="115"/>
        <v>49100.500000000553</v>
      </c>
      <c r="L744" s="23">
        <f t="shared" si="114"/>
        <v>5.6082809822958941</v>
      </c>
      <c r="M744" s="12" t="s">
        <v>11</v>
      </c>
      <c r="N744" s="8">
        <v>28347</v>
      </c>
      <c r="O744" s="8">
        <v>36841.269999999997</v>
      </c>
      <c r="P744" s="7">
        <f t="shared" si="111"/>
        <v>41865.079545454544</v>
      </c>
      <c r="Q744" s="8">
        <v>42188</v>
      </c>
      <c r="R744" s="8">
        <v>11242.199999999993</v>
      </c>
      <c r="S744" s="7">
        <f t="shared" si="112"/>
        <v>14989.599999999991</v>
      </c>
      <c r="T744" s="2">
        <v>7732</v>
      </c>
      <c r="U744" s="7">
        <f t="shared" si="116"/>
        <v>528620.95104545448</v>
      </c>
      <c r="V744" s="7">
        <f t="shared" si="113"/>
        <v>68.36794503950523</v>
      </c>
      <c r="W744" s="17"/>
      <c r="X744" s="11"/>
      <c r="AA744" s="11"/>
      <c r="AB744" s="11"/>
      <c r="AC744" s="11"/>
      <c r="AD744" s="11"/>
      <c r="AE744" s="11"/>
    </row>
    <row r="745" spans="1:31" x14ac:dyDescent="0.25">
      <c r="A745" s="15" t="s">
        <v>1</v>
      </c>
      <c r="B745" s="21">
        <v>45916</v>
      </c>
      <c r="C745" s="7">
        <v>4710</v>
      </c>
      <c r="D745" s="7">
        <v>14479.999999999563</v>
      </c>
      <c r="E745" s="7">
        <v>4425</v>
      </c>
      <c r="F745" s="7">
        <v>0</v>
      </c>
      <c r="G745" s="7">
        <v>11023</v>
      </c>
      <c r="H745" s="7">
        <v>8167</v>
      </c>
      <c r="I745" s="7">
        <v>29454</v>
      </c>
      <c r="J745" s="2">
        <v>37.849998474121087</v>
      </c>
      <c r="K745" s="23">
        <f t="shared" si="115"/>
        <v>79543.199999999764</v>
      </c>
      <c r="L745" s="23">
        <f t="shared" si="114"/>
        <v>7.216111766306792</v>
      </c>
      <c r="M745" s="12" t="s">
        <v>11</v>
      </c>
      <c r="N745" s="7">
        <v>28921</v>
      </c>
      <c r="O745" s="7">
        <v>33660.060000000005</v>
      </c>
      <c r="P745" s="7">
        <f t="shared" si="111"/>
        <v>38250.068181818184</v>
      </c>
      <c r="Q745" s="7">
        <v>48178</v>
      </c>
      <c r="R745" s="7">
        <v>12247.279999999992</v>
      </c>
      <c r="S745" s="7">
        <f t="shared" si="112"/>
        <v>16329.706666666656</v>
      </c>
      <c r="T745" s="2">
        <v>8230</v>
      </c>
      <c r="U745" s="7">
        <f t="shared" si="116"/>
        <v>547923.64851515135</v>
      </c>
      <c r="V745" s="7">
        <f t="shared" si="113"/>
        <v>66.57638499576565</v>
      </c>
      <c r="W745" s="17"/>
      <c r="X745" s="11"/>
      <c r="AA745" s="11"/>
      <c r="AB745" s="11"/>
      <c r="AC745" s="11"/>
      <c r="AD745" s="11"/>
      <c r="AE745" s="11"/>
    </row>
    <row r="746" spans="1:31" x14ac:dyDescent="0.25">
      <c r="A746" s="15" t="s">
        <v>1</v>
      </c>
      <c r="B746" s="21">
        <v>45917</v>
      </c>
      <c r="C746" s="7">
        <v>3703</v>
      </c>
      <c r="D746" s="7">
        <v>16409.999999999854</v>
      </c>
      <c r="E746" s="7">
        <v>0</v>
      </c>
      <c r="F746" s="7">
        <v>0</v>
      </c>
      <c r="G746" s="7">
        <v>11146</v>
      </c>
      <c r="H746" s="7">
        <v>9210</v>
      </c>
      <c r="I746" s="7">
        <v>0</v>
      </c>
      <c r="J746" s="2">
        <v>38.849998474121087</v>
      </c>
      <c r="K746" s="23">
        <f t="shared" si="115"/>
        <v>38115.099999999919</v>
      </c>
      <c r="L746" s="23">
        <f t="shared" si="114"/>
        <v>3.4196213888390381</v>
      </c>
      <c r="M746" s="12" t="s">
        <v>11</v>
      </c>
      <c r="N746" s="7">
        <v>28758</v>
      </c>
      <c r="O746" s="7">
        <v>31078.609999999993</v>
      </c>
      <c r="P746" s="7">
        <f t="shared" si="111"/>
        <v>35316.602272727265</v>
      </c>
      <c r="Q746" s="7">
        <v>45500</v>
      </c>
      <c r="R746" s="7">
        <v>11242.199999999993</v>
      </c>
      <c r="S746" s="7">
        <f t="shared" si="112"/>
        <v>14989.599999999991</v>
      </c>
      <c r="T746" s="2">
        <v>7840</v>
      </c>
      <c r="U746" s="7">
        <f t="shared" si="116"/>
        <v>510494.7367727271</v>
      </c>
      <c r="V746" s="7">
        <f t="shared" si="113"/>
        <v>65.114124588358052</v>
      </c>
      <c r="W746" s="17"/>
      <c r="X746" s="11"/>
      <c r="AA746" s="11"/>
      <c r="AB746" s="11"/>
      <c r="AC746" s="11"/>
      <c r="AD746" s="11"/>
      <c r="AE746" s="11"/>
    </row>
    <row r="747" spans="1:31" x14ac:dyDescent="0.25">
      <c r="A747" s="15" t="s">
        <v>1</v>
      </c>
      <c r="B747" s="21">
        <v>45918</v>
      </c>
      <c r="C747" s="7">
        <v>5311</v>
      </c>
      <c r="D747" s="7">
        <v>14760.000000002037</v>
      </c>
      <c r="E747" s="7">
        <v>4450</v>
      </c>
      <c r="F747" s="7">
        <v>0</v>
      </c>
      <c r="G747" s="7">
        <v>10315</v>
      </c>
      <c r="H747" s="7">
        <v>8996</v>
      </c>
      <c r="I747" s="7">
        <v>29520</v>
      </c>
      <c r="J747" s="2">
        <v>39.099998474121087</v>
      </c>
      <c r="K747" s="23">
        <f t="shared" si="115"/>
        <v>84637.300000001094</v>
      </c>
      <c r="L747" s="23">
        <f t="shared" si="114"/>
        <v>8.2052641783811051</v>
      </c>
      <c r="M747" s="12" t="s">
        <v>11</v>
      </c>
      <c r="N747" s="7">
        <v>29351</v>
      </c>
      <c r="O747" s="7">
        <v>33431.240000000005</v>
      </c>
      <c r="P747" s="7">
        <f t="shared" si="111"/>
        <v>37990.045454545463</v>
      </c>
      <c r="Q747" s="7">
        <v>46999</v>
      </c>
      <c r="R747" s="7">
        <v>12366.419999999969</v>
      </c>
      <c r="S747" s="7">
        <f t="shared" si="112"/>
        <v>16488.559999999958</v>
      </c>
      <c r="T747" s="2">
        <v>8405</v>
      </c>
      <c r="U747" s="7">
        <f t="shared" si="116"/>
        <v>543339.32345454511</v>
      </c>
      <c r="V747" s="7">
        <f t="shared" si="113"/>
        <v>64.644773760207627</v>
      </c>
      <c r="W747" s="17"/>
      <c r="X747" s="11"/>
      <c r="AA747" s="11"/>
      <c r="AB747" s="11"/>
      <c r="AC747" s="11"/>
      <c r="AD747" s="11"/>
      <c r="AE747" s="11"/>
    </row>
    <row r="748" spans="1:31" x14ac:dyDescent="0.25">
      <c r="A748" s="15" t="s">
        <v>1</v>
      </c>
      <c r="B748" s="21">
        <v>45919</v>
      </c>
      <c r="C748" s="7">
        <v>4490</v>
      </c>
      <c r="D748" s="7">
        <v>14649.999999997817</v>
      </c>
      <c r="E748" s="7">
        <v>0</v>
      </c>
      <c r="F748" s="7">
        <v>0</v>
      </c>
      <c r="G748" s="7">
        <v>9209</v>
      </c>
      <c r="H748" s="7">
        <v>8297</v>
      </c>
      <c r="I748" s="7">
        <v>0</v>
      </c>
      <c r="J748" s="2">
        <v>37.650001525878913</v>
      </c>
      <c r="K748" s="23">
        <f t="shared" si="115"/>
        <v>43381.999999998821</v>
      </c>
      <c r="L748" s="23">
        <f t="shared" si="114"/>
        <v>4.7108263655118714</v>
      </c>
      <c r="M748" s="12" t="s">
        <v>11</v>
      </c>
      <c r="N748" s="7">
        <v>31465</v>
      </c>
      <c r="O748" s="7">
        <v>39255.83</v>
      </c>
      <c r="P748" s="7">
        <f t="shared" si="111"/>
        <v>44608.897727272728</v>
      </c>
      <c r="Q748" s="7">
        <v>46460</v>
      </c>
      <c r="R748" s="7">
        <v>13351.5</v>
      </c>
      <c r="S748" s="7">
        <f t="shared" si="112"/>
        <v>17802</v>
      </c>
      <c r="T748" s="2">
        <v>8766</v>
      </c>
      <c r="U748" s="7">
        <f t="shared" si="116"/>
        <v>586258.74122727278</v>
      </c>
      <c r="V748" s="7">
        <f t="shared" si="113"/>
        <v>66.878706505506813</v>
      </c>
      <c r="W748" s="17"/>
      <c r="X748" s="11"/>
      <c r="AA748" s="11"/>
      <c r="AB748" s="11"/>
      <c r="AC748" s="11"/>
      <c r="AD748" s="11"/>
      <c r="AE748" s="11"/>
    </row>
    <row r="749" spans="1:31" x14ac:dyDescent="0.25">
      <c r="A749" s="15" t="s">
        <v>1</v>
      </c>
      <c r="B749" s="21">
        <v>45920</v>
      </c>
      <c r="C749" s="8">
        <v>4773</v>
      </c>
      <c r="D749" s="8">
        <v>15659.999999999854</v>
      </c>
      <c r="E749" s="8">
        <v>0</v>
      </c>
      <c r="F749" s="7">
        <v>0</v>
      </c>
      <c r="G749" s="8">
        <v>10500</v>
      </c>
      <c r="H749" s="8">
        <v>9705</v>
      </c>
      <c r="I749" s="8">
        <v>0</v>
      </c>
      <c r="J749" s="2">
        <v>29.95000076293945</v>
      </c>
      <c r="K749" s="23">
        <f t="shared" si="115"/>
        <v>46163.099999999926</v>
      </c>
      <c r="L749" s="23">
        <f t="shared" si="114"/>
        <v>4.3964857142857072</v>
      </c>
      <c r="M749" s="12" t="s">
        <v>11</v>
      </c>
      <c r="N749" s="8">
        <v>31440</v>
      </c>
      <c r="O749" s="8">
        <v>25071.66</v>
      </c>
      <c r="P749" s="7">
        <f t="shared" si="111"/>
        <v>28490.522727272728</v>
      </c>
      <c r="Q749" s="8">
        <v>60440</v>
      </c>
      <c r="R749" s="8">
        <v>12366.420000000002</v>
      </c>
      <c r="S749" s="7">
        <f t="shared" si="112"/>
        <v>16488.560000000001</v>
      </c>
      <c r="T749" s="2">
        <v>8458</v>
      </c>
      <c r="U749" s="7">
        <f t="shared" si="116"/>
        <v>553951.10972727276</v>
      </c>
      <c r="V749" s="7">
        <f t="shared" si="113"/>
        <v>65.494337872697187</v>
      </c>
      <c r="W749" s="17"/>
      <c r="X749" s="11"/>
      <c r="AA749" s="11"/>
      <c r="AB749" s="11"/>
      <c r="AC749" s="11"/>
      <c r="AD749" s="11"/>
      <c r="AE749" s="11"/>
    </row>
    <row r="750" spans="1:31" x14ac:dyDescent="0.25">
      <c r="A750" s="15" t="s">
        <v>1</v>
      </c>
      <c r="B750" s="21">
        <v>45921</v>
      </c>
      <c r="C750" s="7">
        <v>5278</v>
      </c>
      <c r="D750" s="7">
        <v>14100.000000002183</v>
      </c>
      <c r="E750" s="7">
        <v>0</v>
      </c>
      <c r="F750" s="7">
        <v>0</v>
      </c>
      <c r="G750" s="7">
        <v>6614</v>
      </c>
      <c r="H750" s="7">
        <v>7370</v>
      </c>
      <c r="I750" s="7">
        <v>0</v>
      </c>
      <c r="J750" s="2">
        <v>30.04999923706055</v>
      </c>
      <c r="K750" s="23">
        <f t="shared" si="115"/>
        <v>49310.200000001183</v>
      </c>
      <c r="L750" s="23">
        <f t="shared" si="114"/>
        <v>7.4554278802541853</v>
      </c>
      <c r="M750" s="12" t="s">
        <v>11</v>
      </c>
      <c r="N750" s="7">
        <v>30792</v>
      </c>
      <c r="O750" s="7">
        <v>25535.950000000012</v>
      </c>
      <c r="P750" s="7">
        <f t="shared" si="111"/>
        <v>29018.125000000015</v>
      </c>
      <c r="Q750" s="7">
        <v>61169</v>
      </c>
      <c r="R750" s="7">
        <v>11991.680000000011</v>
      </c>
      <c r="S750" s="7">
        <f t="shared" si="112"/>
        <v>15988.906666666682</v>
      </c>
      <c r="T750" s="2">
        <v>8320</v>
      </c>
      <c r="U750" s="7">
        <f t="shared" si="116"/>
        <v>554870.13583333348</v>
      </c>
      <c r="V750" s="7">
        <f t="shared" si="113"/>
        <v>66.691122095352583</v>
      </c>
      <c r="W750" s="17"/>
      <c r="X750" s="11"/>
      <c r="AA750" s="11"/>
      <c r="AB750" s="11"/>
      <c r="AC750" s="11"/>
      <c r="AD750" s="11"/>
      <c r="AE750" s="11"/>
    </row>
    <row r="751" spans="1:31" x14ac:dyDescent="0.25">
      <c r="A751" s="15" t="s">
        <v>1</v>
      </c>
      <c r="B751" s="21">
        <v>45922</v>
      </c>
      <c r="C751" s="7">
        <v>3964</v>
      </c>
      <c r="D751" s="7">
        <v>7520.0000000004366</v>
      </c>
      <c r="E751" s="7">
        <v>0</v>
      </c>
      <c r="F751" s="7">
        <v>0</v>
      </c>
      <c r="G751" s="7">
        <v>6751</v>
      </c>
      <c r="H751" s="7">
        <v>4530</v>
      </c>
      <c r="I751" s="7">
        <v>0</v>
      </c>
      <c r="J751" s="2">
        <v>25.89999961853027</v>
      </c>
      <c r="K751" s="23">
        <f t="shared" si="115"/>
        <v>35376.400000000242</v>
      </c>
      <c r="L751" s="23">
        <f t="shared" si="114"/>
        <v>5.240171826396125</v>
      </c>
      <c r="M751" s="12" t="s">
        <v>11</v>
      </c>
      <c r="N751" s="7">
        <v>30866</v>
      </c>
      <c r="O751" s="7">
        <v>26535.709999999988</v>
      </c>
      <c r="P751" s="7">
        <f t="shared" si="111"/>
        <v>30154.215909090897</v>
      </c>
      <c r="Q751" s="7">
        <v>58445</v>
      </c>
      <c r="R751" s="7">
        <v>10492.719999999976</v>
      </c>
      <c r="S751" s="7">
        <f t="shared" si="112"/>
        <v>13990.2933333333</v>
      </c>
      <c r="T751" s="2">
        <v>8268</v>
      </c>
      <c r="U751" s="7">
        <f t="shared" si="116"/>
        <v>531620.93207575718</v>
      </c>
      <c r="V751" s="7">
        <f t="shared" si="113"/>
        <v>64.298612974813395</v>
      </c>
      <c r="W751" s="17"/>
      <c r="X751" s="11"/>
      <c r="AA751" s="11"/>
      <c r="AB751" s="11"/>
      <c r="AC751" s="11"/>
      <c r="AD751" s="11"/>
      <c r="AE751" s="11"/>
    </row>
    <row r="752" spans="1:31" x14ac:dyDescent="0.25">
      <c r="A752" s="15" t="s">
        <v>1</v>
      </c>
      <c r="B752" s="21">
        <v>45923</v>
      </c>
      <c r="C752" s="7">
        <v>4440</v>
      </c>
      <c r="D752" s="7">
        <v>11689.99999999869</v>
      </c>
      <c r="E752" s="7">
        <v>7500</v>
      </c>
      <c r="F752" s="7">
        <v>0</v>
      </c>
      <c r="G752" s="7">
        <v>9832</v>
      </c>
      <c r="H752" s="7">
        <v>6141</v>
      </c>
      <c r="I752" s="7">
        <v>33758</v>
      </c>
      <c r="J752" s="2">
        <v>27.70000076293945</v>
      </c>
      <c r="K752" s="23">
        <f t="shared" si="115"/>
        <v>99888.599999999293</v>
      </c>
      <c r="L752" s="23">
        <f t="shared" si="114"/>
        <v>10.15954027664761</v>
      </c>
      <c r="M752" s="12" t="s">
        <v>11</v>
      </c>
      <c r="N752" s="7">
        <v>32054</v>
      </c>
      <c r="O752" s="7">
        <v>43072.509999999995</v>
      </c>
      <c r="P752" s="7">
        <f t="shared" si="111"/>
        <v>48946.034090909088</v>
      </c>
      <c r="Q752" s="7">
        <v>46199</v>
      </c>
      <c r="R752" s="7">
        <v>11616.939999999951</v>
      </c>
      <c r="S752" s="7">
        <f t="shared" si="112"/>
        <v>15489.253333333269</v>
      </c>
      <c r="T752" s="2">
        <v>8895</v>
      </c>
      <c r="U752" s="7">
        <f t="shared" si="116"/>
        <v>586570.65025757521</v>
      </c>
      <c r="V752" s="7">
        <f t="shared" si="113"/>
        <v>65.943861749024762</v>
      </c>
      <c r="W752" s="17"/>
      <c r="X752" s="11"/>
      <c r="AA752" s="11"/>
      <c r="AB752" s="11"/>
      <c r="AC752" s="11"/>
      <c r="AD752" s="11"/>
      <c r="AE752" s="11"/>
    </row>
    <row r="753" spans="1:31" x14ac:dyDescent="0.25">
      <c r="A753" s="15" t="s">
        <v>1</v>
      </c>
      <c r="B753" s="21">
        <v>45924</v>
      </c>
      <c r="C753" s="7">
        <v>3940</v>
      </c>
      <c r="D753" s="7">
        <v>7260.0000000020373</v>
      </c>
      <c r="E753" s="7">
        <v>0</v>
      </c>
      <c r="F753" s="7">
        <v>0</v>
      </c>
      <c r="G753" s="7">
        <v>10145</v>
      </c>
      <c r="H753" s="7">
        <v>3281</v>
      </c>
      <c r="I753" s="7">
        <v>0</v>
      </c>
      <c r="J753" s="2">
        <v>27.25</v>
      </c>
      <c r="K753" s="23">
        <f t="shared" si="115"/>
        <v>35046.4000000011</v>
      </c>
      <c r="L753" s="23">
        <f t="shared" si="114"/>
        <v>3.4545490389355447</v>
      </c>
      <c r="M753" s="12" t="s">
        <v>11</v>
      </c>
      <c r="N753" s="7">
        <v>32180</v>
      </c>
      <c r="O753" s="7">
        <v>40415.589999999997</v>
      </c>
      <c r="P753" s="7">
        <f t="shared" si="111"/>
        <v>45926.806818181816</v>
      </c>
      <c r="Q753" s="7">
        <v>46043</v>
      </c>
      <c r="R753" s="7">
        <v>10117.979999999983</v>
      </c>
      <c r="S753" s="7">
        <f t="shared" si="112"/>
        <v>13490.639999999978</v>
      </c>
      <c r="T753" s="2">
        <v>8711</v>
      </c>
      <c r="U753" s="7">
        <f t="shared" si="116"/>
        <v>553656.22231818154</v>
      </c>
      <c r="V753" s="7">
        <f t="shared" si="113"/>
        <v>63.558285193224833</v>
      </c>
      <c r="W753" s="17"/>
      <c r="X753" s="11"/>
      <c r="AA753" s="11"/>
      <c r="AB753" s="11"/>
      <c r="AC753" s="11"/>
      <c r="AD753" s="11"/>
      <c r="AE753" s="11"/>
    </row>
    <row r="754" spans="1:31" x14ac:dyDescent="0.25">
      <c r="A754" s="15" t="s">
        <v>1</v>
      </c>
      <c r="B754" s="21">
        <v>45925</v>
      </c>
      <c r="C754" s="8">
        <v>3672</v>
      </c>
      <c r="D754" s="8">
        <v>14829.999999998108</v>
      </c>
      <c r="E754" s="8">
        <v>3525</v>
      </c>
      <c r="F754" s="7">
        <v>0</v>
      </c>
      <c r="G754" s="8">
        <v>10563</v>
      </c>
      <c r="H754" s="8">
        <v>8788</v>
      </c>
      <c r="I754" s="8">
        <v>23484</v>
      </c>
      <c r="J754" s="2">
        <v>27.64999961853027</v>
      </c>
      <c r="K754" s="23">
        <f t="shared" si="115"/>
        <v>64511.999999998981</v>
      </c>
      <c r="L754" s="23">
        <f t="shared" si="114"/>
        <v>6.1073558648110371</v>
      </c>
      <c r="M754" s="12" t="s">
        <v>11</v>
      </c>
      <c r="N754" s="8">
        <v>21798</v>
      </c>
      <c r="O754" s="8">
        <v>24689.730000000003</v>
      </c>
      <c r="P754" s="7">
        <f t="shared" si="111"/>
        <v>28056.511363636368</v>
      </c>
      <c r="Q754" s="8">
        <v>31937</v>
      </c>
      <c r="R754" s="8">
        <v>7850.3999999999869</v>
      </c>
      <c r="S754" s="7">
        <f t="shared" si="112"/>
        <v>10467.199999999983</v>
      </c>
      <c r="T754" s="2">
        <v>4420</v>
      </c>
      <c r="U754" s="7">
        <f t="shared" si="116"/>
        <v>374781.38986363623</v>
      </c>
      <c r="V754" s="7">
        <f t="shared" si="113"/>
        <v>84.792169652406386</v>
      </c>
      <c r="W754" s="17"/>
      <c r="X754" s="11"/>
      <c r="AA754" s="11"/>
      <c r="AB754" s="11"/>
      <c r="AC754" s="11"/>
      <c r="AD754" s="11"/>
      <c r="AE754" s="11"/>
    </row>
    <row r="755" spans="1:31" x14ac:dyDescent="0.25">
      <c r="A755" s="15" t="s">
        <v>1</v>
      </c>
      <c r="B755" s="21">
        <v>45926</v>
      </c>
      <c r="C755" s="9">
        <v>2856</v>
      </c>
      <c r="D755" s="9">
        <v>13110.000000000582</v>
      </c>
      <c r="E755" s="9">
        <v>0</v>
      </c>
      <c r="F755" s="9">
        <v>0</v>
      </c>
      <c r="G755" s="9">
        <v>9978</v>
      </c>
      <c r="H755" s="9">
        <v>7873</v>
      </c>
      <c r="I755" s="9">
        <v>0</v>
      </c>
      <c r="J755" s="2">
        <v>29.54999923706055</v>
      </c>
      <c r="K755" s="23">
        <f t="shared" si="115"/>
        <v>29641.800000000316</v>
      </c>
      <c r="L755" s="23">
        <f t="shared" si="114"/>
        <v>2.9707155742634113</v>
      </c>
      <c r="M755" s="12" t="s">
        <v>11</v>
      </c>
      <c r="N755" s="9">
        <v>31951</v>
      </c>
      <c r="O755" s="9">
        <v>33944.35</v>
      </c>
      <c r="P755" s="7">
        <f t="shared" si="111"/>
        <v>38573.125</v>
      </c>
      <c r="Q755" s="9">
        <v>59580</v>
      </c>
      <c r="R755" s="9">
        <v>4122.1399999999785</v>
      </c>
      <c r="S755" s="7">
        <f t="shared" si="112"/>
        <v>5496.1866666666383</v>
      </c>
      <c r="T755" s="2">
        <v>8229</v>
      </c>
      <c r="U755" s="7">
        <f t="shared" si="116"/>
        <v>504015.05583333306</v>
      </c>
      <c r="V755" s="7">
        <f t="shared" si="113"/>
        <v>61.248639668651485</v>
      </c>
      <c r="W755" s="17"/>
      <c r="X755" s="11"/>
      <c r="AA755" s="11"/>
      <c r="AB755" s="11"/>
      <c r="AC755" s="11"/>
      <c r="AD755" s="11"/>
      <c r="AE755" s="11"/>
    </row>
    <row r="756" spans="1:31" x14ac:dyDescent="0.25">
      <c r="A756" s="15" t="s">
        <v>1</v>
      </c>
      <c r="B756" s="21">
        <v>45927</v>
      </c>
      <c r="C756" s="10">
        <v>6270</v>
      </c>
      <c r="D756" s="10">
        <v>15369.999999998981</v>
      </c>
      <c r="E756" s="10">
        <v>0</v>
      </c>
      <c r="F756" s="10">
        <v>0</v>
      </c>
      <c r="G756" s="10">
        <v>9663</v>
      </c>
      <c r="H756" s="10">
        <v>9677</v>
      </c>
      <c r="I756" s="10">
        <v>0</v>
      </c>
      <c r="J756" s="2">
        <v>25.85000038146973</v>
      </c>
      <c r="K756" s="23">
        <f t="shared" si="115"/>
        <v>57832.79999999945</v>
      </c>
      <c r="L756" s="23">
        <f t="shared" si="114"/>
        <v>5.9849736106798561</v>
      </c>
      <c r="M756" s="12" t="s">
        <v>11</v>
      </c>
      <c r="N756" s="10">
        <v>31317</v>
      </c>
      <c r="O756" s="10">
        <v>25535.950000000012</v>
      </c>
      <c r="P756" s="7">
        <f t="shared" si="111"/>
        <v>29018.125000000015</v>
      </c>
      <c r="Q756" s="10">
        <v>61489</v>
      </c>
      <c r="R756" s="10">
        <v>10867.460000000036</v>
      </c>
      <c r="S756" s="7">
        <f t="shared" si="112"/>
        <v>14489.946666666714</v>
      </c>
      <c r="T756" s="2">
        <v>7746</v>
      </c>
      <c r="U756" s="7">
        <f t="shared" si="116"/>
        <v>543375.3358333339</v>
      </c>
      <c r="V756" s="7">
        <f t="shared" si="113"/>
        <v>70.149152573371282</v>
      </c>
      <c r="W756" s="17"/>
      <c r="X756" s="11"/>
      <c r="AA756" s="11"/>
      <c r="AB756" s="11"/>
      <c r="AC756" s="11"/>
      <c r="AD756" s="11"/>
      <c r="AE756" s="11"/>
    </row>
    <row r="757" spans="1:31" x14ac:dyDescent="0.25">
      <c r="A757" s="15" t="s">
        <v>1</v>
      </c>
      <c r="B757" s="21">
        <v>45928</v>
      </c>
      <c r="C757" s="7">
        <v>3510</v>
      </c>
      <c r="D757" s="7">
        <v>9390.0000000030559</v>
      </c>
      <c r="E757" s="7">
        <v>0</v>
      </c>
      <c r="F757" s="7">
        <v>0</v>
      </c>
      <c r="G757" s="7">
        <v>5855</v>
      </c>
      <c r="H757" s="7">
        <v>5268</v>
      </c>
      <c r="I757" s="7">
        <v>0</v>
      </c>
      <c r="J757" s="2">
        <v>26.25</v>
      </c>
      <c r="K757" s="23">
        <f t="shared" si="115"/>
        <v>32799.60000000165</v>
      </c>
      <c r="L757" s="23">
        <f t="shared" si="114"/>
        <v>5.6019812126390525</v>
      </c>
      <c r="M757" s="12" t="s">
        <v>11</v>
      </c>
      <c r="N757" s="7">
        <v>30404</v>
      </c>
      <c r="O757" s="7">
        <v>24607.369999999992</v>
      </c>
      <c r="P757" s="7">
        <f t="shared" si="111"/>
        <v>27962.920454545445</v>
      </c>
      <c r="Q757" s="7">
        <v>59541</v>
      </c>
      <c r="R757" s="7">
        <v>10867.459999999968</v>
      </c>
      <c r="S757" s="7">
        <f t="shared" si="112"/>
        <v>14489.946666666625</v>
      </c>
      <c r="T757" s="2">
        <v>8278</v>
      </c>
      <c r="U757" s="7">
        <f t="shared" si="116"/>
        <v>529552.29028787836</v>
      </c>
      <c r="V757" s="7">
        <f t="shared" si="113"/>
        <v>63.971042557124711</v>
      </c>
      <c r="W757" s="17"/>
      <c r="X757" s="11"/>
      <c r="AA757" s="11"/>
      <c r="AB757" s="11"/>
      <c r="AC757" s="11"/>
      <c r="AD757" s="11"/>
      <c r="AE757" s="11"/>
    </row>
    <row r="758" spans="1:31" x14ac:dyDescent="0.25">
      <c r="A758" s="15" t="s">
        <v>1</v>
      </c>
      <c r="B758" s="21">
        <v>45929</v>
      </c>
      <c r="C758" s="7">
        <v>4230</v>
      </c>
      <c r="D758" s="7">
        <v>6029.9999999988358</v>
      </c>
      <c r="E758" s="7">
        <v>0</v>
      </c>
      <c r="F758" s="7">
        <v>0</v>
      </c>
      <c r="G758" s="7">
        <v>9351</v>
      </c>
      <c r="H758" s="7">
        <v>3905</v>
      </c>
      <c r="I758" s="7">
        <v>0</v>
      </c>
      <c r="J758" s="2">
        <v>27.75</v>
      </c>
      <c r="K758" s="23">
        <f t="shared" si="115"/>
        <v>36673.199999999371</v>
      </c>
      <c r="L758" s="23">
        <f t="shared" si="114"/>
        <v>3.9218479307025316</v>
      </c>
      <c r="M758" s="12" t="s">
        <v>11</v>
      </c>
      <c r="N758" s="7">
        <v>30168</v>
      </c>
      <c r="O758" s="7">
        <v>29984.349999999995</v>
      </c>
      <c r="P758" s="7">
        <f t="shared" si="111"/>
        <v>34073.124999999993</v>
      </c>
      <c r="Q758" s="7">
        <v>48829</v>
      </c>
      <c r="R758" s="7">
        <v>10492.720000000043</v>
      </c>
      <c r="S758" s="7">
        <f t="shared" si="112"/>
        <v>13990.293333333391</v>
      </c>
      <c r="T758" s="2">
        <v>8198</v>
      </c>
      <c r="U758" s="7">
        <f t="shared" si="116"/>
        <v>510314.48916666716</v>
      </c>
      <c r="V758" s="7">
        <f t="shared" si="113"/>
        <v>62.248656887858886</v>
      </c>
      <c r="W758" s="17"/>
      <c r="X758" s="11"/>
      <c r="AA758" s="11"/>
      <c r="AB758" s="11"/>
      <c r="AC758" s="11"/>
      <c r="AD758" s="11"/>
      <c r="AE758" s="11"/>
    </row>
    <row r="759" spans="1:31" x14ac:dyDescent="0.25">
      <c r="A759" s="15" t="s">
        <v>1</v>
      </c>
      <c r="B759" s="21">
        <v>45930</v>
      </c>
      <c r="C759" s="7">
        <v>3060</v>
      </c>
      <c r="D759" s="7">
        <v>9479.9999999995634</v>
      </c>
      <c r="E759" s="7">
        <v>3050</v>
      </c>
      <c r="F759" s="7">
        <v>0</v>
      </c>
      <c r="G759" s="7">
        <v>9688</v>
      </c>
      <c r="H759" s="7">
        <v>5564</v>
      </c>
      <c r="I759" s="7">
        <v>25336</v>
      </c>
      <c r="J759" s="2">
        <v>28.45000076293945</v>
      </c>
      <c r="K759" s="23">
        <f t="shared" si="115"/>
        <v>53083.199999999764</v>
      </c>
      <c r="L759" s="23">
        <f t="shared" si="114"/>
        <v>5.4792733278282171</v>
      </c>
      <c r="M759" s="12" t="s">
        <v>11</v>
      </c>
      <c r="N759" s="8">
        <v>31996</v>
      </c>
      <c r="O759" s="8">
        <v>36758.67</v>
      </c>
      <c r="P759" s="7">
        <f t="shared" si="111"/>
        <v>41771.215909090904</v>
      </c>
      <c r="Q759" s="8">
        <v>50046</v>
      </c>
      <c r="R759" s="8">
        <v>9368.5</v>
      </c>
      <c r="S759" s="7">
        <f t="shared" si="112"/>
        <v>12491.333333333334</v>
      </c>
      <c r="T759" s="2">
        <v>8402</v>
      </c>
      <c r="U759" s="7">
        <f t="shared" si="116"/>
        <v>541116.58407575754</v>
      </c>
      <c r="V759" s="7">
        <f t="shared" si="113"/>
        <v>64.403306840723346</v>
      </c>
      <c r="W759" s="17"/>
      <c r="X759" s="11"/>
      <c r="AA759" s="11"/>
      <c r="AB759" s="11"/>
      <c r="AC759" s="11"/>
      <c r="AD759" s="11"/>
      <c r="AE759" s="11"/>
    </row>
    <row r="760" spans="1:31" x14ac:dyDescent="0.25">
      <c r="A760" s="15" t="s">
        <v>1</v>
      </c>
      <c r="B760" s="21">
        <v>45931</v>
      </c>
      <c r="C760" s="7">
        <v>4080</v>
      </c>
      <c r="D760" s="7">
        <v>13020.000000000437</v>
      </c>
      <c r="E760" s="7">
        <v>0</v>
      </c>
      <c r="F760" s="7">
        <v>0</v>
      </c>
      <c r="G760" s="7">
        <v>9385</v>
      </c>
      <c r="H760" s="7">
        <v>7831</v>
      </c>
      <c r="I760" s="7">
        <v>0</v>
      </c>
      <c r="J760" s="2">
        <v>29.60000038146973</v>
      </c>
      <c r="K760" s="23">
        <f>C760*7.804+D760*0.53+E760*7.5+F760*5</f>
        <v>38740.920000000231</v>
      </c>
      <c r="L760" s="23">
        <f t="shared" si="114"/>
        <v>4.1279616409163804</v>
      </c>
      <c r="M760" s="12" t="s">
        <v>11</v>
      </c>
      <c r="N760" s="7">
        <v>32336</v>
      </c>
      <c r="O760" s="7">
        <v>29596.92</v>
      </c>
      <c r="P760" s="7">
        <f t="shared" si="111"/>
        <v>33632.863636363632</v>
      </c>
      <c r="Q760" s="7">
        <v>52137</v>
      </c>
      <c r="R760" s="7">
        <v>13096.760000000007</v>
      </c>
      <c r="S760" s="7">
        <f t="shared" si="112"/>
        <v>17462.346666666675</v>
      </c>
      <c r="T760" s="2">
        <v>7517</v>
      </c>
      <c r="U760" s="7">
        <f>N760*0.53+P760*4.68+Q760*4.28+S760*8.7</f>
        <v>549608.65781818191</v>
      </c>
      <c r="V760" s="7">
        <f t="shared" si="113"/>
        <v>73.115426076650508</v>
      </c>
      <c r="W760" s="17"/>
      <c r="X760" s="11"/>
      <c r="AA760" s="11"/>
      <c r="AB760" s="11"/>
      <c r="AC760" s="11"/>
      <c r="AD760" s="11"/>
      <c r="AE760" s="11"/>
    </row>
    <row r="761" spans="1:31" x14ac:dyDescent="0.25">
      <c r="A761" s="15" t="s">
        <v>1</v>
      </c>
      <c r="B761" s="21">
        <v>45932</v>
      </c>
      <c r="C761" s="7">
        <v>4142</v>
      </c>
      <c r="D761" s="7">
        <v>13220.000000001164</v>
      </c>
      <c r="E761" s="7">
        <v>0</v>
      </c>
      <c r="F761" s="7">
        <v>581</v>
      </c>
      <c r="G761" s="7">
        <v>9719</v>
      </c>
      <c r="H761" s="7">
        <v>7966</v>
      </c>
      <c r="I761" s="7">
        <v>0</v>
      </c>
      <c r="J761" s="2">
        <v>29.75</v>
      </c>
      <c r="K761" s="23">
        <f t="shared" ref="K761:K790" si="117">C761*7.804+D761*0.53+E761*7.5+F761*5</f>
        <v>42235.768000000622</v>
      </c>
      <c r="L761" s="23">
        <f t="shared" si="114"/>
        <v>4.3456907089207348</v>
      </c>
      <c r="M761" s="12" t="s">
        <v>11</v>
      </c>
      <c r="N761" s="7">
        <v>33914</v>
      </c>
      <c r="O761" s="7">
        <v>39909.670000000013</v>
      </c>
      <c r="P761" s="7">
        <f t="shared" si="111"/>
        <v>45351.897727272742</v>
      </c>
      <c r="Q761" s="7">
        <v>46259</v>
      </c>
      <c r="R761" s="7">
        <v>11991.680000000011</v>
      </c>
      <c r="S761" s="7">
        <f t="shared" si="112"/>
        <v>15988.906666666682</v>
      </c>
      <c r="T761" s="2">
        <v>7887</v>
      </c>
      <c r="U761" s="7">
        <f t="shared" ref="U761:U790" si="118">N761*0.53+P761*4.68+Q761*4.28+S761*8.7</f>
        <v>567313.30936363665</v>
      </c>
      <c r="V761" s="7">
        <f t="shared" si="113"/>
        <v>71.930177426605383</v>
      </c>
      <c r="W761" s="17"/>
      <c r="X761" s="11"/>
      <c r="AA761" s="11"/>
      <c r="AB761" s="11"/>
      <c r="AC761" s="11"/>
      <c r="AD761" s="11"/>
      <c r="AE761" s="11"/>
    </row>
    <row r="762" spans="1:31" x14ac:dyDescent="0.25">
      <c r="A762" s="15" t="s">
        <v>1</v>
      </c>
      <c r="B762" s="21">
        <v>45933</v>
      </c>
      <c r="C762" s="7">
        <v>5225</v>
      </c>
      <c r="D762" s="7">
        <v>15299.999999999272</v>
      </c>
      <c r="E762" s="7">
        <v>0</v>
      </c>
      <c r="F762" s="7">
        <v>687</v>
      </c>
      <c r="G762" s="7">
        <v>9649</v>
      </c>
      <c r="H762" s="7">
        <v>9558</v>
      </c>
      <c r="I762" s="7">
        <v>0</v>
      </c>
      <c r="J762" s="2">
        <v>29.45000076293945</v>
      </c>
      <c r="K762" s="23">
        <f t="shared" si="117"/>
        <v>52319.899999999616</v>
      </c>
      <c r="L762" s="23">
        <f t="shared" si="114"/>
        <v>5.4223131930769632</v>
      </c>
      <c r="M762" s="12" t="s">
        <v>11</v>
      </c>
      <c r="N762" s="7">
        <v>33843</v>
      </c>
      <c r="O762" s="7">
        <v>39341.33</v>
      </c>
      <c r="P762" s="7">
        <f t="shared" si="111"/>
        <v>44706.056818181823</v>
      </c>
      <c r="Q762" s="7">
        <v>49203</v>
      </c>
      <c r="R762" s="7">
        <v>9743.2399999999925</v>
      </c>
      <c r="S762" s="7">
        <f t="shared" si="112"/>
        <v>12990.986666666657</v>
      </c>
      <c r="T762" s="2">
        <v>7979</v>
      </c>
      <c r="U762" s="7">
        <f t="shared" si="118"/>
        <v>550771.55990909087</v>
      </c>
      <c r="V762" s="7">
        <f t="shared" si="113"/>
        <v>69.027642550330981</v>
      </c>
      <c r="W762" s="17"/>
      <c r="X762" s="11"/>
      <c r="AA762" s="11"/>
      <c r="AB762" s="11"/>
      <c r="AC762" s="11"/>
      <c r="AD762" s="11"/>
      <c r="AE762" s="11"/>
    </row>
    <row r="763" spans="1:31" x14ac:dyDescent="0.25">
      <c r="A763" s="15" t="s">
        <v>1</v>
      </c>
      <c r="B763" s="21">
        <v>45934</v>
      </c>
      <c r="C763" s="7">
        <v>3594</v>
      </c>
      <c r="D763" s="7">
        <v>14680.000000000291</v>
      </c>
      <c r="E763" s="7">
        <v>5000</v>
      </c>
      <c r="F763" s="7">
        <v>583</v>
      </c>
      <c r="G763" s="7">
        <v>10309</v>
      </c>
      <c r="H763" s="7">
        <v>9833</v>
      </c>
      <c r="I763" s="7">
        <v>31080</v>
      </c>
      <c r="J763" s="2">
        <v>28.75</v>
      </c>
      <c r="K763" s="23">
        <f t="shared" si="117"/>
        <v>76242.976000000155</v>
      </c>
      <c r="L763" s="23">
        <f t="shared" si="114"/>
        <v>7.3957683577456743</v>
      </c>
      <c r="M763" s="12" t="s">
        <v>11</v>
      </c>
      <c r="N763" s="7">
        <v>32759</v>
      </c>
      <c r="O763" s="7">
        <v>38536.069999999992</v>
      </c>
      <c r="P763" s="7">
        <f t="shared" si="111"/>
        <v>43790.988636363625</v>
      </c>
      <c r="Q763" s="7">
        <v>44306</v>
      </c>
      <c r="R763" s="7">
        <v>13115.899999999987</v>
      </c>
      <c r="S763" s="7">
        <f t="shared" si="112"/>
        <v>17487.86666666665</v>
      </c>
      <c r="T763" s="2">
        <v>8223</v>
      </c>
      <c r="U763" s="7">
        <f t="shared" si="118"/>
        <v>564078.21681818157</v>
      </c>
      <c r="V763" s="7">
        <f t="shared" si="113"/>
        <v>68.597618486948988</v>
      </c>
      <c r="W763" s="17"/>
      <c r="X763" s="11"/>
      <c r="AA763" s="11"/>
      <c r="AB763" s="11"/>
      <c r="AC763" s="11"/>
      <c r="AD763" s="11"/>
      <c r="AE763" s="11"/>
    </row>
    <row r="764" spans="1:31" x14ac:dyDescent="0.25">
      <c r="A764" s="15" t="s">
        <v>1</v>
      </c>
      <c r="B764" s="21">
        <v>45935</v>
      </c>
      <c r="C764" s="8">
        <v>4550</v>
      </c>
      <c r="D764" s="8">
        <v>14080.000000001746</v>
      </c>
      <c r="E764" s="8">
        <v>0</v>
      </c>
      <c r="F764" s="7">
        <v>75</v>
      </c>
      <c r="G764" s="8">
        <v>10597</v>
      </c>
      <c r="H764" s="8">
        <v>9292</v>
      </c>
      <c r="I764" s="8">
        <v>0</v>
      </c>
      <c r="J764" s="2">
        <v>32.25</v>
      </c>
      <c r="K764" s="23">
        <f t="shared" si="117"/>
        <v>43345.60000000093</v>
      </c>
      <c r="L764" s="23">
        <f t="shared" si="114"/>
        <v>4.0903651976975492</v>
      </c>
      <c r="M764" s="12" t="s">
        <v>11</v>
      </c>
      <c r="N764" s="8">
        <v>34217</v>
      </c>
      <c r="O764" s="8">
        <v>40857.519999999997</v>
      </c>
      <c r="P764" s="7">
        <f t="shared" si="111"/>
        <v>46428.999999999993</v>
      </c>
      <c r="Q764" s="8">
        <v>45911</v>
      </c>
      <c r="R764" s="8">
        <v>11242.200000000026</v>
      </c>
      <c r="S764" s="7">
        <f t="shared" si="112"/>
        <v>14989.600000000035</v>
      </c>
      <c r="T764" s="2">
        <v>9347</v>
      </c>
      <c r="U764" s="7">
        <f t="shared" si="118"/>
        <v>562331.33000000019</v>
      </c>
      <c r="V764" s="7">
        <f t="shared" si="113"/>
        <v>60.161691451802739</v>
      </c>
      <c r="W764" s="17"/>
      <c r="X764" s="11"/>
      <c r="AA764" s="11"/>
      <c r="AB764" s="11"/>
      <c r="AC764" s="11"/>
      <c r="AD764" s="11"/>
      <c r="AE764" s="11"/>
    </row>
    <row r="765" spans="1:31" x14ac:dyDescent="0.25">
      <c r="A765" s="15" t="s">
        <v>1</v>
      </c>
      <c r="B765" s="21">
        <v>45936</v>
      </c>
      <c r="C765" s="7">
        <v>4270</v>
      </c>
      <c r="D765" s="7">
        <v>7709.9999999991269</v>
      </c>
      <c r="E765" s="7">
        <v>0</v>
      </c>
      <c r="F765" s="7">
        <v>625</v>
      </c>
      <c r="G765" s="7">
        <v>9146</v>
      </c>
      <c r="H765" s="7">
        <v>5604</v>
      </c>
      <c r="I765" s="7">
        <v>0</v>
      </c>
      <c r="J765" s="2">
        <v>31.04999923706055</v>
      </c>
      <c r="K765" s="23">
        <f t="shared" si="117"/>
        <v>40534.379999999539</v>
      </c>
      <c r="L765" s="23">
        <f t="shared" si="114"/>
        <v>4.4319243385085869</v>
      </c>
      <c r="M765" s="12" t="s">
        <v>11</v>
      </c>
      <c r="N765" s="7">
        <v>32936</v>
      </c>
      <c r="O765" s="7">
        <v>38840.12000000001</v>
      </c>
      <c r="P765" s="7">
        <f t="shared" si="111"/>
        <v>44136.500000000015</v>
      </c>
      <c r="Q765" s="7">
        <v>33268</v>
      </c>
      <c r="R765" s="7">
        <v>11617.799999999974</v>
      </c>
      <c r="S765" s="7">
        <f t="shared" si="112"/>
        <v>15490.399999999965</v>
      </c>
      <c r="T765" s="2">
        <v>8115</v>
      </c>
      <c r="U765" s="7">
        <f t="shared" si="118"/>
        <v>501168.41999999975</v>
      </c>
      <c r="V765" s="7">
        <f t="shared" si="113"/>
        <v>61.758277264325294</v>
      </c>
      <c r="W765" s="17"/>
      <c r="X765" s="11"/>
      <c r="AA765" s="11"/>
      <c r="AB765" s="11"/>
      <c r="AC765" s="11"/>
      <c r="AD765" s="11"/>
      <c r="AE765" s="11"/>
    </row>
    <row r="766" spans="1:31" x14ac:dyDescent="0.25">
      <c r="A766" s="15" t="s">
        <v>1</v>
      </c>
      <c r="B766" s="21">
        <v>45937</v>
      </c>
      <c r="C766" s="7">
        <v>4120</v>
      </c>
      <c r="D766" s="7">
        <v>12590.000000000146</v>
      </c>
      <c r="E766" s="7">
        <v>6200</v>
      </c>
      <c r="F766" s="7">
        <v>518</v>
      </c>
      <c r="G766" s="7">
        <v>11105</v>
      </c>
      <c r="H766" s="7">
        <v>7467</v>
      </c>
      <c r="I766" s="7">
        <v>34474</v>
      </c>
      <c r="J766" s="2">
        <v>28.10000038146973</v>
      </c>
      <c r="K766" s="23">
        <f t="shared" si="117"/>
        <v>87915.18000000008</v>
      </c>
      <c r="L766" s="23">
        <f t="shared" si="114"/>
        <v>7.9167203962179267</v>
      </c>
      <c r="M766" s="12" t="s">
        <v>11</v>
      </c>
      <c r="N766" s="7">
        <v>32816</v>
      </c>
      <c r="O766" s="7">
        <v>38385.08</v>
      </c>
      <c r="P766" s="7">
        <f t="shared" si="111"/>
        <v>43619.409090909096</v>
      </c>
      <c r="Q766" s="7">
        <v>35515</v>
      </c>
      <c r="R766" s="7">
        <v>11242.199999999961</v>
      </c>
      <c r="S766" s="7">
        <f t="shared" si="112"/>
        <v>14989.599999999948</v>
      </c>
      <c r="T766" s="2">
        <v>7841</v>
      </c>
      <c r="U766" s="7">
        <f t="shared" si="118"/>
        <v>503945.03454545414</v>
      </c>
      <c r="V766" s="7">
        <f t="shared" si="113"/>
        <v>64.270505617326123</v>
      </c>
      <c r="W766" s="17"/>
      <c r="X766" s="11"/>
      <c r="AA766" s="11"/>
      <c r="AB766" s="11"/>
      <c r="AC766" s="11"/>
      <c r="AD766" s="11"/>
      <c r="AE766" s="11"/>
    </row>
    <row r="767" spans="1:31" x14ac:dyDescent="0.25">
      <c r="A767" s="15" t="s">
        <v>1</v>
      </c>
      <c r="B767" s="21">
        <v>45938</v>
      </c>
      <c r="C767" s="7">
        <v>4291</v>
      </c>
      <c r="D767" s="7">
        <v>13789.999999997235</v>
      </c>
      <c r="E767" s="7">
        <v>0</v>
      </c>
      <c r="F767" s="7">
        <v>700</v>
      </c>
      <c r="G767" s="7">
        <v>12929</v>
      </c>
      <c r="H767" s="7">
        <v>8206</v>
      </c>
      <c r="I767" s="7">
        <v>0</v>
      </c>
      <c r="J767" s="2">
        <v>25.89999961853027</v>
      </c>
      <c r="K767" s="23">
        <f t="shared" si="117"/>
        <v>44295.663999998535</v>
      </c>
      <c r="L767" s="23">
        <f t="shared" si="114"/>
        <v>3.4260703844070335</v>
      </c>
      <c r="M767" s="12" t="s">
        <v>11</v>
      </c>
      <c r="N767" s="7">
        <v>34255</v>
      </c>
      <c r="O767" s="7">
        <v>42002.539999999994</v>
      </c>
      <c r="P767" s="7">
        <f t="shared" si="111"/>
        <v>47730.159090909081</v>
      </c>
      <c r="Q767" s="7">
        <v>50084</v>
      </c>
      <c r="R767" s="7">
        <v>7494.8000000000402</v>
      </c>
      <c r="S767" s="7">
        <f t="shared" si="112"/>
        <v>9993.0666666667203</v>
      </c>
      <c r="T767" s="2">
        <v>8195</v>
      </c>
      <c r="U767" s="7">
        <f t="shared" si="118"/>
        <v>542831.49454545486</v>
      </c>
      <c r="V767" s="7">
        <f t="shared" si="113"/>
        <v>66.239352598591196</v>
      </c>
      <c r="W767" s="17"/>
      <c r="X767" s="11"/>
      <c r="AA767" s="11"/>
      <c r="AB767" s="11"/>
      <c r="AC767" s="11"/>
      <c r="AD767" s="11"/>
      <c r="AE767" s="11"/>
    </row>
    <row r="768" spans="1:31" x14ac:dyDescent="0.25">
      <c r="A768" s="15" t="s">
        <v>1</v>
      </c>
      <c r="B768" s="21">
        <v>45939</v>
      </c>
      <c r="C768" s="7">
        <v>2785</v>
      </c>
      <c r="D768" s="7">
        <v>15139.999999999418</v>
      </c>
      <c r="E768" s="7">
        <v>3325</v>
      </c>
      <c r="F768" s="7">
        <v>616</v>
      </c>
      <c r="G768" s="7">
        <v>13839</v>
      </c>
      <c r="H768" s="7">
        <v>8710</v>
      </c>
      <c r="I768" s="7">
        <v>18599</v>
      </c>
      <c r="J768" s="2">
        <v>25.25</v>
      </c>
      <c r="K768" s="23">
        <f t="shared" si="117"/>
        <v>57775.839999999691</v>
      </c>
      <c r="L768" s="23">
        <f t="shared" si="114"/>
        <v>4.1748565647806704</v>
      </c>
      <c r="M768" s="12" t="s">
        <v>11</v>
      </c>
      <c r="N768" s="7">
        <v>33433</v>
      </c>
      <c r="O768" s="7">
        <v>38536.07</v>
      </c>
      <c r="P768" s="7">
        <f t="shared" si="111"/>
        <v>43790.988636363632</v>
      </c>
      <c r="Q768" s="7">
        <v>55423</v>
      </c>
      <c r="R768" s="7">
        <v>0</v>
      </c>
      <c r="S768" s="7">
        <f t="shared" si="112"/>
        <v>0</v>
      </c>
      <c r="T768" s="2">
        <v>6692</v>
      </c>
      <c r="U768" s="7">
        <f t="shared" si="118"/>
        <v>459871.75681818178</v>
      </c>
      <c r="V768" s="7">
        <f t="shared" si="113"/>
        <v>68.719628932782697</v>
      </c>
      <c r="W768" s="17"/>
      <c r="X768" s="11"/>
      <c r="AA768" s="11"/>
      <c r="AB768" s="11"/>
      <c r="AC768" s="11"/>
      <c r="AD768" s="11"/>
      <c r="AE768" s="11"/>
    </row>
    <row r="769" spans="1:31" x14ac:dyDescent="0.25">
      <c r="A769" s="15" t="s">
        <v>1</v>
      </c>
      <c r="B769" s="21">
        <v>45940</v>
      </c>
      <c r="C769" s="8">
        <v>5430</v>
      </c>
      <c r="D769" s="8">
        <v>15899.999999999998</v>
      </c>
      <c r="E769" s="8">
        <v>3400</v>
      </c>
      <c r="F769" s="7">
        <v>610</v>
      </c>
      <c r="G769" s="8">
        <v>13000</v>
      </c>
      <c r="H769" s="8">
        <v>8580</v>
      </c>
      <c r="I769" s="8">
        <v>18766</v>
      </c>
      <c r="J769" s="2">
        <v>28.64999961853027</v>
      </c>
      <c r="K769" s="23">
        <f t="shared" si="117"/>
        <v>79352.72</v>
      </c>
      <c r="L769" s="23">
        <f t="shared" si="114"/>
        <v>6.1040553846153847</v>
      </c>
      <c r="M769" s="12" t="s">
        <v>11</v>
      </c>
      <c r="N769" s="8">
        <v>34291</v>
      </c>
      <c r="O769" s="8">
        <v>36781.270000000004</v>
      </c>
      <c r="P769" s="7">
        <f t="shared" si="111"/>
        <v>41796.897727272735</v>
      </c>
      <c r="Q769" s="8">
        <v>58138</v>
      </c>
      <c r="R769" s="8">
        <v>0</v>
      </c>
      <c r="S769" s="7">
        <f t="shared" si="112"/>
        <v>0</v>
      </c>
      <c r="T769" s="2">
        <v>8076</v>
      </c>
      <c r="U769" s="7">
        <f t="shared" si="118"/>
        <v>462614.35136363644</v>
      </c>
      <c r="V769" s="7">
        <f t="shared" si="113"/>
        <v>57.282609133684552</v>
      </c>
      <c r="W769" s="17"/>
      <c r="X769" s="11"/>
      <c r="AA769" s="11"/>
      <c r="AB769" s="11"/>
      <c r="AC769" s="11"/>
      <c r="AD769" s="11"/>
      <c r="AE769" s="11"/>
    </row>
    <row r="770" spans="1:31" x14ac:dyDescent="0.25">
      <c r="A770" s="15" t="s">
        <v>1</v>
      </c>
      <c r="B770" s="21">
        <v>45941</v>
      </c>
      <c r="C770" s="7">
        <v>4088</v>
      </c>
      <c r="D770" s="7">
        <v>13800.00000000291</v>
      </c>
      <c r="E770" s="7">
        <v>0</v>
      </c>
      <c r="F770" s="7">
        <v>568</v>
      </c>
      <c r="G770" s="7">
        <v>12388</v>
      </c>
      <c r="H770" s="7">
        <v>7524</v>
      </c>
      <c r="I770" s="7">
        <v>0</v>
      </c>
      <c r="J770" s="2">
        <v>28.85000038146973</v>
      </c>
      <c r="K770" s="23">
        <f t="shared" si="117"/>
        <v>42056.752000001543</v>
      </c>
      <c r="L770" s="23">
        <f t="shared" si="114"/>
        <v>3.3949589925735828</v>
      </c>
      <c r="M770" s="12" t="s">
        <v>11</v>
      </c>
      <c r="N770" s="7">
        <v>31304</v>
      </c>
      <c r="O770" s="7">
        <v>37143.200000000004</v>
      </c>
      <c r="P770" s="7">
        <f t="shared" ref="P770:P833" si="119">O770/0.88</f>
        <v>42208.181818181823</v>
      </c>
      <c r="Q770" s="7">
        <v>51998</v>
      </c>
      <c r="R770" s="7">
        <v>0</v>
      </c>
      <c r="S770" s="7">
        <f t="shared" si="112"/>
        <v>0</v>
      </c>
      <c r="T770" s="2">
        <v>7497</v>
      </c>
      <c r="U770" s="7">
        <f t="shared" si="118"/>
        <v>436676.85090909095</v>
      </c>
      <c r="V770" s="7">
        <f t="shared" si="113"/>
        <v>58.246878872761229</v>
      </c>
      <c r="W770" s="17"/>
      <c r="X770" s="11"/>
      <c r="AA770" s="11"/>
      <c r="AB770" s="11"/>
      <c r="AC770" s="11"/>
      <c r="AD770" s="11"/>
      <c r="AE770" s="11"/>
    </row>
    <row r="771" spans="1:31" x14ac:dyDescent="0.25">
      <c r="A771" s="15" t="s">
        <v>1</v>
      </c>
      <c r="B771" s="21">
        <v>45942</v>
      </c>
      <c r="C771" s="7">
        <v>4900</v>
      </c>
      <c r="D771" s="7">
        <v>15649.999999997817</v>
      </c>
      <c r="E771" s="7">
        <v>0</v>
      </c>
      <c r="F771" s="7">
        <v>96</v>
      </c>
      <c r="G771" s="7">
        <v>10354</v>
      </c>
      <c r="H771" s="7">
        <v>9081</v>
      </c>
      <c r="I771" s="7">
        <v>0</v>
      </c>
      <c r="J771" s="2">
        <v>30.29999923706055</v>
      </c>
      <c r="K771" s="23">
        <f t="shared" si="117"/>
        <v>47014.099999998842</v>
      </c>
      <c r="L771" s="23">
        <f t="shared" si="114"/>
        <v>4.5406702723583967</v>
      </c>
      <c r="M771" s="12" t="s">
        <v>11</v>
      </c>
      <c r="N771" s="7">
        <v>32831</v>
      </c>
      <c r="O771" s="7">
        <v>39928.939999999995</v>
      </c>
      <c r="P771" s="7">
        <f t="shared" si="119"/>
        <v>45373.795454545449</v>
      </c>
      <c r="Q771" s="7">
        <v>51317</v>
      </c>
      <c r="R771" s="7">
        <v>5995.8400000000056</v>
      </c>
      <c r="S771" s="7">
        <f t="shared" ref="S771:S834" si="120">R771/0.75</f>
        <v>7994.4533333333411</v>
      </c>
      <c r="T771" s="2">
        <v>8308</v>
      </c>
      <c r="U771" s="7">
        <f t="shared" si="118"/>
        <v>518938.29672727274</v>
      </c>
      <c r="V771" s="7">
        <f t="shared" ref="V771:V834" si="121">U771/T771</f>
        <v>62.46248155118834</v>
      </c>
      <c r="W771" s="17"/>
      <c r="X771" s="11"/>
      <c r="AA771" s="11"/>
      <c r="AB771" s="11"/>
      <c r="AC771" s="11"/>
      <c r="AD771" s="11"/>
      <c r="AE771" s="11"/>
    </row>
    <row r="772" spans="1:31" x14ac:dyDescent="0.25">
      <c r="A772" s="15" t="s">
        <v>1</v>
      </c>
      <c r="B772" s="21">
        <v>45943</v>
      </c>
      <c r="C772" s="7">
        <v>4400</v>
      </c>
      <c r="D772" s="7">
        <v>9189.9999999986903</v>
      </c>
      <c r="E772" s="7">
        <v>0</v>
      </c>
      <c r="F772" s="7">
        <v>682</v>
      </c>
      <c r="G772" s="7">
        <v>9531</v>
      </c>
      <c r="H772" s="7">
        <v>6682</v>
      </c>
      <c r="I772" s="7">
        <v>0</v>
      </c>
      <c r="J772" s="2">
        <v>31.20000076293945</v>
      </c>
      <c r="K772" s="23">
        <f t="shared" si="117"/>
        <v>42618.299999999304</v>
      </c>
      <c r="L772" s="23">
        <f t="shared" si="114"/>
        <v>4.4715454831601411</v>
      </c>
      <c r="M772" s="12" t="s">
        <v>11</v>
      </c>
      <c r="N772" s="7">
        <v>32218</v>
      </c>
      <c r="O772" s="7">
        <v>38932.570000000007</v>
      </c>
      <c r="P772" s="7">
        <f t="shared" si="119"/>
        <v>44241.556818181823</v>
      </c>
      <c r="Q772" s="7">
        <v>45435</v>
      </c>
      <c r="R772" s="7">
        <v>11242.199999999961</v>
      </c>
      <c r="S772" s="7">
        <f t="shared" si="120"/>
        <v>14989.599999999948</v>
      </c>
      <c r="T772" s="2">
        <v>8335</v>
      </c>
      <c r="U772" s="7">
        <f t="shared" si="118"/>
        <v>548997.34590909048</v>
      </c>
      <c r="V772" s="7">
        <f t="shared" si="121"/>
        <v>65.866508207449371</v>
      </c>
      <c r="W772" s="17"/>
      <c r="X772" s="11"/>
      <c r="AA772" s="11"/>
      <c r="AB772" s="11"/>
      <c r="AC772" s="11"/>
      <c r="AD772" s="11"/>
      <c r="AE772" s="11"/>
    </row>
    <row r="773" spans="1:31" x14ac:dyDescent="0.25">
      <c r="A773" s="15" t="s">
        <v>1</v>
      </c>
      <c r="B773" s="21">
        <v>45944</v>
      </c>
      <c r="C773" s="7">
        <v>3593</v>
      </c>
      <c r="D773" s="7">
        <v>15099.999999998545</v>
      </c>
      <c r="E773" s="7">
        <v>0</v>
      </c>
      <c r="F773" s="7">
        <v>639</v>
      </c>
      <c r="G773" s="7">
        <v>12935</v>
      </c>
      <c r="H773" s="7">
        <v>8642</v>
      </c>
      <c r="I773" s="7">
        <v>0</v>
      </c>
      <c r="J773" s="2">
        <v>27.64999961853027</v>
      </c>
      <c r="K773" s="23">
        <f t="shared" si="117"/>
        <v>39237.771999999226</v>
      </c>
      <c r="L773" s="23">
        <f t="shared" si="114"/>
        <v>3.0334574410513508</v>
      </c>
      <c r="M773" s="12" t="s">
        <v>11</v>
      </c>
      <c r="N773" s="7">
        <v>25643</v>
      </c>
      <c r="O773" s="7">
        <v>24607.369999999992</v>
      </c>
      <c r="P773" s="7">
        <f t="shared" si="119"/>
        <v>27962.920454545445</v>
      </c>
      <c r="Q773" s="7">
        <v>33651</v>
      </c>
      <c r="R773" s="7">
        <v>3747.4000000000533</v>
      </c>
      <c r="S773" s="7">
        <f t="shared" si="120"/>
        <v>4996.5333333334047</v>
      </c>
      <c r="T773" s="2">
        <v>4610</v>
      </c>
      <c r="U773" s="7">
        <f t="shared" si="118"/>
        <v>331953.37772727327</v>
      </c>
      <c r="V773" s="7">
        <f t="shared" si="121"/>
        <v>72.00724028791177</v>
      </c>
      <c r="W773" s="17"/>
      <c r="X773" s="11"/>
      <c r="AA773" s="11"/>
      <c r="AB773" s="11"/>
      <c r="AC773" s="11"/>
      <c r="AD773" s="11"/>
      <c r="AE773" s="11"/>
    </row>
    <row r="774" spans="1:31" x14ac:dyDescent="0.25">
      <c r="A774" s="15" t="s">
        <v>1</v>
      </c>
      <c r="B774" s="21">
        <v>45945</v>
      </c>
      <c r="C774" s="8">
        <v>4537</v>
      </c>
      <c r="D774" s="8">
        <v>13010.000000002037</v>
      </c>
      <c r="E774" s="8">
        <v>0</v>
      </c>
      <c r="F774" s="7">
        <v>751</v>
      </c>
      <c r="G774" s="8">
        <v>12098</v>
      </c>
      <c r="H774" s="8">
        <v>8065</v>
      </c>
      <c r="I774" s="8">
        <v>0</v>
      </c>
      <c r="J774" s="2">
        <v>27.39999961853027</v>
      </c>
      <c r="K774" s="23">
        <f t="shared" si="117"/>
        <v>46057.048000001079</v>
      </c>
      <c r="L774" s="23">
        <f t="shared" si="114"/>
        <v>3.8069968589850456</v>
      </c>
      <c r="M774" s="12" t="s">
        <v>11</v>
      </c>
      <c r="N774" s="8">
        <v>32947</v>
      </c>
      <c r="O774" s="8">
        <v>37059.880000000005</v>
      </c>
      <c r="P774" s="7">
        <f t="shared" si="119"/>
        <v>42113.500000000007</v>
      </c>
      <c r="Q774" s="8">
        <v>55947</v>
      </c>
      <c r="R774" s="8">
        <v>0</v>
      </c>
      <c r="S774" s="7">
        <f t="shared" si="120"/>
        <v>0</v>
      </c>
      <c r="T774" s="2">
        <v>7900</v>
      </c>
      <c r="U774" s="7">
        <f t="shared" si="118"/>
        <v>454006.25</v>
      </c>
      <c r="V774" s="7">
        <f t="shared" si="121"/>
        <v>57.469145569620252</v>
      </c>
      <c r="W774" s="17"/>
      <c r="X774" s="11"/>
      <c r="AA774" s="11"/>
      <c r="AB774" s="11"/>
      <c r="AC774" s="11"/>
      <c r="AD774" s="11"/>
      <c r="AE774" s="11"/>
    </row>
    <row r="775" spans="1:31" x14ac:dyDescent="0.25">
      <c r="A775" s="15" t="s">
        <v>1</v>
      </c>
      <c r="B775" s="21">
        <v>45946</v>
      </c>
      <c r="C775" s="7">
        <v>5025</v>
      </c>
      <c r="D775" s="7">
        <v>7109.9999999969441</v>
      </c>
      <c r="E775" s="7">
        <v>7000</v>
      </c>
      <c r="F775" s="7">
        <v>657</v>
      </c>
      <c r="G775" s="7">
        <v>9096</v>
      </c>
      <c r="H775" s="7">
        <v>4472</v>
      </c>
      <c r="I775" s="7">
        <v>62757</v>
      </c>
      <c r="J775" s="2">
        <v>27.79999923706055</v>
      </c>
      <c r="K775" s="23">
        <f t="shared" si="117"/>
        <v>98768.399999998379</v>
      </c>
      <c r="L775" s="23">
        <f t="shared" si="114"/>
        <v>10.858443271767632</v>
      </c>
      <c r="M775" s="12" t="s">
        <v>11</v>
      </c>
      <c r="N775" s="7">
        <v>33468</v>
      </c>
      <c r="O775" s="7">
        <v>36092.689999999995</v>
      </c>
      <c r="P775" s="7">
        <f t="shared" si="119"/>
        <v>41014.420454545449</v>
      </c>
      <c r="Q775" s="7">
        <v>59609</v>
      </c>
      <c r="R775" s="7">
        <v>0</v>
      </c>
      <c r="S775" s="7">
        <f t="shared" si="120"/>
        <v>0</v>
      </c>
      <c r="T775" s="2">
        <v>8737</v>
      </c>
      <c r="U775" s="7">
        <f t="shared" si="118"/>
        <v>464812.04772727273</v>
      </c>
      <c r="V775" s="7">
        <f t="shared" si="121"/>
        <v>53.200417503407664</v>
      </c>
      <c r="W775" s="17"/>
      <c r="X775" s="11"/>
      <c r="AA775" s="11"/>
      <c r="AB775" s="11"/>
      <c r="AC775" s="11"/>
      <c r="AD775" s="11"/>
      <c r="AE775" s="11"/>
    </row>
    <row r="776" spans="1:31" x14ac:dyDescent="0.25">
      <c r="A776" s="15" t="s">
        <v>1</v>
      </c>
      <c r="B776" s="21">
        <v>45947</v>
      </c>
      <c r="C776" s="7">
        <v>4296</v>
      </c>
      <c r="D776" s="7">
        <v>12019.999999996799</v>
      </c>
      <c r="E776" s="7">
        <v>0</v>
      </c>
      <c r="F776" s="7">
        <v>644</v>
      </c>
      <c r="G776" s="7">
        <v>11831</v>
      </c>
      <c r="H776" s="7">
        <v>9734</v>
      </c>
      <c r="I776" s="7">
        <v>0</v>
      </c>
      <c r="J776" s="2">
        <v>30.14999961853027</v>
      </c>
      <c r="K776" s="23">
        <f t="shared" si="117"/>
        <v>43116.583999998307</v>
      </c>
      <c r="L776" s="23">
        <f t="shared" si="114"/>
        <v>3.6443735947931963</v>
      </c>
      <c r="M776" s="12" t="s">
        <v>11</v>
      </c>
      <c r="N776" s="7">
        <v>32981</v>
      </c>
      <c r="O776" s="7">
        <v>39534.440000000017</v>
      </c>
      <c r="P776" s="7">
        <f t="shared" si="119"/>
        <v>44925.500000000022</v>
      </c>
      <c r="Q776" s="7">
        <v>51081</v>
      </c>
      <c r="R776" s="7">
        <v>7770.3999999999869</v>
      </c>
      <c r="S776" s="7">
        <f t="shared" si="120"/>
        <v>10360.533333333316</v>
      </c>
      <c r="T776" s="2">
        <v>8219</v>
      </c>
      <c r="U776" s="7">
        <f t="shared" si="118"/>
        <v>536494.58999999985</v>
      </c>
      <c r="V776" s="7">
        <f t="shared" si="121"/>
        <v>65.274922739992675</v>
      </c>
      <c r="W776" s="17"/>
      <c r="X776" s="11"/>
      <c r="AA776" s="11"/>
      <c r="AB776" s="11"/>
      <c r="AC776" s="11"/>
      <c r="AD776" s="11"/>
      <c r="AE776" s="11"/>
    </row>
    <row r="777" spans="1:31" x14ac:dyDescent="0.25">
      <c r="A777" s="15" t="s">
        <v>1</v>
      </c>
      <c r="B777" s="21">
        <v>45948</v>
      </c>
      <c r="C777" s="7">
        <v>4781</v>
      </c>
      <c r="D777" s="7">
        <v>12110.000000000582</v>
      </c>
      <c r="E777" s="7">
        <v>0</v>
      </c>
      <c r="F777" s="7">
        <v>643</v>
      </c>
      <c r="G777" s="7">
        <v>11642</v>
      </c>
      <c r="H777" s="7">
        <v>10140</v>
      </c>
      <c r="I777" s="7">
        <v>0</v>
      </c>
      <c r="J777" s="2">
        <v>30.29999923706055</v>
      </c>
      <c r="K777" s="23">
        <f t="shared" si="117"/>
        <v>46944.224000000308</v>
      </c>
      <c r="L777" s="23">
        <f t="shared" ref="L777:L840" si="122">K777/G777</f>
        <v>4.0323160968905949</v>
      </c>
      <c r="M777" s="12" t="s">
        <v>11</v>
      </c>
      <c r="N777" s="7">
        <v>32499</v>
      </c>
      <c r="O777" s="7">
        <v>40857.519999999997</v>
      </c>
      <c r="P777" s="7">
        <f t="shared" si="119"/>
        <v>46428.999999999993</v>
      </c>
      <c r="Q777" s="7">
        <v>45810</v>
      </c>
      <c r="R777" s="7">
        <v>11242.199999999961</v>
      </c>
      <c r="S777" s="7">
        <f t="shared" si="120"/>
        <v>14989.599999999948</v>
      </c>
      <c r="T777" s="2">
        <v>7263</v>
      </c>
      <c r="U777" s="7">
        <f t="shared" si="118"/>
        <v>560988.50999999954</v>
      </c>
      <c r="V777" s="7">
        <f t="shared" si="121"/>
        <v>77.239227591904111</v>
      </c>
      <c r="W777" s="17"/>
      <c r="X777" s="11"/>
      <c r="AA777" s="11"/>
      <c r="AB777" s="11"/>
      <c r="AC777" s="11"/>
      <c r="AD777" s="11"/>
      <c r="AE777" s="11"/>
    </row>
    <row r="778" spans="1:31" x14ac:dyDescent="0.25">
      <c r="A778" s="15" t="s">
        <v>1</v>
      </c>
      <c r="B778" s="21">
        <v>45949</v>
      </c>
      <c r="C778" s="7">
        <v>4150</v>
      </c>
      <c r="D778" s="7">
        <v>10829.999999998108</v>
      </c>
      <c r="E778" s="7">
        <v>0</v>
      </c>
      <c r="F778" s="7">
        <v>0</v>
      </c>
      <c r="G778" s="7">
        <v>8895</v>
      </c>
      <c r="H778" s="7">
        <v>9454</v>
      </c>
      <c r="I778" s="7">
        <v>0</v>
      </c>
      <c r="J778" s="2">
        <v>27.95000076293945</v>
      </c>
      <c r="K778" s="23">
        <f t="shared" si="117"/>
        <v>38126.499999998996</v>
      </c>
      <c r="L778" s="23">
        <f t="shared" si="122"/>
        <v>4.2862844294546374</v>
      </c>
      <c r="M778" s="12" t="s">
        <v>11</v>
      </c>
      <c r="N778" s="7">
        <v>31328</v>
      </c>
      <c r="O778" s="7">
        <v>37607.489999999983</v>
      </c>
      <c r="P778" s="7">
        <f t="shared" si="119"/>
        <v>42735.784090909074</v>
      </c>
      <c r="Q778" s="7">
        <v>42914</v>
      </c>
      <c r="R778" s="7">
        <v>11242.200000000026</v>
      </c>
      <c r="S778" s="7">
        <f t="shared" si="120"/>
        <v>14989.600000000035</v>
      </c>
      <c r="T778" s="2">
        <v>6780</v>
      </c>
      <c r="U778" s="7">
        <f t="shared" si="118"/>
        <v>530688.74954545475</v>
      </c>
      <c r="V778" s="7">
        <f t="shared" si="121"/>
        <v>78.272676924108367</v>
      </c>
      <c r="W778" s="17"/>
      <c r="X778" s="11"/>
      <c r="AA778" s="11"/>
      <c r="AB778" s="11"/>
      <c r="AC778" s="11"/>
      <c r="AD778" s="11"/>
      <c r="AE778" s="11"/>
    </row>
    <row r="779" spans="1:31" x14ac:dyDescent="0.25">
      <c r="A779" s="15" t="s">
        <v>1</v>
      </c>
      <c r="B779" s="21">
        <v>45950</v>
      </c>
      <c r="C779" s="8">
        <v>3970</v>
      </c>
      <c r="D779" s="8">
        <v>9330.0000000017462</v>
      </c>
      <c r="E779" s="8">
        <v>0</v>
      </c>
      <c r="F779" s="7">
        <v>705</v>
      </c>
      <c r="G779" s="8">
        <v>8347</v>
      </c>
      <c r="H779" s="8">
        <v>5278</v>
      </c>
      <c r="I779" s="8">
        <v>0</v>
      </c>
      <c r="J779" s="2">
        <v>27.79999923706055</v>
      </c>
      <c r="K779" s="23">
        <f t="shared" si="117"/>
        <v>39451.78000000093</v>
      </c>
      <c r="L779" s="23">
        <f t="shared" si="122"/>
        <v>4.7264622019888503</v>
      </c>
      <c r="M779" s="12" t="s">
        <v>11</v>
      </c>
      <c r="N779" s="8">
        <v>31021</v>
      </c>
      <c r="O779" s="8">
        <v>38695.17000000002</v>
      </c>
      <c r="P779" s="7">
        <f t="shared" si="119"/>
        <v>43971.78409090911</v>
      </c>
      <c r="Q779" s="8">
        <v>46406</v>
      </c>
      <c r="R779" s="8">
        <v>11242.200000000026</v>
      </c>
      <c r="S779" s="7">
        <f t="shared" si="120"/>
        <v>14989.600000000035</v>
      </c>
      <c r="T779" s="2">
        <v>6218</v>
      </c>
      <c r="U779" s="7">
        <f t="shared" si="118"/>
        <v>551256.27954545489</v>
      </c>
      <c r="V779" s="7">
        <f t="shared" si="121"/>
        <v>88.654917906956399</v>
      </c>
      <c r="W779" s="17"/>
      <c r="X779" s="11"/>
      <c r="AA779" s="11"/>
      <c r="AB779" s="11"/>
      <c r="AC779" s="11"/>
      <c r="AD779" s="11"/>
      <c r="AE779" s="11"/>
    </row>
    <row r="780" spans="1:31" x14ac:dyDescent="0.25">
      <c r="A780" s="15" t="s">
        <v>1</v>
      </c>
      <c r="B780" s="21">
        <v>45951</v>
      </c>
      <c r="C780" s="7">
        <v>3280</v>
      </c>
      <c r="D780" s="7">
        <v>14299.999999999272</v>
      </c>
      <c r="E780" s="7">
        <v>7000</v>
      </c>
      <c r="F780" s="7">
        <v>655</v>
      </c>
      <c r="G780" s="7">
        <v>10642</v>
      </c>
      <c r="H780" s="7">
        <v>9495</v>
      </c>
      <c r="I780" s="7">
        <v>34063</v>
      </c>
      <c r="J780" s="2">
        <v>30.89999961853027</v>
      </c>
      <c r="K780" s="23">
        <f t="shared" si="117"/>
        <v>88951.119999999617</v>
      </c>
      <c r="L780" s="23">
        <f t="shared" si="122"/>
        <v>8.3584965232098867</v>
      </c>
      <c r="M780" s="12" t="s">
        <v>11</v>
      </c>
      <c r="N780" s="7">
        <v>32442</v>
      </c>
      <c r="O780" s="7">
        <v>39122.720000000008</v>
      </c>
      <c r="P780" s="7">
        <f t="shared" si="119"/>
        <v>44457.636363636375</v>
      </c>
      <c r="Q780" s="7">
        <v>46101</v>
      </c>
      <c r="R780" s="7">
        <v>11597.799999999974</v>
      </c>
      <c r="S780" s="7">
        <f t="shared" si="120"/>
        <v>15463.733333333299</v>
      </c>
      <c r="T780" s="2">
        <v>6853</v>
      </c>
      <c r="U780" s="7">
        <f t="shared" si="118"/>
        <v>557102.75818181783</v>
      </c>
      <c r="V780" s="7">
        <f t="shared" si="121"/>
        <v>81.293266916944091</v>
      </c>
      <c r="W780" s="17"/>
      <c r="X780" s="11"/>
      <c r="AA780" s="11"/>
      <c r="AB780" s="11"/>
      <c r="AC780" s="11"/>
      <c r="AD780" s="11"/>
      <c r="AE780" s="11"/>
    </row>
    <row r="781" spans="1:31" x14ac:dyDescent="0.25">
      <c r="A781" s="15" t="s">
        <v>1</v>
      </c>
      <c r="B781" s="21">
        <v>45952</v>
      </c>
      <c r="C781" s="7">
        <v>4990</v>
      </c>
      <c r="D781" s="7">
        <v>12540.000000000873</v>
      </c>
      <c r="E781" s="7">
        <v>0</v>
      </c>
      <c r="F781" s="7">
        <v>599</v>
      </c>
      <c r="G781" s="7">
        <v>10030</v>
      </c>
      <c r="H781" s="7">
        <v>8210</v>
      </c>
      <c r="I781" s="7">
        <v>0</v>
      </c>
      <c r="J781" s="2">
        <v>31.85000038146973</v>
      </c>
      <c r="K781" s="23">
        <f t="shared" si="117"/>
        <v>48583.160000000462</v>
      </c>
      <c r="L781" s="23">
        <f t="shared" si="122"/>
        <v>4.8437846460618603</v>
      </c>
      <c r="M781" s="12" t="s">
        <v>11</v>
      </c>
      <c r="N781" s="7">
        <v>23872</v>
      </c>
      <c r="O781" s="7">
        <v>22285.919999999998</v>
      </c>
      <c r="P781" s="7">
        <f t="shared" si="119"/>
        <v>25324.909090909088</v>
      </c>
      <c r="Q781" s="7">
        <v>36409</v>
      </c>
      <c r="R781" s="7">
        <v>0</v>
      </c>
      <c r="S781" s="7">
        <f t="shared" si="120"/>
        <v>0</v>
      </c>
      <c r="T781" s="2">
        <v>4183</v>
      </c>
      <c r="U781" s="7">
        <f t="shared" si="118"/>
        <v>287003.25454545452</v>
      </c>
      <c r="V781" s="7">
        <f t="shared" si="121"/>
        <v>68.611822745745755</v>
      </c>
      <c r="W781" s="17"/>
      <c r="X781" s="11"/>
      <c r="AA781" s="11"/>
      <c r="AB781" s="11"/>
      <c r="AC781" s="11"/>
      <c r="AD781" s="11"/>
      <c r="AE781" s="11"/>
    </row>
    <row r="782" spans="1:31" x14ac:dyDescent="0.25">
      <c r="A782" s="15" t="s">
        <v>1</v>
      </c>
      <c r="B782" s="21">
        <v>45953</v>
      </c>
      <c r="C782" s="7">
        <v>6311</v>
      </c>
      <c r="D782" s="7">
        <v>13819.999999999709</v>
      </c>
      <c r="E782" s="7">
        <v>3500</v>
      </c>
      <c r="F782" s="7">
        <v>618</v>
      </c>
      <c r="G782" s="7">
        <v>10078</v>
      </c>
      <c r="H782" s="7">
        <v>9334</v>
      </c>
      <c r="I782" s="7">
        <v>27489</v>
      </c>
      <c r="J782" s="2">
        <v>31.85000038146973</v>
      </c>
      <c r="K782" s="23">
        <f t="shared" si="117"/>
        <v>85915.643999999855</v>
      </c>
      <c r="L782" s="23">
        <f t="shared" si="122"/>
        <v>8.5250688628696025</v>
      </c>
      <c r="M782" s="12" t="s">
        <v>11</v>
      </c>
      <c r="N782" s="7">
        <v>35492</v>
      </c>
      <c r="O782" s="7">
        <v>43801.09</v>
      </c>
      <c r="P782" s="7">
        <f t="shared" si="119"/>
        <v>49773.965909090904</v>
      </c>
      <c r="Q782" s="7">
        <v>65957</v>
      </c>
      <c r="R782" s="7">
        <v>0</v>
      </c>
      <c r="S782" s="7">
        <f t="shared" si="120"/>
        <v>0</v>
      </c>
      <c r="T782" s="2">
        <v>8926</v>
      </c>
      <c r="U782" s="7">
        <f t="shared" si="118"/>
        <v>534048.88045454549</v>
      </c>
      <c r="V782" s="7">
        <f t="shared" si="121"/>
        <v>59.830705854195102</v>
      </c>
      <c r="W782" s="17"/>
      <c r="X782" s="11"/>
      <c r="AA782" s="11"/>
      <c r="AB782" s="11"/>
      <c r="AC782" s="11"/>
      <c r="AD782" s="11"/>
      <c r="AE782" s="11"/>
    </row>
    <row r="783" spans="1:31" x14ac:dyDescent="0.25">
      <c r="A783" s="15" t="s">
        <v>1</v>
      </c>
      <c r="B783" s="21">
        <v>45954</v>
      </c>
      <c r="C783" s="7">
        <v>4072</v>
      </c>
      <c r="D783" s="7">
        <v>14740.000000001601</v>
      </c>
      <c r="E783" s="7">
        <v>5400</v>
      </c>
      <c r="F783" s="7">
        <v>659</v>
      </c>
      <c r="G783" s="7">
        <v>8977</v>
      </c>
      <c r="H783" s="7">
        <v>9204</v>
      </c>
      <c r="I783" s="7">
        <v>30014</v>
      </c>
      <c r="J783" s="2">
        <v>24.10000038146973</v>
      </c>
      <c r="K783" s="23">
        <f t="shared" si="117"/>
        <v>83385.088000000847</v>
      </c>
      <c r="L783" s="23">
        <f t="shared" si="122"/>
        <v>9.2887476885374678</v>
      </c>
      <c r="M783" s="12" t="s">
        <v>11</v>
      </c>
      <c r="N783" s="7">
        <v>34147</v>
      </c>
      <c r="O783" s="7">
        <v>38022.959999999992</v>
      </c>
      <c r="P783" s="7">
        <f t="shared" si="119"/>
        <v>43207.909090909081</v>
      </c>
      <c r="Q783" s="7">
        <v>53072</v>
      </c>
      <c r="R783" s="7">
        <v>7494.8000000000402</v>
      </c>
      <c r="S783" s="7">
        <f t="shared" si="120"/>
        <v>9993.0666666667203</v>
      </c>
      <c r="T783" s="2">
        <v>7747</v>
      </c>
      <c r="U783" s="7">
        <f t="shared" si="118"/>
        <v>534398.76454545488</v>
      </c>
      <c r="V783" s="7">
        <f t="shared" si="121"/>
        <v>68.981381766548964</v>
      </c>
      <c r="W783" s="17"/>
      <c r="X783" s="11"/>
      <c r="AA783" s="11"/>
      <c r="AB783" s="11"/>
      <c r="AC783" s="11"/>
      <c r="AD783" s="11"/>
      <c r="AE783" s="11"/>
    </row>
    <row r="784" spans="1:31" x14ac:dyDescent="0.25">
      <c r="A784" s="15" t="s">
        <v>1</v>
      </c>
      <c r="B784" s="21">
        <v>45955</v>
      </c>
      <c r="C784" s="8">
        <v>4740</v>
      </c>
      <c r="D784" s="8">
        <v>16639.999999999418</v>
      </c>
      <c r="E784" s="8">
        <v>0</v>
      </c>
      <c r="F784" s="7">
        <v>537</v>
      </c>
      <c r="G784" s="8">
        <v>10273</v>
      </c>
      <c r="H784" s="8">
        <v>9126</v>
      </c>
      <c r="I784" s="8">
        <v>0</v>
      </c>
      <c r="J784" s="2">
        <v>25.29999923706055</v>
      </c>
      <c r="K784" s="23">
        <f t="shared" si="117"/>
        <v>48495.159999999691</v>
      </c>
      <c r="L784" s="23">
        <f t="shared" si="122"/>
        <v>4.7206424608195938</v>
      </c>
      <c r="M784" s="12" t="s">
        <v>11</v>
      </c>
      <c r="N784" s="8">
        <v>36063</v>
      </c>
      <c r="O784" s="8">
        <v>42250.389999999985</v>
      </c>
      <c r="P784" s="7">
        <f t="shared" si="119"/>
        <v>48011.806818181802</v>
      </c>
      <c r="Q784" s="8">
        <v>56011</v>
      </c>
      <c r="R784" s="8">
        <v>11991.680000000011</v>
      </c>
      <c r="S784" s="7">
        <f t="shared" si="120"/>
        <v>15988.906666666682</v>
      </c>
      <c r="T784" s="2">
        <v>8820</v>
      </c>
      <c r="U784" s="7">
        <f t="shared" si="118"/>
        <v>622639.21390909096</v>
      </c>
      <c r="V784" s="7">
        <f t="shared" si="121"/>
        <v>70.594015182436621</v>
      </c>
      <c r="W784" s="17"/>
      <c r="X784" s="11"/>
      <c r="AA784" s="11"/>
      <c r="AB784" s="11"/>
      <c r="AC784" s="11"/>
      <c r="AD784" s="11"/>
      <c r="AE784" s="11"/>
    </row>
    <row r="785" spans="1:31" x14ac:dyDescent="0.25">
      <c r="A785" s="15" t="s">
        <v>1</v>
      </c>
      <c r="B785" s="21">
        <v>45956</v>
      </c>
      <c r="C785" s="9">
        <v>3750</v>
      </c>
      <c r="D785" s="9">
        <v>14900.000000001455</v>
      </c>
      <c r="E785" s="9">
        <v>0</v>
      </c>
      <c r="F785" s="7">
        <v>116</v>
      </c>
      <c r="G785" s="9">
        <v>9889</v>
      </c>
      <c r="H785" s="9">
        <v>10044</v>
      </c>
      <c r="I785" s="9">
        <v>0</v>
      </c>
      <c r="J785" s="2">
        <v>29.64999961853027</v>
      </c>
      <c r="K785" s="23">
        <f t="shared" si="117"/>
        <v>37742.000000000771</v>
      </c>
      <c r="L785" s="23">
        <f t="shared" si="122"/>
        <v>3.816563858833125</v>
      </c>
      <c r="M785" s="12" t="s">
        <v>11</v>
      </c>
      <c r="N785" s="9">
        <v>35953</v>
      </c>
      <c r="O785" s="9">
        <v>40857.519999999997</v>
      </c>
      <c r="P785" s="7">
        <f t="shared" si="119"/>
        <v>46428.999999999993</v>
      </c>
      <c r="Q785" s="9">
        <v>55688</v>
      </c>
      <c r="R785" s="9">
        <v>13115.899999999987</v>
      </c>
      <c r="S785" s="7">
        <f t="shared" si="120"/>
        <v>17487.86666666665</v>
      </c>
      <c r="T785" s="2">
        <v>8769</v>
      </c>
      <c r="U785" s="7">
        <f t="shared" si="118"/>
        <v>626831.88999999978</v>
      </c>
      <c r="V785" s="7">
        <f t="shared" si="121"/>
        <v>71.482710685368886</v>
      </c>
      <c r="W785" s="17"/>
      <c r="X785" s="11"/>
      <c r="AA785" s="11"/>
      <c r="AB785" s="11"/>
      <c r="AC785" s="11"/>
      <c r="AD785" s="11"/>
      <c r="AE785" s="11"/>
    </row>
    <row r="786" spans="1:31" x14ac:dyDescent="0.25">
      <c r="A786" s="15" t="s">
        <v>1</v>
      </c>
      <c r="B786" s="21">
        <v>45957</v>
      </c>
      <c r="C786" s="10">
        <v>6707</v>
      </c>
      <c r="D786" s="10">
        <v>6299.9999999992724</v>
      </c>
      <c r="E786" s="10">
        <v>0</v>
      </c>
      <c r="F786" s="7">
        <v>685</v>
      </c>
      <c r="G786" s="10">
        <v>8839</v>
      </c>
      <c r="H786" s="10">
        <v>4784</v>
      </c>
      <c r="I786" s="10">
        <v>0</v>
      </c>
      <c r="J786" s="2">
        <v>29.39999961853027</v>
      </c>
      <c r="K786" s="23">
        <f t="shared" si="117"/>
        <v>59105.427999999614</v>
      </c>
      <c r="L786" s="23">
        <f t="shared" si="122"/>
        <v>6.6868908247538874</v>
      </c>
      <c r="M786" s="12" t="s">
        <v>11</v>
      </c>
      <c r="N786" s="10">
        <v>34182</v>
      </c>
      <c r="O786" s="10">
        <v>38831.30000000001</v>
      </c>
      <c r="P786" s="7">
        <f t="shared" si="119"/>
        <v>44126.477272727287</v>
      </c>
      <c r="Q786" s="10">
        <v>48248</v>
      </c>
      <c r="R786" s="10">
        <v>11657.799999999974</v>
      </c>
      <c r="S786" s="7">
        <f t="shared" si="120"/>
        <v>15543.733333333299</v>
      </c>
      <c r="T786" s="2">
        <v>8573</v>
      </c>
      <c r="U786" s="7">
        <f t="shared" si="118"/>
        <v>566360.29363636347</v>
      </c>
      <c r="V786" s="7">
        <f t="shared" si="121"/>
        <v>66.063255993976838</v>
      </c>
      <c r="W786" s="17"/>
      <c r="X786" s="11"/>
      <c r="AA786" s="11"/>
      <c r="AB786" s="11"/>
      <c r="AC786" s="11"/>
      <c r="AD786" s="11"/>
      <c r="AE786" s="11"/>
    </row>
    <row r="787" spans="1:31" x14ac:dyDescent="0.25">
      <c r="A787" s="15" t="s">
        <v>1</v>
      </c>
      <c r="B787" s="21">
        <v>45958</v>
      </c>
      <c r="C787" s="7">
        <v>4160</v>
      </c>
      <c r="D787" s="7">
        <v>14469.999999997526</v>
      </c>
      <c r="E787" s="7">
        <v>5750</v>
      </c>
      <c r="F787" s="7">
        <v>0</v>
      </c>
      <c r="G787" s="7">
        <v>11273</v>
      </c>
      <c r="H787" s="7">
        <v>9464</v>
      </c>
      <c r="I787" s="7">
        <v>31932</v>
      </c>
      <c r="J787" s="2">
        <v>25.85000038146973</v>
      </c>
      <c r="K787" s="23">
        <f t="shared" si="117"/>
        <v>83258.739999998681</v>
      </c>
      <c r="L787" s="23">
        <f t="shared" si="122"/>
        <v>7.3856772820011249</v>
      </c>
      <c r="M787" s="12" t="s">
        <v>11</v>
      </c>
      <c r="N787" s="7">
        <v>34182</v>
      </c>
      <c r="O787" s="7">
        <v>43024.47000000003</v>
      </c>
      <c r="P787" s="7">
        <f t="shared" si="119"/>
        <v>48891.443181818213</v>
      </c>
      <c r="Q787" s="7">
        <v>43105</v>
      </c>
      <c r="R787" s="7">
        <v>13531.5</v>
      </c>
      <c r="S787" s="7">
        <f t="shared" si="120"/>
        <v>18042</v>
      </c>
      <c r="T787" s="2">
        <v>8102</v>
      </c>
      <c r="U787" s="7">
        <f t="shared" si="118"/>
        <v>588383.21409090923</v>
      </c>
      <c r="V787" s="7">
        <f t="shared" si="121"/>
        <v>72.621971623168264</v>
      </c>
      <c r="W787" s="17"/>
      <c r="X787" s="11"/>
      <c r="AA787" s="11"/>
      <c r="AB787" s="11"/>
      <c r="AC787" s="11"/>
      <c r="AD787" s="11"/>
      <c r="AE787" s="11"/>
    </row>
    <row r="788" spans="1:31" x14ac:dyDescent="0.25">
      <c r="A788" s="15" t="s">
        <v>1</v>
      </c>
      <c r="B788" s="21">
        <v>45959</v>
      </c>
      <c r="C788" s="7">
        <v>4940</v>
      </c>
      <c r="D788" s="7">
        <v>14400.000000001455</v>
      </c>
      <c r="E788" s="7">
        <v>3525</v>
      </c>
      <c r="F788" s="7">
        <v>0</v>
      </c>
      <c r="G788" s="7">
        <v>12196</v>
      </c>
      <c r="H788" s="7">
        <v>10111</v>
      </c>
      <c r="I788" s="7">
        <v>24276</v>
      </c>
      <c r="J788" s="2">
        <v>25.64999961853027</v>
      </c>
      <c r="K788" s="23">
        <f t="shared" si="117"/>
        <v>72621.260000000766</v>
      </c>
      <c r="L788" s="23">
        <f t="shared" si="122"/>
        <v>5.9545145949492264</v>
      </c>
      <c r="M788" s="12" t="s">
        <v>11</v>
      </c>
      <c r="N788" s="7">
        <v>36868</v>
      </c>
      <c r="O788" s="7">
        <v>50859.760000000017</v>
      </c>
      <c r="P788" s="7">
        <f t="shared" si="119"/>
        <v>57795.181818181838</v>
      </c>
      <c r="Q788" s="7">
        <v>42771</v>
      </c>
      <c r="R788" s="7">
        <v>11677.799999999974</v>
      </c>
      <c r="S788" s="7">
        <f t="shared" si="120"/>
        <v>15570.399999999965</v>
      </c>
      <c r="T788" s="2">
        <v>8523</v>
      </c>
      <c r="U788" s="7">
        <f t="shared" si="118"/>
        <v>608543.8509090906</v>
      </c>
      <c r="V788" s="7">
        <f t="shared" si="121"/>
        <v>71.400193700468222</v>
      </c>
      <c r="W788" s="17"/>
      <c r="X788" s="11"/>
      <c r="AA788" s="11"/>
      <c r="AB788" s="11"/>
      <c r="AC788" s="11"/>
      <c r="AD788" s="11"/>
      <c r="AE788" s="11"/>
    </row>
    <row r="789" spans="1:31" x14ac:dyDescent="0.25">
      <c r="A789" s="15" t="s">
        <v>1</v>
      </c>
      <c r="B789" s="21">
        <v>45960</v>
      </c>
      <c r="C789" s="7">
        <v>4358</v>
      </c>
      <c r="D789" s="7">
        <v>15069.999999999709</v>
      </c>
      <c r="E789" s="7">
        <v>3025</v>
      </c>
      <c r="F789" s="7">
        <v>0</v>
      </c>
      <c r="G789" s="7">
        <v>9956</v>
      </c>
      <c r="H789" s="7">
        <v>9880</v>
      </c>
      <c r="I789" s="7">
        <v>24276</v>
      </c>
      <c r="J789" s="2">
        <v>25.14999961853027</v>
      </c>
      <c r="K789" s="23">
        <f t="shared" si="117"/>
        <v>64684.431999999848</v>
      </c>
      <c r="L789" s="23">
        <f t="shared" si="122"/>
        <v>6.4970301325833519</v>
      </c>
      <c r="M789" s="12" t="s">
        <v>11</v>
      </c>
      <c r="N789" s="8">
        <v>36427</v>
      </c>
      <c r="O789" s="8">
        <v>50342.360000000015</v>
      </c>
      <c r="P789" s="7">
        <f t="shared" si="119"/>
        <v>57207.227272727287</v>
      </c>
      <c r="Q789" s="8">
        <v>39744</v>
      </c>
      <c r="R789" s="8">
        <v>11242.200000000026</v>
      </c>
      <c r="S789" s="7">
        <f t="shared" si="120"/>
        <v>14989.600000000035</v>
      </c>
      <c r="T789" s="2">
        <v>8379</v>
      </c>
      <c r="U789" s="7">
        <f t="shared" si="118"/>
        <v>587549.97363636398</v>
      </c>
      <c r="V789" s="7">
        <f t="shared" si="121"/>
        <v>70.121729757293707</v>
      </c>
      <c r="W789" s="17"/>
      <c r="X789" s="11"/>
      <c r="AA789" s="11"/>
      <c r="AB789" s="11"/>
      <c r="AC789" s="11"/>
      <c r="AD789" s="11"/>
      <c r="AE789" s="11"/>
    </row>
    <row r="790" spans="1:31" x14ac:dyDescent="0.25">
      <c r="A790" s="15" t="s">
        <v>1</v>
      </c>
      <c r="B790" s="21">
        <v>45961</v>
      </c>
      <c r="C790" s="7">
        <v>5628</v>
      </c>
      <c r="D790" s="7">
        <v>15209.999999999127</v>
      </c>
      <c r="E790" s="7">
        <v>0</v>
      </c>
      <c r="F790" s="7">
        <v>0</v>
      </c>
      <c r="G790" s="7">
        <v>11108</v>
      </c>
      <c r="H790" s="7">
        <v>9131</v>
      </c>
      <c r="I790" s="7">
        <v>0</v>
      </c>
      <c r="J790" s="2">
        <v>26.20000076293945</v>
      </c>
      <c r="K790" s="23">
        <f t="shared" si="117"/>
        <v>51982.211999999541</v>
      </c>
      <c r="L790" s="23">
        <f t="shared" si="122"/>
        <v>4.6797093986315756</v>
      </c>
      <c r="M790" s="12" t="s">
        <v>11</v>
      </c>
      <c r="N790" s="7">
        <v>34898</v>
      </c>
      <c r="O790" s="7">
        <v>46833.719999999987</v>
      </c>
      <c r="P790" s="7">
        <f t="shared" si="119"/>
        <v>53220.136363636346</v>
      </c>
      <c r="Q790" s="7">
        <v>39356</v>
      </c>
      <c r="R790" s="7">
        <v>5995.8400000000056</v>
      </c>
      <c r="S790" s="7">
        <f t="shared" si="120"/>
        <v>7994.4533333333411</v>
      </c>
      <c r="T790" s="2">
        <v>7143</v>
      </c>
      <c r="U790" s="7">
        <f t="shared" si="118"/>
        <v>505561.60218181822</v>
      </c>
      <c r="V790" s="7">
        <f t="shared" si="121"/>
        <v>70.777208761279326</v>
      </c>
      <c r="W790" s="17"/>
      <c r="X790" s="11"/>
      <c r="AA790" s="11"/>
      <c r="AB790" s="11"/>
      <c r="AC790" s="11"/>
      <c r="AD790" s="11"/>
      <c r="AE790" s="11"/>
    </row>
    <row r="791" spans="1:31" x14ac:dyDescent="0.25">
      <c r="A791" s="15" t="s">
        <v>1</v>
      </c>
      <c r="B791" s="21">
        <v>45962</v>
      </c>
      <c r="C791" s="7">
        <v>4220</v>
      </c>
      <c r="D791" s="7">
        <v>14450.000000000728</v>
      </c>
      <c r="E791" s="7">
        <v>0</v>
      </c>
      <c r="F791" s="7">
        <v>571</v>
      </c>
      <c r="G791" s="7">
        <v>10452</v>
      </c>
      <c r="H791" s="7">
        <v>8847</v>
      </c>
      <c r="I791" s="7">
        <v>0</v>
      </c>
      <c r="J791" s="2">
        <v>25.25</v>
      </c>
      <c r="K791" s="23">
        <f>C791*7.756+D791*0.53+E791*7.2+F791*5</f>
        <v>43243.820000000385</v>
      </c>
      <c r="L791" s="23">
        <f t="shared" si="122"/>
        <v>4.1373727516265202</v>
      </c>
      <c r="M791" s="12" t="s">
        <v>11</v>
      </c>
      <c r="N791" s="7">
        <v>36674</v>
      </c>
      <c r="O791" s="7">
        <v>50143.32</v>
      </c>
      <c r="P791" s="7">
        <f t="shared" si="119"/>
        <v>56981.045454545456</v>
      </c>
      <c r="Q791" s="7">
        <v>51753</v>
      </c>
      <c r="R791" s="7">
        <v>0</v>
      </c>
      <c r="S791" s="7">
        <f t="shared" si="120"/>
        <v>0</v>
      </c>
      <c r="T791" s="2">
        <v>8967</v>
      </c>
      <c r="U791" s="7">
        <f>N791*0.53+P791*4.616+Q791*3.73+S791*8.66</f>
        <v>475500.41581818176</v>
      </c>
      <c r="V791" s="7">
        <f t="shared" si="121"/>
        <v>53.027814856494004</v>
      </c>
      <c r="W791" s="17"/>
      <c r="X791" s="11"/>
      <c r="AA791" s="11"/>
      <c r="AB791" s="11"/>
      <c r="AC791" s="11"/>
      <c r="AD791" s="11"/>
      <c r="AE791" s="11"/>
    </row>
    <row r="792" spans="1:31" x14ac:dyDescent="0.25">
      <c r="A792" s="15" t="s">
        <v>1</v>
      </c>
      <c r="B792" s="21">
        <v>45963</v>
      </c>
      <c r="C792" s="7">
        <v>4030</v>
      </c>
      <c r="D792" s="7">
        <v>16240.000000001601</v>
      </c>
      <c r="E792" s="7">
        <v>0</v>
      </c>
      <c r="F792" s="7">
        <v>131</v>
      </c>
      <c r="G792" s="7">
        <v>8684</v>
      </c>
      <c r="H792" s="7">
        <v>10171</v>
      </c>
      <c r="I792" s="7">
        <v>0</v>
      </c>
      <c r="J792" s="2">
        <v>27</v>
      </c>
      <c r="K792" s="23">
        <f t="shared" ref="K792:K819" si="123">C792*7.756+D792*0.53+E792*7.2+F792*5</f>
        <v>40518.880000000849</v>
      </c>
      <c r="L792" s="23">
        <f t="shared" si="122"/>
        <v>4.6659235375404018</v>
      </c>
      <c r="M792" s="12" t="s">
        <v>11</v>
      </c>
      <c r="N792" s="7">
        <v>32355</v>
      </c>
      <c r="O792" s="7">
        <v>37143.200000000012</v>
      </c>
      <c r="P792" s="7">
        <f t="shared" si="119"/>
        <v>42208.181818181831</v>
      </c>
      <c r="Q792" s="7">
        <v>48300</v>
      </c>
      <c r="R792" s="7">
        <v>0</v>
      </c>
      <c r="S792" s="7">
        <f t="shared" si="120"/>
        <v>0</v>
      </c>
      <c r="T792" s="2">
        <v>6543</v>
      </c>
      <c r="U792" s="7">
        <f t="shared" ref="U792:U820" si="124">N792*0.53+P792*4.616+Q792*3.73+S792*8.66</f>
        <v>392140.11727272731</v>
      </c>
      <c r="V792" s="7">
        <f t="shared" si="121"/>
        <v>59.932770483375712</v>
      </c>
      <c r="W792" s="17"/>
      <c r="X792" s="11"/>
      <c r="AA792" s="11"/>
      <c r="AB792" s="11"/>
      <c r="AC792" s="11"/>
      <c r="AD792" s="11"/>
      <c r="AE792" s="11"/>
    </row>
    <row r="793" spans="1:31" x14ac:dyDescent="0.25">
      <c r="A793" s="15" t="s">
        <v>1</v>
      </c>
      <c r="B793" s="21">
        <v>45964</v>
      </c>
      <c r="C793" s="7">
        <v>4034</v>
      </c>
      <c r="D793" s="7">
        <v>10050.00000000291</v>
      </c>
      <c r="E793" s="7">
        <v>0</v>
      </c>
      <c r="F793" s="7">
        <v>636</v>
      </c>
      <c r="G793" s="7">
        <v>8927</v>
      </c>
      <c r="H793" s="7">
        <v>7332</v>
      </c>
      <c r="I793" s="7">
        <v>0</v>
      </c>
      <c r="J793" s="2">
        <v>32.700000762939453</v>
      </c>
      <c r="K793" s="23">
        <f t="shared" si="123"/>
        <v>39794.20400000154</v>
      </c>
      <c r="L793" s="23">
        <f t="shared" si="122"/>
        <v>4.4577354094322326</v>
      </c>
      <c r="M793" s="12" t="s">
        <v>11</v>
      </c>
      <c r="N793" s="7">
        <v>31663</v>
      </c>
      <c r="O793" s="7">
        <v>37143.19999999999</v>
      </c>
      <c r="P793" s="7">
        <f t="shared" si="119"/>
        <v>42208.181818181809</v>
      </c>
      <c r="Q793" s="7">
        <v>51046</v>
      </c>
      <c r="R793" s="7">
        <v>22920</v>
      </c>
      <c r="S793" s="7">
        <f t="shared" si="120"/>
        <v>30560</v>
      </c>
      <c r="T793" s="2">
        <v>6530</v>
      </c>
      <c r="U793" s="7">
        <f t="shared" si="124"/>
        <v>666665.53727272723</v>
      </c>
      <c r="V793" s="7">
        <f t="shared" si="121"/>
        <v>102.09273158847277</v>
      </c>
      <c r="W793" s="17"/>
      <c r="X793" s="11"/>
      <c r="AA793" s="11"/>
      <c r="AB793" s="11"/>
      <c r="AC793" s="11"/>
      <c r="AD793" s="11"/>
      <c r="AE793" s="11"/>
    </row>
    <row r="794" spans="1:31" x14ac:dyDescent="0.25">
      <c r="A794" s="15" t="s">
        <v>1</v>
      </c>
      <c r="B794" s="21">
        <v>45965</v>
      </c>
      <c r="C794" s="7">
        <v>3820</v>
      </c>
      <c r="D794" s="7">
        <v>13609.999999996944</v>
      </c>
      <c r="E794" s="7">
        <v>0</v>
      </c>
      <c r="F794" s="7">
        <v>619</v>
      </c>
      <c r="G794" s="7">
        <v>11133</v>
      </c>
      <c r="H794" s="7">
        <v>8116</v>
      </c>
      <c r="I794" s="7">
        <v>0</v>
      </c>
      <c r="J794" s="2">
        <v>28.54999923706055</v>
      </c>
      <c r="K794" s="23">
        <f t="shared" si="123"/>
        <v>39936.219999998386</v>
      </c>
      <c r="L794" s="23">
        <f t="shared" si="122"/>
        <v>3.5871930297312842</v>
      </c>
      <c r="M794" s="12" t="s">
        <v>11</v>
      </c>
      <c r="N794" s="7">
        <v>33540</v>
      </c>
      <c r="O794" s="7">
        <v>37365.559999999983</v>
      </c>
      <c r="P794" s="7">
        <f t="shared" si="119"/>
        <v>42460.863636363618</v>
      </c>
      <c r="Q794" s="7">
        <v>46989</v>
      </c>
      <c r="R794" s="7">
        <v>0</v>
      </c>
      <c r="S794" s="7">
        <f t="shared" si="120"/>
        <v>0</v>
      </c>
      <c r="T794" s="2">
        <v>7772</v>
      </c>
      <c r="U794" s="7">
        <f t="shared" si="124"/>
        <v>389044.51654545445</v>
      </c>
      <c r="V794" s="7">
        <f t="shared" si="121"/>
        <v>50.057194614700776</v>
      </c>
      <c r="W794" s="17"/>
      <c r="X794" s="11"/>
      <c r="AA794" s="11"/>
      <c r="AB794" s="11"/>
      <c r="AC794" s="11"/>
      <c r="AD794" s="11"/>
      <c r="AE794" s="11"/>
    </row>
    <row r="795" spans="1:31" x14ac:dyDescent="0.25">
      <c r="A795" s="15" t="s">
        <v>1</v>
      </c>
      <c r="B795" s="21">
        <v>45966</v>
      </c>
      <c r="C795" s="8">
        <v>4729</v>
      </c>
      <c r="D795" s="8">
        <v>12059.999999997672</v>
      </c>
      <c r="E795" s="8">
        <v>0</v>
      </c>
      <c r="F795" s="7">
        <v>586</v>
      </c>
      <c r="G795" s="8">
        <v>12210</v>
      </c>
      <c r="H795" s="8">
        <v>7665</v>
      </c>
      <c r="I795" s="8">
        <v>0</v>
      </c>
      <c r="J795" s="2">
        <v>23.39999961853027</v>
      </c>
      <c r="K795" s="23">
        <f t="shared" si="123"/>
        <v>45999.923999998769</v>
      </c>
      <c r="L795" s="23">
        <f t="shared" si="122"/>
        <v>3.767397542997442</v>
      </c>
      <c r="M795" s="12" t="s">
        <v>11</v>
      </c>
      <c r="N795" s="8">
        <v>31163</v>
      </c>
      <c r="O795" s="8">
        <v>36506.170000000013</v>
      </c>
      <c r="P795" s="7">
        <f t="shared" si="119"/>
        <v>41484.284090909103</v>
      </c>
      <c r="Q795" s="8">
        <v>55279</v>
      </c>
      <c r="R795" s="8">
        <v>0</v>
      </c>
      <c r="S795" s="7">
        <f t="shared" si="120"/>
        <v>0</v>
      </c>
      <c r="T795" s="2">
        <v>7162</v>
      </c>
      <c r="U795" s="7">
        <f t="shared" si="124"/>
        <v>414198.51536363643</v>
      </c>
      <c r="V795" s="7">
        <f t="shared" si="121"/>
        <v>57.83280024624915</v>
      </c>
      <c r="W795" s="17"/>
      <c r="X795" s="11"/>
      <c r="AA795" s="11"/>
      <c r="AB795" s="11"/>
      <c r="AC795" s="11"/>
      <c r="AD795" s="11"/>
      <c r="AE795" s="11"/>
    </row>
    <row r="796" spans="1:31" x14ac:dyDescent="0.25">
      <c r="A796" s="15" t="s">
        <v>1</v>
      </c>
      <c r="B796" s="21">
        <v>45967</v>
      </c>
      <c r="C796" s="7">
        <v>4595</v>
      </c>
      <c r="D796" s="7">
        <v>15750</v>
      </c>
      <c r="E796" s="7">
        <v>0</v>
      </c>
      <c r="F796" s="7">
        <v>328</v>
      </c>
      <c r="G796" s="7">
        <v>9851</v>
      </c>
      <c r="H796" s="7">
        <v>9516</v>
      </c>
      <c r="I796" s="7">
        <v>0</v>
      </c>
      <c r="J796" s="2">
        <v>21.75</v>
      </c>
      <c r="K796" s="23">
        <f t="shared" si="123"/>
        <v>45626.32</v>
      </c>
      <c r="L796" s="23">
        <f t="shared" si="122"/>
        <v>4.6316434879707646</v>
      </c>
      <c r="M796" s="12" t="s">
        <v>11</v>
      </c>
      <c r="N796" s="7">
        <v>31474</v>
      </c>
      <c r="O796" s="7">
        <v>39000.359999999993</v>
      </c>
      <c r="P796" s="7">
        <f t="shared" si="119"/>
        <v>44318.590909090904</v>
      </c>
      <c r="Q796" s="7">
        <v>47911</v>
      </c>
      <c r="R796" s="7">
        <v>0</v>
      </c>
      <c r="S796" s="7">
        <f t="shared" si="120"/>
        <v>0</v>
      </c>
      <c r="T796" s="2">
        <v>6999</v>
      </c>
      <c r="U796" s="7">
        <f t="shared" si="124"/>
        <v>399963.86563636363</v>
      </c>
      <c r="V796" s="7">
        <f t="shared" si="121"/>
        <v>57.145858785021233</v>
      </c>
      <c r="W796" s="17"/>
      <c r="X796" s="11"/>
      <c r="AA796" s="11"/>
      <c r="AB796" s="11"/>
      <c r="AC796" s="11"/>
      <c r="AD796" s="11"/>
      <c r="AE796" s="11"/>
    </row>
    <row r="797" spans="1:31" x14ac:dyDescent="0.25">
      <c r="A797" s="15" t="s">
        <v>1</v>
      </c>
      <c r="B797" s="21">
        <v>45968</v>
      </c>
      <c r="C797" s="7">
        <v>4270</v>
      </c>
      <c r="D797" s="7">
        <v>15520.000000000437</v>
      </c>
      <c r="E797" s="7">
        <v>3700</v>
      </c>
      <c r="F797" s="7">
        <v>553</v>
      </c>
      <c r="G797" s="7">
        <v>11514</v>
      </c>
      <c r="H797" s="7">
        <v>9386</v>
      </c>
      <c r="I797" s="7">
        <v>24633</v>
      </c>
      <c r="J797" s="2">
        <v>25.14999961853027</v>
      </c>
      <c r="K797" s="23">
        <f t="shared" si="123"/>
        <v>70748.720000000234</v>
      </c>
      <c r="L797" s="23">
        <f t="shared" si="122"/>
        <v>6.1445822476984739</v>
      </c>
      <c r="M797" s="12" t="s">
        <v>11</v>
      </c>
      <c r="N797" s="7">
        <v>31561</v>
      </c>
      <c r="O797" s="7">
        <v>35707.980000000003</v>
      </c>
      <c r="P797" s="7">
        <f t="shared" si="119"/>
        <v>40577.25</v>
      </c>
      <c r="Q797" s="7">
        <v>57006</v>
      </c>
      <c r="R797" s="7">
        <v>0</v>
      </c>
      <c r="S797" s="7">
        <f t="shared" si="120"/>
        <v>0</v>
      </c>
      <c r="T797" s="2">
        <v>7137</v>
      </c>
      <c r="U797" s="7">
        <f t="shared" si="124"/>
        <v>416664.29599999997</v>
      </c>
      <c r="V797" s="7">
        <f t="shared" si="121"/>
        <v>58.380873756480312</v>
      </c>
      <c r="W797" s="17"/>
      <c r="X797" s="11"/>
      <c r="AA797" s="11"/>
      <c r="AB797" s="11"/>
      <c r="AC797" s="11"/>
      <c r="AD797" s="11"/>
      <c r="AE797" s="11"/>
    </row>
    <row r="798" spans="1:31" x14ac:dyDescent="0.25">
      <c r="A798" s="15" t="s">
        <v>1</v>
      </c>
      <c r="B798" s="21">
        <v>45969</v>
      </c>
      <c r="C798" s="7">
        <v>4066</v>
      </c>
      <c r="D798" s="7">
        <v>14260.000000002037</v>
      </c>
      <c r="E798" s="7">
        <v>0</v>
      </c>
      <c r="F798" s="7">
        <v>716</v>
      </c>
      <c r="G798" s="7">
        <v>11814</v>
      </c>
      <c r="H798" s="7">
        <v>8710</v>
      </c>
      <c r="I798" s="7">
        <v>0</v>
      </c>
      <c r="J798" s="2">
        <v>23.60000038146973</v>
      </c>
      <c r="K798" s="23">
        <f t="shared" si="123"/>
        <v>42673.69600000108</v>
      </c>
      <c r="L798" s="23">
        <f t="shared" si="122"/>
        <v>3.6121293380735637</v>
      </c>
      <c r="M798" s="12" t="s">
        <v>11</v>
      </c>
      <c r="N798" s="7">
        <v>32287</v>
      </c>
      <c r="O798" s="7">
        <v>36214.619999999988</v>
      </c>
      <c r="P798" s="7">
        <f t="shared" si="119"/>
        <v>41152.977272727258</v>
      </c>
      <c r="Q798" s="7">
        <v>50691</v>
      </c>
      <c r="R798" s="7">
        <v>0</v>
      </c>
      <c r="S798" s="7">
        <f t="shared" si="120"/>
        <v>0</v>
      </c>
      <c r="T798" s="2">
        <v>8437</v>
      </c>
      <c r="U798" s="7">
        <f t="shared" si="124"/>
        <v>396151.68309090898</v>
      </c>
      <c r="V798" s="7">
        <f t="shared" si="121"/>
        <v>46.954093053325707</v>
      </c>
      <c r="W798" s="17"/>
      <c r="X798" s="11"/>
      <c r="AA798" s="11"/>
      <c r="AB798" s="11"/>
      <c r="AC798" s="11"/>
      <c r="AD798" s="11"/>
      <c r="AE798" s="11"/>
    </row>
    <row r="799" spans="1:31" x14ac:dyDescent="0.25">
      <c r="A799" s="15" t="s">
        <v>1</v>
      </c>
      <c r="B799" s="21">
        <v>45970</v>
      </c>
      <c r="C799" s="7">
        <v>3570</v>
      </c>
      <c r="D799" s="7">
        <v>14709.999999999127</v>
      </c>
      <c r="E799" s="7">
        <v>0</v>
      </c>
      <c r="F799" s="7">
        <v>147</v>
      </c>
      <c r="G799" s="7">
        <v>10888</v>
      </c>
      <c r="H799" s="7">
        <v>10166</v>
      </c>
      <c r="I799" s="7">
        <v>0</v>
      </c>
      <c r="J799" s="2">
        <v>24.64999961853027</v>
      </c>
      <c r="K799" s="23">
        <f t="shared" si="123"/>
        <v>36220.219999999536</v>
      </c>
      <c r="L799" s="23">
        <f t="shared" si="122"/>
        <v>3.3266182953710079</v>
      </c>
      <c r="M799" s="12" t="s">
        <v>11</v>
      </c>
      <c r="N799" s="7">
        <v>19460</v>
      </c>
      <c r="O799" s="7">
        <v>18107.310000000005</v>
      </c>
      <c r="P799" s="7">
        <f t="shared" si="119"/>
        <v>20576.488636363643</v>
      </c>
      <c r="Q799" s="7">
        <v>24623</v>
      </c>
      <c r="R799" s="7">
        <v>0</v>
      </c>
      <c r="S799" s="7">
        <f t="shared" si="120"/>
        <v>0</v>
      </c>
      <c r="T799" s="2">
        <v>2936</v>
      </c>
      <c r="U799" s="7">
        <f t="shared" si="124"/>
        <v>197138.66154545458</v>
      </c>
      <c r="V799" s="7">
        <f t="shared" si="121"/>
        <v>67.145320689868726</v>
      </c>
      <c r="W799" s="17"/>
      <c r="X799" s="11"/>
      <c r="AA799" s="11"/>
      <c r="AB799" s="11"/>
      <c r="AC799" s="11"/>
      <c r="AD799" s="11"/>
      <c r="AE799" s="11"/>
    </row>
    <row r="800" spans="1:31" x14ac:dyDescent="0.25">
      <c r="A800" s="15" t="s">
        <v>1</v>
      </c>
      <c r="B800" s="21">
        <v>45971</v>
      </c>
      <c r="C800" s="8">
        <v>4720</v>
      </c>
      <c r="D800" s="8">
        <v>10069.999999999709</v>
      </c>
      <c r="E800" s="8">
        <v>0</v>
      </c>
      <c r="F800" s="7">
        <v>629</v>
      </c>
      <c r="G800" s="8">
        <v>8779</v>
      </c>
      <c r="H800" s="8">
        <v>6822</v>
      </c>
      <c r="I800" s="8">
        <v>0</v>
      </c>
      <c r="J800" s="2">
        <v>29.70000076293945</v>
      </c>
      <c r="K800" s="23">
        <f t="shared" si="123"/>
        <v>45090.419999999845</v>
      </c>
      <c r="L800" s="23">
        <f t="shared" si="122"/>
        <v>5.1361681284884204</v>
      </c>
      <c r="M800" s="12" t="s">
        <v>11</v>
      </c>
      <c r="N800" s="8">
        <v>32978</v>
      </c>
      <c r="O800" s="8">
        <v>38625.379999999997</v>
      </c>
      <c r="P800" s="7">
        <f t="shared" si="119"/>
        <v>43892.477272727272</v>
      </c>
      <c r="Q800" s="8">
        <v>53765</v>
      </c>
      <c r="R800" s="8">
        <v>22820</v>
      </c>
      <c r="S800" s="7">
        <f t="shared" si="120"/>
        <v>30426.666666666668</v>
      </c>
      <c r="T800" s="2">
        <v>8074</v>
      </c>
      <c r="U800" s="7">
        <f t="shared" si="124"/>
        <v>684124.39842424239</v>
      </c>
      <c r="V800" s="7">
        <f t="shared" si="121"/>
        <v>84.731780830349564</v>
      </c>
      <c r="W800" s="17"/>
      <c r="X800" s="11"/>
      <c r="AA800" s="11"/>
      <c r="AB800" s="11"/>
      <c r="AC800" s="11"/>
      <c r="AD800" s="11"/>
      <c r="AE800" s="11"/>
    </row>
    <row r="801" spans="1:31" x14ac:dyDescent="0.25">
      <c r="A801" s="15" t="s">
        <v>1</v>
      </c>
      <c r="B801" s="21">
        <v>45972</v>
      </c>
      <c r="C801" s="7">
        <v>4160</v>
      </c>
      <c r="D801" s="7">
        <v>14619.999999998981</v>
      </c>
      <c r="E801" s="7">
        <v>0</v>
      </c>
      <c r="F801" s="7">
        <v>702</v>
      </c>
      <c r="G801" s="7">
        <v>12036</v>
      </c>
      <c r="H801" s="7">
        <v>9727</v>
      </c>
      <c r="I801" s="7">
        <v>0</v>
      </c>
      <c r="J801" s="2">
        <v>27.54999923706055</v>
      </c>
      <c r="K801" s="23">
        <f t="shared" si="123"/>
        <v>43523.559999999459</v>
      </c>
      <c r="L801" s="23">
        <f t="shared" si="122"/>
        <v>3.6161149883681838</v>
      </c>
      <c r="M801" s="12" t="s">
        <v>11</v>
      </c>
      <c r="N801" s="7">
        <v>33218</v>
      </c>
      <c r="O801" s="7">
        <v>37344.17</v>
      </c>
      <c r="P801" s="7">
        <f t="shared" si="119"/>
        <v>42436.556818181816</v>
      </c>
      <c r="Q801" s="7">
        <v>53770</v>
      </c>
      <c r="R801" s="7">
        <v>0</v>
      </c>
      <c r="S801" s="7">
        <f t="shared" si="120"/>
        <v>0</v>
      </c>
      <c r="T801" s="2">
        <v>8138</v>
      </c>
      <c r="U801" s="7">
        <f t="shared" si="124"/>
        <v>414054.7862727273</v>
      </c>
      <c r="V801" s="7">
        <f t="shared" si="121"/>
        <v>50.879182387899647</v>
      </c>
      <c r="W801" s="17"/>
      <c r="X801" s="11"/>
      <c r="AA801" s="11"/>
      <c r="AB801" s="11"/>
      <c r="AC801" s="11"/>
      <c r="AD801" s="11"/>
      <c r="AE801" s="11"/>
    </row>
    <row r="802" spans="1:31" x14ac:dyDescent="0.25">
      <c r="A802" s="15" t="s">
        <v>1</v>
      </c>
      <c r="B802" s="21">
        <v>45973</v>
      </c>
      <c r="C802" s="7">
        <v>3403</v>
      </c>
      <c r="D802" s="7">
        <v>9220.0000000011642</v>
      </c>
      <c r="E802" s="7">
        <v>0</v>
      </c>
      <c r="F802" s="7">
        <v>653</v>
      </c>
      <c r="G802" s="7">
        <v>10662</v>
      </c>
      <c r="H802" s="7">
        <v>5190</v>
      </c>
      <c r="I802" s="7">
        <v>0</v>
      </c>
      <c r="J802" s="2">
        <v>21.89999961853027</v>
      </c>
      <c r="K802" s="23">
        <f t="shared" si="123"/>
        <v>34545.268000000622</v>
      </c>
      <c r="L802" s="23">
        <f t="shared" si="122"/>
        <v>3.2400363909210861</v>
      </c>
      <c r="M802" s="12" t="s">
        <v>11</v>
      </c>
      <c r="N802" s="7">
        <v>31834</v>
      </c>
      <c r="O802" s="7">
        <v>32648.640000000007</v>
      </c>
      <c r="P802" s="7">
        <f t="shared" si="119"/>
        <v>37100.727272727279</v>
      </c>
      <c r="Q802" s="7">
        <v>50358</v>
      </c>
      <c r="R802" s="7">
        <v>0</v>
      </c>
      <c r="S802" s="7">
        <f t="shared" si="120"/>
        <v>0</v>
      </c>
      <c r="T802" s="2">
        <v>8027</v>
      </c>
      <c r="U802" s="7">
        <f t="shared" si="124"/>
        <v>375964.31709090911</v>
      </c>
      <c r="V802" s="7">
        <f t="shared" si="121"/>
        <v>46.837463198070154</v>
      </c>
      <c r="W802" s="17"/>
      <c r="X802" s="11"/>
      <c r="AA802" s="11"/>
      <c r="AB802" s="11"/>
      <c r="AC802" s="11"/>
      <c r="AD802" s="11"/>
      <c r="AE802" s="11"/>
    </row>
    <row r="803" spans="1:31" x14ac:dyDescent="0.25">
      <c r="A803" s="15" t="s">
        <v>1</v>
      </c>
      <c r="B803" s="21">
        <v>45974</v>
      </c>
      <c r="C803" s="7">
        <v>3858</v>
      </c>
      <c r="D803" s="7">
        <v>9080.0000000017462</v>
      </c>
      <c r="E803" s="7">
        <v>6450</v>
      </c>
      <c r="F803" s="7">
        <v>179</v>
      </c>
      <c r="G803" s="7">
        <v>8731</v>
      </c>
      <c r="H803" s="7">
        <v>5673</v>
      </c>
      <c r="I803" s="7">
        <v>64465</v>
      </c>
      <c r="J803" s="2">
        <v>21</v>
      </c>
      <c r="K803" s="23">
        <f t="shared" si="123"/>
        <v>82070.048000000927</v>
      </c>
      <c r="L803" s="23">
        <f t="shared" si="122"/>
        <v>9.3998451494675219</v>
      </c>
      <c r="M803" s="12" t="s">
        <v>11</v>
      </c>
      <c r="N803" s="7">
        <v>18064</v>
      </c>
      <c r="O803" s="7">
        <v>16714.440000000006</v>
      </c>
      <c r="P803" s="7">
        <f t="shared" si="119"/>
        <v>18993.681818181823</v>
      </c>
      <c r="Q803" s="7">
        <v>22372</v>
      </c>
      <c r="R803" s="7">
        <v>0</v>
      </c>
      <c r="S803" s="7">
        <f t="shared" si="120"/>
        <v>0</v>
      </c>
      <c r="T803" s="2">
        <v>3467</v>
      </c>
      <c r="U803" s="7">
        <f t="shared" si="124"/>
        <v>180696.31527272728</v>
      </c>
      <c r="V803" s="7">
        <f t="shared" si="121"/>
        <v>52.118925662742221</v>
      </c>
      <c r="W803" s="17"/>
      <c r="X803" s="11"/>
      <c r="AA803" s="11"/>
      <c r="AB803" s="11"/>
      <c r="AC803" s="11"/>
      <c r="AD803" s="11"/>
      <c r="AE803" s="11"/>
    </row>
    <row r="804" spans="1:31" x14ac:dyDescent="0.25">
      <c r="A804" s="15" t="s">
        <v>1</v>
      </c>
      <c r="B804" s="21">
        <v>45975</v>
      </c>
      <c r="C804" s="7">
        <v>4360</v>
      </c>
      <c r="D804" s="7">
        <v>9280.0000000024738</v>
      </c>
      <c r="E804" s="7">
        <v>3200</v>
      </c>
      <c r="F804" s="7">
        <v>89</v>
      </c>
      <c r="G804" s="7">
        <v>6018</v>
      </c>
      <c r="H804" s="7">
        <v>5762</v>
      </c>
      <c r="I804" s="7">
        <v>27526</v>
      </c>
      <c r="J804" s="2">
        <v>21.75</v>
      </c>
      <c r="K804" s="23">
        <f t="shared" si="123"/>
        <v>62219.560000001315</v>
      </c>
      <c r="L804" s="23">
        <f t="shared" si="122"/>
        <v>10.338909936856316</v>
      </c>
      <c r="M804" s="12" t="s">
        <v>11</v>
      </c>
      <c r="N804" s="7">
        <v>26193</v>
      </c>
      <c r="O804" s="7">
        <v>22356.619999999988</v>
      </c>
      <c r="P804" s="7">
        <f t="shared" si="119"/>
        <v>25405.249999999985</v>
      </c>
      <c r="Q804" s="7">
        <v>53101</v>
      </c>
      <c r="R804" s="7">
        <v>0</v>
      </c>
      <c r="S804" s="7">
        <f t="shared" si="120"/>
        <v>0</v>
      </c>
      <c r="T804" s="2">
        <v>8306</v>
      </c>
      <c r="U804" s="7">
        <f t="shared" si="124"/>
        <v>329219.65399999992</v>
      </c>
      <c r="V804" s="7">
        <f t="shared" si="121"/>
        <v>39.636365759691778</v>
      </c>
      <c r="W804" s="17"/>
      <c r="X804" s="11"/>
      <c r="AA804" s="11"/>
      <c r="AB804" s="11"/>
      <c r="AC804" s="11"/>
      <c r="AD804" s="11"/>
      <c r="AE804" s="11"/>
    </row>
    <row r="805" spans="1:31" x14ac:dyDescent="0.25">
      <c r="A805" s="15" t="s">
        <v>1</v>
      </c>
      <c r="B805" s="21">
        <v>45976</v>
      </c>
      <c r="C805" s="8">
        <v>4118</v>
      </c>
      <c r="D805" s="8">
        <v>12299.999999999272</v>
      </c>
      <c r="E805" s="8">
        <v>4500</v>
      </c>
      <c r="F805" s="7">
        <v>236</v>
      </c>
      <c r="G805" s="8">
        <v>9183</v>
      </c>
      <c r="H805" s="8">
        <v>8830</v>
      </c>
      <c r="I805" s="8">
        <v>45066</v>
      </c>
      <c r="J805" s="2">
        <v>19.04999923706055</v>
      </c>
      <c r="K805" s="23">
        <f t="shared" si="123"/>
        <v>72038.20799999962</v>
      </c>
      <c r="L805" s="23">
        <f t="shared" si="122"/>
        <v>7.8447357072851593</v>
      </c>
      <c r="M805" s="12" t="s">
        <v>11</v>
      </c>
      <c r="N805" s="8">
        <v>27721</v>
      </c>
      <c r="O805" s="8">
        <v>15321.570000000003</v>
      </c>
      <c r="P805" s="7">
        <f t="shared" si="119"/>
        <v>17410.875000000004</v>
      </c>
      <c r="Q805" s="8">
        <v>56468</v>
      </c>
      <c r="R805" s="8">
        <v>0</v>
      </c>
      <c r="S805" s="7">
        <f t="shared" si="120"/>
        <v>0</v>
      </c>
      <c r="T805" s="2">
        <v>7015</v>
      </c>
      <c r="U805" s="7">
        <f t="shared" si="124"/>
        <v>305686.36900000001</v>
      </c>
      <c r="V805" s="7">
        <f t="shared" si="121"/>
        <v>43.576103920171064</v>
      </c>
      <c r="W805" s="17"/>
      <c r="X805" s="11"/>
      <c r="AA805" s="11"/>
      <c r="AB805" s="11"/>
      <c r="AC805" s="11"/>
      <c r="AD805" s="11"/>
      <c r="AE805" s="11"/>
    </row>
    <row r="806" spans="1:31" x14ac:dyDescent="0.25">
      <c r="A806" s="15" t="s">
        <v>1</v>
      </c>
      <c r="B806" s="21">
        <v>45977</v>
      </c>
      <c r="C806" s="7">
        <v>3450</v>
      </c>
      <c r="D806" s="7">
        <v>12899.999999997817</v>
      </c>
      <c r="E806" s="7">
        <v>0</v>
      </c>
      <c r="F806" s="7">
        <v>0</v>
      </c>
      <c r="G806" s="7">
        <v>11226</v>
      </c>
      <c r="H806" s="7">
        <v>9454</v>
      </c>
      <c r="I806" s="7">
        <v>0</v>
      </c>
      <c r="J806" s="2">
        <v>18.04999923706055</v>
      </c>
      <c r="K806" s="23">
        <f t="shared" si="123"/>
        <v>33595.199999998847</v>
      </c>
      <c r="L806" s="23">
        <f t="shared" si="122"/>
        <v>2.9926242650987751</v>
      </c>
      <c r="M806" s="12" t="s">
        <v>11</v>
      </c>
      <c r="N806" s="7">
        <v>30655</v>
      </c>
      <c r="O806" s="7">
        <v>27393.109999999993</v>
      </c>
      <c r="P806" s="7">
        <f t="shared" si="119"/>
        <v>31128.534090909085</v>
      </c>
      <c r="Q806" s="7">
        <v>65378</v>
      </c>
      <c r="R806" s="7">
        <v>0</v>
      </c>
      <c r="S806" s="7">
        <f t="shared" si="120"/>
        <v>0</v>
      </c>
      <c r="T806" s="2">
        <v>8281</v>
      </c>
      <c r="U806" s="7">
        <f t="shared" si="124"/>
        <v>403796.40336363635</v>
      </c>
      <c r="V806" s="7">
        <f t="shared" si="121"/>
        <v>48.761792460286962</v>
      </c>
      <c r="W806" s="17"/>
      <c r="X806" s="11"/>
      <c r="AA806" s="11"/>
      <c r="AB806" s="11"/>
      <c r="AC806" s="11"/>
      <c r="AD806" s="11"/>
      <c r="AE806" s="11"/>
    </row>
    <row r="807" spans="1:31" x14ac:dyDescent="0.25">
      <c r="A807" s="15" t="s">
        <v>1</v>
      </c>
      <c r="B807" s="21">
        <v>45978</v>
      </c>
      <c r="C807" s="7">
        <v>4030</v>
      </c>
      <c r="D807" s="7">
        <v>9140.0000000030559</v>
      </c>
      <c r="E807" s="7">
        <v>0</v>
      </c>
      <c r="F807" s="7">
        <v>271</v>
      </c>
      <c r="G807" s="7">
        <v>8707</v>
      </c>
      <c r="H807" s="7">
        <v>6916</v>
      </c>
      <c r="I807" s="7">
        <v>0</v>
      </c>
      <c r="J807" s="2">
        <v>18.5</v>
      </c>
      <c r="K807" s="23">
        <f t="shared" si="123"/>
        <v>37455.88000000162</v>
      </c>
      <c r="L807" s="23">
        <f t="shared" si="122"/>
        <v>4.3018123349031381</v>
      </c>
      <c r="M807" s="12" t="s">
        <v>11</v>
      </c>
      <c r="N807" s="7">
        <v>32838</v>
      </c>
      <c r="O807" s="7">
        <v>42041.33</v>
      </c>
      <c r="P807" s="7">
        <f t="shared" si="119"/>
        <v>47774.23863636364</v>
      </c>
      <c r="Q807" s="7">
        <v>53298</v>
      </c>
      <c r="R807" s="7">
        <v>0</v>
      </c>
      <c r="S807" s="7">
        <f t="shared" si="120"/>
        <v>0</v>
      </c>
      <c r="T807" s="2">
        <v>9282</v>
      </c>
      <c r="U807" s="7">
        <f t="shared" si="124"/>
        <v>436731.5655454545</v>
      </c>
      <c r="V807" s="7">
        <f t="shared" si="121"/>
        <v>47.051450715950715</v>
      </c>
      <c r="W807" s="17"/>
      <c r="X807" s="11"/>
      <c r="AA807" s="11"/>
      <c r="AB807" s="11"/>
      <c r="AC807" s="11"/>
      <c r="AD807" s="11"/>
      <c r="AE807" s="11"/>
    </row>
    <row r="808" spans="1:31" x14ac:dyDescent="0.25">
      <c r="A808" s="15" t="s">
        <v>1</v>
      </c>
      <c r="B808" s="21">
        <v>45979</v>
      </c>
      <c r="C808" s="7">
        <v>3500</v>
      </c>
      <c r="D808" s="7">
        <v>11989.999999997963</v>
      </c>
      <c r="E808" s="7">
        <v>0</v>
      </c>
      <c r="F808" s="7">
        <v>194</v>
      </c>
      <c r="G808" s="7">
        <v>8808</v>
      </c>
      <c r="H808" s="7">
        <v>8808</v>
      </c>
      <c r="I808" s="7">
        <v>0</v>
      </c>
      <c r="J808" s="2">
        <v>19.14999961853027</v>
      </c>
      <c r="K808" s="23">
        <f t="shared" si="123"/>
        <v>34470.69999999892</v>
      </c>
      <c r="L808" s="23">
        <f t="shared" si="122"/>
        <v>3.9135672116256721</v>
      </c>
      <c r="M808" s="12" t="s">
        <v>11</v>
      </c>
      <c r="N808" s="7">
        <v>31646</v>
      </c>
      <c r="O808" s="7">
        <v>36678.910000000003</v>
      </c>
      <c r="P808" s="7">
        <f t="shared" si="119"/>
        <v>41680.579545454551</v>
      </c>
      <c r="Q808" s="7">
        <v>51041</v>
      </c>
      <c r="R808" s="7">
        <v>0</v>
      </c>
      <c r="S808" s="7">
        <f t="shared" si="120"/>
        <v>0</v>
      </c>
      <c r="T808" s="2">
        <v>8186</v>
      </c>
      <c r="U808" s="7">
        <f t="shared" si="124"/>
        <v>399552.8651818182</v>
      </c>
      <c r="V808" s="7">
        <f t="shared" si="121"/>
        <v>48.809292106256805</v>
      </c>
      <c r="W808" s="17"/>
      <c r="X808" s="11"/>
      <c r="AA808" s="11"/>
      <c r="AB808" s="11"/>
      <c r="AC808" s="11"/>
      <c r="AD808" s="11"/>
      <c r="AE808" s="11"/>
    </row>
    <row r="809" spans="1:31" x14ac:dyDescent="0.25">
      <c r="A809" s="15" t="s">
        <v>1</v>
      </c>
      <c r="B809" s="21">
        <v>45980</v>
      </c>
      <c r="C809" s="7">
        <v>5070</v>
      </c>
      <c r="D809" s="7">
        <v>13909.999999999854</v>
      </c>
      <c r="E809" s="7">
        <v>5275</v>
      </c>
      <c r="F809" s="7">
        <v>0</v>
      </c>
      <c r="G809" s="7">
        <v>10325</v>
      </c>
      <c r="H809" s="7">
        <v>9412</v>
      </c>
      <c r="I809" s="7">
        <v>44103</v>
      </c>
      <c r="J809" s="2">
        <v>19.25</v>
      </c>
      <c r="K809" s="23">
        <f t="shared" si="123"/>
        <v>84675.219999999914</v>
      </c>
      <c r="L809" s="23">
        <f t="shared" si="122"/>
        <v>8.2009898305084654</v>
      </c>
      <c r="M809" s="12" t="s">
        <v>11</v>
      </c>
      <c r="N809" s="7">
        <v>34675</v>
      </c>
      <c r="O809" s="7">
        <v>42092.75</v>
      </c>
      <c r="P809" s="7">
        <f t="shared" si="119"/>
        <v>47832.670454545456</v>
      </c>
      <c r="Q809" s="7">
        <v>53439</v>
      </c>
      <c r="R809" s="7">
        <v>0</v>
      </c>
      <c r="S809" s="7">
        <f t="shared" si="120"/>
        <v>0</v>
      </c>
      <c r="T809" s="2">
        <v>8017</v>
      </c>
      <c r="U809" s="7">
        <f t="shared" si="124"/>
        <v>438500.82681818178</v>
      </c>
      <c r="V809" s="7">
        <f t="shared" si="121"/>
        <v>54.696373558460991</v>
      </c>
      <c r="W809" s="17"/>
      <c r="X809" s="11"/>
      <c r="AA809" s="11"/>
      <c r="AB809" s="11"/>
      <c r="AC809" s="11"/>
      <c r="AD809" s="11"/>
      <c r="AE809" s="11"/>
    </row>
    <row r="810" spans="1:31" x14ac:dyDescent="0.25">
      <c r="A810" s="15" t="s">
        <v>1</v>
      </c>
      <c r="B810" s="21">
        <v>45981</v>
      </c>
      <c r="C810" s="8">
        <v>3571</v>
      </c>
      <c r="D810" s="8">
        <v>15840.000000000146</v>
      </c>
      <c r="E810" s="8">
        <v>0</v>
      </c>
      <c r="F810" s="7">
        <v>0</v>
      </c>
      <c r="G810" s="8">
        <v>11497</v>
      </c>
      <c r="H810" s="8">
        <v>10026</v>
      </c>
      <c r="I810" s="8">
        <v>0</v>
      </c>
      <c r="J810" s="2">
        <v>18.54999923706055</v>
      </c>
      <c r="K810" s="23">
        <f t="shared" si="123"/>
        <v>36091.876000000077</v>
      </c>
      <c r="L810" s="23">
        <f t="shared" si="122"/>
        <v>3.1392429329390343</v>
      </c>
      <c r="M810" s="12" t="s">
        <v>11</v>
      </c>
      <c r="N810" s="8">
        <v>37349</v>
      </c>
      <c r="O810" s="8">
        <v>51427.369999999995</v>
      </c>
      <c r="P810" s="7">
        <f t="shared" si="119"/>
        <v>58440.193181818177</v>
      </c>
      <c r="Q810" s="8">
        <v>56116</v>
      </c>
      <c r="R810" s="8">
        <v>0</v>
      </c>
      <c r="S810" s="7">
        <f t="shared" si="120"/>
        <v>0</v>
      </c>
      <c r="T810" s="2">
        <v>10447</v>
      </c>
      <c r="U810" s="7">
        <f t="shared" si="124"/>
        <v>498867.58172727266</v>
      </c>
      <c r="V810" s="7">
        <f t="shared" si="121"/>
        <v>47.752233342325326</v>
      </c>
      <c r="W810" s="17"/>
      <c r="X810" s="11"/>
      <c r="AA810" s="11"/>
      <c r="AB810" s="11"/>
      <c r="AC810" s="11"/>
      <c r="AD810" s="11"/>
      <c r="AE810" s="11"/>
    </row>
    <row r="811" spans="1:31" x14ac:dyDescent="0.25">
      <c r="A811" s="15" t="s">
        <v>1</v>
      </c>
      <c r="B811" s="21">
        <v>45982</v>
      </c>
      <c r="C811" s="7">
        <v>5600</v>
      </c>
      <c r="D811" s="7">
        <v>14869.999999998981</v>
      </c>
      <c r="E811" s="7">
        <v>5050</v>
      </c>
      <c r="F811" s="7">
        <v>0</v>
      </c>
      <c r="G811" s="7">
        <v>11336</v>
      </c>
      <c r="H811" s="7">
        <v>9828</v>
      </c>
      <c r="I811" s="7">
        <v>50597</v>
      </c>
      <c r="J811" s="2">
        <v>20.60000038146973</v>
      </c>
      <c r="K811" s="23">
        <f t="shared" si="123"/>
        <v>87674.699999999459</v>
      </c>
      <c r="L811" s="23">
        <f t="shared" si="122"/>
        <v>7.7341831333803333</v>
      </c>
      <c r="M811" s="12" t="s">
        <v>11</v>
      </c>
      <c r="N811" s="7">
        <v>27807</v>
      </c>
      <c r="O811" s="7">
        <v>33669.85000000002</v>
      </c>
      <c r="P811" s="7">
        <f t="shared" si="119"/>
        <v>38261.193181818206</v>
      </c>
      <c r="Q811" s="7">
        <v>36633</v>
      </c>
      <c r="R811" s="7">
        <v>0</v>
      </c>
      <c r="S811" s="7">
        <f t="shared" si="120"/>
        <v>0</v>
      </c>
      <c r="T811" s="2">
        <v>5757</v>
      </c>
      <c r="U811" s="7">
        <f t="shared" si="124"/>
        <v>327992.46772727277</v>
      </c>
      <c r="V811" s="7">
        <f t="shared" si="121"/>
        <v>56.972810096799158</v>
      </c>
      <c r="W811" s="17"/>
      <c r="X811" s="11"/>
      <c r="AA811" s="11"/>
      <c r="AB811" s="11"/>
      <c r="AC811" s="11"/>
      <c r="AD811" s="11"/>
      <c r="AE811" s="11"/>
    </row>
    <row r="812" spans="1:31" x14ac:dyDescent="0.25">
      <c r="A812" s="15" t="s">
        <v>1</v>
      </c>
      <c r="B812" s="21">
        <v>45983</v>
      </c>
      <c r="C812" s="7">
        <v>4760</v>
      </c>
      <c r="D812" s="7">
        <v>11060.00000000131</v>
      </c>
      <c r="E812" s="7">
        <v>0</v>
      </c>
      <c r="F812" s="7">
        <v>0</v>
      </c>
      <c r="G812" s="7">
        <v>9122</v>
      </c>
      <c r="H812" s="7">
        <v>7727</v>
      </c>
      <c r="I812" s="7">
        <v>0</v>
      </c>
      <c r="J812" s="2">
        <v>25.25</v>
      </c>
      <c r="K812" s="23">
        <f t="shared" si="123"/>
        <v>42780.360000000692</v>
      </c>
      <c r="L812" s="23">
        <f t="shared" si="122"/>
        <v>4.6898004823504378</v>
      </c>
      <c r="M812" s="12" t="s">
        <v>11</v>
      </c>
      <c r="N812" s="7">
        <v>36629</v>
      </c>
      <c r="O812" s="7">
        <v>49679.029999999992</v>
      </c>
      <c r="P812" s="7">
        <f t="shared" si="119"/>
        <v>56453.443181818169</v>
      </c>
      <c r="Q812" s="7">
        <v>56623</v>
      </c>
      <c r="R812" s="7">
        <v>0</v>
      </c>
      <c r="S812" s="7">
        <f t="shared" si="120"/>
        <v>0</v>
      </c>
      <c r="T812" s="2">
        <v>8743</v>
      </c>
      <c r="U812" s="7">
        <f t="shared" si="124"/>
        <v>491206.25372727262</v>
      </c>
      <c r="V812" s="7">
        <f t="shared" si="121"/>
        <v>56.18280381188066</v>
      </c>
      <c r="W812" s="17"/>
      <c r="X812" s="11"/>
      <c r="AA812" s="11"/>
      <c r="AB812" s="11"/>
      <c r="AC812" s="11"/>
      <c r="AD812" s="11"/>
      <c r="AE812" s="11"/>
    </row>
    <row r="813" spans="1:31" x14ac:dyDescent="0.25">
      <c r="A813" s="15" t="s">
        <v>1</v>
      </c>
      <c r="B813" s="21">
        <v>45984</v>
      </c>
      <c r="C813" s="7">
        <v>4780</v>
      </c>
      <c r="D813" s="7">
        <v>9450.0000000007276</v>
      </c>
      <c r="E813" s="7">
        <v>0</v>
      </c>
      <c r="F813" s="7">
        <v>0</v>
      </c>
      <c r="G813" s="7">
        <v>9492</v>
      </c>
      <c r="H813" s="7">
        <v>6230</v>
      </c>
      <c r="I813" s="7">
        <v>0</v>
      </c>
      <c r="J813" s="2">
        <v>23.79999923706055</v>
      </c>
      <c r="K813" s="23">
        <f t="shared" si="123"/>
        <v>42082.180000000386</v>
      </c>
      <c r="L813" s="23">
        <f t="shared" si="122"/>
        <v>4.4334365781711318</v>
      </c>
      <c r="M813" s="12" t="s">
        <v>11</v>
      </c>
      <c r="N813" s="7">
        <v>35460</v>
      </c>
      <c r="O813" s="7">
        <v>49679.029999999992</v>
      </c>
      <c r="P813" s="7">
        <f t="shared" si="119"/>
        <v>56453.443181818169</v>
      </c>
      <c r="Q813" s="7">
        <v>46870</v>
      </c>
      <c r="R813" s="7">
        <v>0</v>
      </c>
      <c r="S813" s="7">
        <f t="shared" si="120"/>
        <v>0</v>
      </c>
      <c r="T813" s="2">
        <v>8150</v>
      </c>
      <c r="U813" s="7">
        <f t="shared" si="124"/>
        <v>454207.99372727261</v>
      </c>
      <c r="V813" s="7">
        <f t="shared" si="121"/>
        <v>55.731042175125474</v>
      </c>
      <c r="W813" s="17"/>
      <c r="X813" s="11"/>
      <c r="AA813" s="11"/>
      <c r="AB813" s="11"/>
      <c r="AC813" s="11"/>
      <c r="AD813" s="11"/>
      <c r="AE813" s="11"/>
    </row>
    <row r="814" spans="1:31" x14ac:dyDescent="0.25">
      <c r="A814" s="15" t="s">
        <v>1</v>
      </c>
      <c r="B814" s="21">
        <v>45985</v>
      </c>
      <c r="C814" s="7">
        <v>5918</v>
      </c>
      <c r="D814" s="7">
        <v>10379.999999997381</v>
      </c>
      <c r="E814" s="7">
        <v>0</v>
      </c>
      <c r="F814" s="7">
        <v>427</v>
      </c>
      <c r="G814" s="7">
        <v>7142</v>
      </c>
      <c r="H814" s="7">
        <v>6968</v>
      </c>
      <c r="I814" s="7">
        <v>0</v>
      </c>
      <c r="J814" s="2">
        <v>19.95000076293945</v>
      </c>
      <c r="K814" s="23">
        <f t="shared" si="123"/>
        <v>53536.407999998613</v>
      </c>
      <c r="L814" s="23">
        <f t="shared" si="122"/>
        <v>7.4959966395965578</v>
      </c>
      <c r="M814" s="12" t="s">
        <v>11</v>
      </c>
      <c r="N814" s="7">
        <v>37715</v>
      </c>
      <c r="O814" s="7">
        <v>55352.87000000001</v>
      </c>
      <c r="P814" s="7">
        <f t="shared" si="119"/>
        <v>62900.988636363647</v>
      </c>
      <c r="Q814" s="7">
        <v>55872</v>
      </c>
      <c r="R814" s="7">
        <v>0</v>
      </c>
      <c r="S814" s="7">
        <f t="shared" si="120"/>
        <v>0</v>
      </c>
      <c r="T814" s="2">
        <v>9182</v>
      </c>
      <c r="U814" s="7">
        <f t="shared" si="124"/>
        <v>518742.47354545456</v>
      </c>
      <c r="V814" s="7">
        <f t="shared" si="121"/>
        <v>56.495586315122473</v>
      </c>
      <c r="W814" s="17"/>
      <c r="X814" s="11"/>
      <c r="AA814" s="11"/>
      <c r="AB814" s="11"/>
      <c r="AC814" s="11"/>
      <c r="AD814" s="11"/>
      <c r="AE814" s="11"/>
    </row>
    <row r="815" spans="1:31" x14ac:dyDescent="0.25">
      <c r="A815" s="15" t="s">
        <v>1</v>
      </c>
      <c r="B815" s="21">
        <v>45986</v>
      </c>
      <c r="C815" s="8">
        <v>4224</v>
      </c>
      <c r="D815" s="8">
        <v>12730.000000003201</v>
      </c>
      <c r="E815" s="8">
        <v>6000</v>
      </c>
      <c r="F815" s="7">
        <v>169</v>
      </c>
      <c r="G815" s="8">
        <v>8957</v>
      </c>
      <c r="H815" s="8">
        <v>8895</v>
      </c>
      <c r="I815" s="8">
        <v>50597</v>
      </c>
      <c r="J815" s="2">
        <v>19.45000076293945</v>
      </c>
      <c r="K815" s="23">
        <f t="shared" si="123"/>
        <v>83553.244000001694</v>
      </c>
      <c r="L815" s="23">
        <f t="shared" si="122"/>
        <v>9.3282621413421563</v>
      </c>
      <c r="M815" s="12" t="s">
        <v>11</v>
      </c>
      <c r="N815" s="8">
        <v>36820</v>
      </c>
      <c r="O815" s="8">
        <v>49805.439999999995</v>
      </c>
      <c r="P815" s="7">
        <f t="shared" si="119"/>
        <v>56597.090909090904</v>
      </c>
      <c r="Q815" s="8">
        <v>51798</v>
      </c>
      <c r="R815" s="8">
        <v>0</v>
      </c>
      <c r="S815" s="7">
        <f t="shared" si="120"/>
        <v>0</v>
      </c>
      <c r="T815" s="2">
        <v>8059</v>
      </c>
      <c r="U815" s="7">
        <f t="shared" si="124"/>
        <v>473973.31163636362</v>
      </c>
      <c r="V815" s="7">
        <f t="shared" si="121"/>
        <v>58.812918679285723</v>
      </c>
      <c r="W815" s="17"/>
      <c r="X815" s="11"/>
      <c r="AA815" s="11"/>
      <c r="AB815" s="11"/>
      <c r="AC815" s="11"/>
      <c r="AD815" s="11"/>
      <c r="AE815" s="11"/>
    </row>
    <row r="816" spans="1:31" x14ac:dyDescent="0.25">
      <c r="A816" s="15" t="s">
        <v>1</v>
      </c>
      <c r="B816" s="21">
        <v>45987</v>
      </c>
      <c r="C816" s="9">
        <v>4302</v>
      </c>
      <c r="D816" s="9">
        <v>13530.000000002474</v>
      </c>
      <c r="E816" s="9">
        <v>6600</v>
      </c>
      <c r="F816" s="7">
        <v>0</v>
      </c>
      <c r="G816" s="9">
        <v>11353</v>
      </c>
      <c r="H816" s="9">
        <v>9092</v>
      </c>
      <c r="I816" s="9">
        <v>43886</v>
      </c>
      <c r="J816" s="2">
        <v>21.25</v>
      </c>
      <c r="K816" s="23">
        <f t="shared" si="123"/>
        <v>88057.212000001309</v>
      </c>
      <c r="L816" s="23">
        <f t="shared" si="122"/>
        <v>7.7562945476967595</v>
      </c>
      <c r="M816" s="12" t="s">
        <v>11</v>
      </c>
      <c r="N816" s="9">
        <v>7412</v>
      </c>
      <c r="O816" s="9">
        <v>0</v>
      </c>
      <c r="P816" s="7">
        <f t="shared" si="119"/>
        <v>0</v>
      </c>
      <c r="Q816" s="9">
        <v>1938</v>
      </c>
      <c r="R816" s="9">
        <v>0</v>
      </c>
      <c r="S816" s="7">
        <f t="shared" si="120"/>
        <v>0</v>
      </c>
      <c r="T816" s="2">
        <v>190</v>
      </c>
      <c r="U816" s="7">
        <f t="shared" si="124"/>
        <v>11157.1</v>
      </c>
      <c r="V816" s="7">
        <f t="shared" si="121"/>
        <v>58.721578947368421</v>
      </c>
      <c r="W816" s="17"/>
      <c r="X816" s="11"/>
      <c r="AA816" s="11"/>
      <c r="AB816" s="11"/>
      <c r="AC816" s="11"/>
      <c r="AD816" s="11"/>
      <c r="AE816" s="11"/>
    </row>
    <row r="817" spans="1:31" x14ac:dyDescent="0.25">
      <c r="A817" s="15" t="s">
        <v>1</v>
      </c>
      <c r="B817" s="21">
        <v>45988</v>
      </c>
      <c r="C817" s="10">
        <v>5249</v>
      </c>
      <c r="D817" s="10">
        <v>15039.999999997235</v>
      </c>
      <c r="E817" s="10">
        <v>0</v>
      </c>
      <c r="F817" s="7">
        <v>0</v>
      </c>
      <c r="G817" s="10">
        <v>14498</v>
      </c>
      <c r="H817" s="10">
        <v>9655</v>
      </c>
      <c r="I817" s="10">
        <v>0</v>
      </c>
      <c r="J817" s="2">
        <v>21.14999961853027</v>
      </c>
      <c r="K817" s="23">
        <f t="shared" si="123"/>
        <v>48682.443999998533</v>
      </c>
      <c r="L817" s="23">
        <f t="shared" si="122"/>
        <v>3.3578730859427877</v>
      </c>
      <c r="M817" s="12" t="s">
        <v>11</v>
      </c>
      <c r="N817" s="10">
        <v>36136</v>
      </c>
      <c r="O817" s="10">
        <v>38469.610000000015</v>
      </c>
      <c r="P817" s="7">
        <f t="shared" si="119"/>
        <v>43715.465909090926</v>
      </c>
      <c r="Q817" s="10">
        <v>62446</v>
      </c>
      <c r="R817" s="10">
        <v>0</v>
      </c>
      <c r="S817" s="7">
        <f t="shared" si="120"/>
        <v>0</v>
      </c>
      <c r="T817" s="2">
        <v>8721</v>
      </c>
      <c r="U817" s="7">
        <f t="shared" si="124"/>
        <v>453866.25063636363</v>
      </c>
      <c r="V817" s="7">
        <f t="shared" si="121"/>
        <v>52.042913729659858</v>
      </c>
      <c r="W817" s="17"/>
      <c r="X817" s="11"/>
      <c r="AA817" s="11"/>
      <c r="AB817" s="11"/>
      <c r="AC817" s="11"/>
      <c r="AD817" s="11"/>
      <c r="AE817" s="11"/>
    </row>
    <row r="818" spans="1:31" x14ac:dyDescent="0.25">
      <c r="A818" s="15" t="s">
        <v>1</v>
      </c>
      <c r="B818" s="21">
        <v>45989</v>
      </c>
      <c r="C818" s="7">
        <v>3327</v>
      </c>
      <c r="D818" s="7">
        <v>14290.000000000873</v>
      </c>
      <c r="E818" s="7">
        <v>0</v>
      </c>
      <c r="F818" s="7">
        <v>0</v>
      </c>
      <c r="G818" s="7">
        <v>13361</v>
      </c>
      <c r="H818" s="7">
        <v>9550</v>
      </c>
      <c r="I818" s="7">
        <v>0</v>
      </c>
      <c r="J818" s="2">
        <v>19.39999961853027</v>
      </c>
      <c r="K818" s="23">
        <f t="shared" si="123"/>
        <v>33377.912000000462</v>
      </c>
      <c r="L818" s="23">
        <f t="shared" si="122"/>
        <v>2.498159718583973</v>
      </c>
      <c r="M818" s="12" t="s">
        <v>11</v>
      </c>
      <c r="N818" s="7">
        <v>35130</v>
      </c>
      <c r="O818" s="7">
        <v>38469.610000000015</v>
      </c>
      <c r="P818" s="7">
        <f t="shared" si="119"/>
        <v>43715.465909090926</v>
      </c>
      <c r="Q818" s="7">
        <v>61814</v>
      </c>
      <c r="R818" s="7">
        <v>5601.9599999999664</v>
      </c>
      <c r="S818" s="7">
        <f t="shared" si="120"/>
        <v>7469.2799999999552</v>
      </c>
      <c r="T818" s="2">
        <v>7992</v>
      </c>
      <c r="U818" s="7">
        <f t="shared" si="124"/>
        <v>515659.67543636332</v>
      </c>
      <c r="V818" s="7">
        <f t="shared" si="121"/>
        <v>64.521981410956371</v>
      </c>
      <c r="W818" s="17"/>
      <c r="X818" s="11"/>
      <c r="AA818" s="11"/>
      <c r="AB818" s="11"/>
      <c r="AC818" s="11"/>
      <c r="AD818" s="11"/>
      <c r="AE818" s="11"/>
    </row>
    <row r="819" spans="1:31" x14ac:dyDescent="0.25">
      <c r="A819" s="15" t="s">
        <v>1</v>
      </c>
      <c r="B819" s="21">
        <v>45990</v>
      </c>
      <c r="C819" s="7">
        <v>3900</v>
      </c>
      <c r="D819" s="7">
        <v>12549.999999999272</v>
      </c>
      <c r="E819" s="7">
        <v>0</v>
      </c>
      <c r="F819" s="7">
        <v>0</v>
      </c>
      <c r="G819" s="7">
        <v>10781</v>
      </c>
      <c r="H819" s="7">
        <v>8390</v>
      </c>
      <c r="I819" s="7">
        <v>0</v>
      </c>
      <c r="J819" s="2">
        <v>18.25</v>
      </c>
      <c r="K819" s="23">
        <f t="shared" si="123"/>
        <v>36899.899999999616</v>
      </c>
      <c r="L819" s="23">
        <f t="shared" si="122"/>
        <v>3.4226787867544397</v>
      </c>
      <c r="M819" s="12" t="s">
        <v>11</v>
      </c>
      <c r="N819" s="7">
        <v>31483</v>
      </c>
      <c r="O819" s="7">
        <v>38469.610000000015</v>
      </c>
      <c r="P819" s="7">
        <f t="shared" si="119"/>
        <v>43715.465909090926</v>
      </c>
      <c r="Q819" s="7">
        <v>56283</v>
      </c>
      <c r="R819" s="7">
        <v>22840</v>
      </c>
      <c r="S819" s="7">
        <f t="shared" si="120"/>
        <v>30453.333333333332</v>
      </c>
      <c r="T819" s="2">
        <v>6635</v>
      </c>
      <c r="U819" s="7">
        <f>N819*0.53+P819*4.616+Q819*3.73+S819*8.66</f>
        <v>692138.03730303026</v>
      </c>
      <c r="V819" s="7">
        <f t="shared" si="121"/>
        <v>104.3162075814665</v>
      </c>
      <c r="W819" s="17"/>
      <c r="X819" s="11"/>
      <c r="AA819" s="11"/>
      <c r="AB819" s="11"/>
      <c r="AC819" s="11"/>
      <c r="AD819" s="11"/>
      <c r="AE819" s="11"/>
    </row>
    <row r="820" spans="1:31" x14ac:dyDescent="0.25">
      <c r="A820" s="15" t="s">
        <v>1</v>
      </c>
      <c r="B820" s="21">
        <v>45991</v>
      </c>
      <c r="C820" s="7">
        <v>2710</v>
      </c>
      <c r="D820" s="7">
        <v>13530.000000002474</v>
      </c>
      <c r="E820" s="7">
        <v>0</v>
      </c>
      <c r="F820" s="7">
        <v>0</v>
      </c>
      <c r="G820" s="7">
        <v>10148</v>
      </c>
      <c r="H820" s="7">
        <v>9590</v>
      </c>
      <c r="I820" s="7">
        <v>0</v>
      </c>
      <c r="J820" s="2">
        <v>16.85000038146973</v>
      </c>
      <c r="K820" s="23">
        <f>C820*7.756+D820*0.53+E820*7.2+F820*5</f>
        <v>28189.660000001313</v>
      </c>
      <c r="L820" s="23">
        <f t="shared" si="122"/>
        <v>2.7778537642886594</v>
      </c>
      <c r="M820" s="12" t="s">
        <v>11</v>
      </c>
      <c r="N820" s="8">
        <v>32698</v>
      </c>
      <c r="O820" s="8">
        <v>38469.610000000015</v>
      </c>
      <c r="P820" s="7">
        <f t="shared" si="119"/>
        <v>43715.465909090926</v>
      </c>
      <c r="Q820" s="8">
        <v>54888</v>
      </c>
      <c r="R820" s="8">
        <v>0</v>
      </c>
      <c r="S820" s="7">
        <f t="shared" si="120"/>
        <v>0</v>
      </c>
      <c r="T820" s="2">
        <v>8013</v>
      </c>
      <c r="U820" s="7">
        <f t="shared" si="124"/>
        <v>423852.77063636365</v>
      </c>
      <c r="V820" s="7">
        <f t="shared" si="121"/>
        <v>52.895640913061733</v>
      </c>
      <c r="W820" s="17"/>
      <c r="X820" s="11"/>
      <c r="AA820" s="11"/>
      <c r="AB820" s="11"/>
      <c r="AC820" s="11"/>
      <c r="AD820" s="11"/>
      <c r="AE820" s="11"/>
    </row>
    <row r="821" spans="1:31" x14ac:dyDescent="0.25">
      <c r="A821" s="15" t="s">
        <v>1</v>
      </c>
      <c r="B821" s="21">
        <v>45992</v>
      </c>
      <c r="C821" s="7">
        <v>2981</v>
      </c>
      <c r="D821" s="7">
        <v>7299.9999999992724</v>
      </c>
      <c r="E821" s="7">
        <v>0</v>
      </c>
      <c r="F821" s="7">
        <v>0</v>
      </c>
      <c r="G821" s="7">
        <v>11651</v>
      </c>
      <c r="H821" s="7">
        <v>6167</v>
      </c>
      <c r="I821" s="7">
        <v>0</v>
      </c>
      <c r="J821" s="2">
        <v>17.25</v>
      </c>
      <c r="K821" s="23">
        <f>C821*7.7+D821*0.52+E821*6.9+F821*5</f>
        <v>26749.699999999622</v>
      </c>
      <c r="L821" s="23">
        <f t="shared" si="122"/>
        <v>2.295914513775609</v>
      </c>
      <c r="M821" s="12" t="s">
        <v>11</v>
      </c>
      <c r="N821" s="7">
        <v>30928</v>
      </c>
      <c r="O821" s="7">
        <v>36634.37999999999</v>
      </c>
      <c r="P821" s="7">
        <f t="shared" si="119"/>
        <v>41629.977272727265</v>
      </c>
      <c r="Q821" s="7">
        <v>46797</v>
      </c>
      <c r="R821" s="7">
        <v>0</v>
      </c>
      <c r="S821" s="7">
        <f t="shared" si="120"/>
        <v>0</v>
      </c>
      <c r="T821" s="2">
        <v>7415</v>
      </c>
      <c r="U821" s="7">
        <f>N821*0.52+P821*4.456+Q821*3.98+S821*8.79</f>
        <v>387837.79872727266</v>
      </c>
      <c r="V821" s="7">
        <f t="shared" si="121"/>
        <v>52.304490725188494</v>
      </c>
      <c r="W821" s="17"/>
      <c r="X821" s="11"/>
      <c r="AA821" s="11"/>
      <c r="AB821" s="11"/>
      <c r="AC821" s="11"/>
      <c r="AD821" s="11"/>
      <c r="AE821" s="11"/>
    </row>
    <row r="822" spans="1:31" x14ac:dyDescent="0.25">
      <c r="A822" s="15" t="s">
        <v>1</v>
      </c>
      <c r="B822" s="21">
        <v>45993</v>
      </c>
      <c r="C822" s="7">
        <v>2980</v>
      </c>
      <c r="D822" s="7">
        <v>3002.0000000004075</v>
      </c>
      <c r="E822" s="7">
        <v>0</v>
      </c>
      <c r="F822" s="7">
        <v>0</v>
      </c>
      <c r="G822" s="7">
        <v>11155</v>
      </c>
      <c r="H822" s="7">
        <v>1062</v>
      </c>
      <c r="I822" s="7">
        <v>0</v>
      </c>
      <c r="J822" s="2">
        <v>18</v>
      </c>
      <c r="K822" s="23">
        <f t="shared" ref="K822:K851" si="125">C822*7.7+D822*0.52+E822*6.9+F822*5</f>
        <v>24507.040000000212</v>
      </c>
      <c r="L822" s="23">
        <f t="shared" si="122"/>
        <v>2.1969556252801623</v>
      </c>
      <c r="M822" s="12" t="s">
        <v>11</v>
      </c>
      <c r="N822" s="7">
        <v>32103</v>
      </c>
      <c r="O822" s="7">
        <v>47195.65</v>
      </c>
      <c r="P822" s="7">
        <f t="shared" si="119"/>
        <v>53631.420454545456</v>
      </c>
      <c r="Q822" s="7">
        <v>45506</v>
      </c>
      <c r="R822" s="7">
        <v>0</v>
      </c>
      <c r="S822" s="7">
        <f t="shared" si="120"/>
        <v>0</v>
      </c>
      <c r="T822" s="2">
        <v>7953</v>
      </c>
      <c r="U822" s="7">
        <f t="shared" ref="U822:U851" si="126">N822*0.52+P822*4.456+Q822*3.98+S822*8.79</f>
        <v>436789.04954545456</v>
      </c>
      <c r="V822" s="7">
        <f t="shared" si="121"/>
        <v>54.921293794222876</v>
      </c>
      <c r="W822" s="17"/>
      <c r="X822" s="11"/>
      <c r="AA822" s="11"/>
      <c r="AB822" s="11"/>
      <c r="AC822" s="11"/>
      <c r="AD822" s="11"/>
      <c r="AE822" s="11"/>
    </row>
    <row r="823" spans="1:31" x14ac:dyDescent="0.25">
      <c r="A823" s="15" t="s">
        <v>1</v>
      </c>
      <c r="B823" s="21">
        <v>45994</v>
      </c>
      <c r="C823" s="7">
        <v>4430</v>
      </c>
      <c r="D823" s="7">
        <v>12430.000000000291</v>
      </c>
      <c r="E823" s="7">
        <v>0</v>
      </c>
      <c r="F823" s="7">
        <v>0</v>
      </c>
      <c r="G823" s="7">
        <v>10814</v>
      </c>
      <c r="H823" s="7">
        <v>8075</v>
      </c>
      <c r="I823" s="7">
        <v>0</v>
      </c>
      <c r="J823" s="2">
        <v>17.70000076293945</v>
      </c>
      <c r="K823" s="23">
        <f t="shared" si="125"/>
        <v>40574.600000000151</v>
      </c>
      <c r="L823" s="23">
        <f t="shared" si="122"/>
        <v>3.7520436471241125</v>
      </c>
      <c r="M823" s="12" t="s">
        <v>11</v>
      </c>
      <c r="N823" s="7">
        <v>15437</v>
      </c>
      <c r="O823" s="7">
        <v>12743.93</v>
      </c>
      <c r="P823" s="7">
        <f t="shared" si="119"/>
        <v>14481.738636363636</v>
      </c>
      <c r="Q823" s="7">
        <v>14896</v>
      </c>
      <c r="R823" s="7">
        <v>0</v>
      </c>
      <c r="S823" s="7">
        <f t="shared" si="120"/>
        <v>0</v>
      </c>
      <c r="T823" s="2">
        <v>2074</v>
      </c>
      <c r="U823" s="7">
        <f t="shared" si="126"/>
        <v>131843.94736363637</v>
      </c>
      <c r="V823" s="7">
        <f t="shared" si="121"/>
        <v>63.569887832032968</v>
      </c>
      <c r="W823" s="17"/>
      <c r="X823" s="11"/>
      <c r="AA823" s="11"/>
      <c r="AB823" s="11"/>
      <c r="AC823" s="11"/>
      <c r="AD823" s="11"/>
      <c r="AE823" s="11"/>
    </row>
    <row r="824" spans="1:31" x14ac:dyDescent="0.25">
      <c r="A824" s="15" t="s">
        <v>1</v>
      </c>
      <c r="B824" s="21">
        <v>45995</v>
      </c>
      <c r="C824" s="7">
        <v>1877</v>
      </c>
      <c r="D824" s="7">
        <v>12750</v>
      </c>
      <c r="E824" s="7">
        <v>0</v>
      </c>
      <c r="F824" s="7">
        <v>0</v>
      </c>
      <c r="G824" s="7">
        <v>10852</v>
      </c>
      <c r="H824" s="7">
        <v>8484</v>
      </c>
      <c r="I824" s="7">
        <v>0</v>
      </c>
      <c r="J824" s="2">
        <v>21</v>
      </c>
      <c r="K824" s="23">
        <f t="shared" si="125"/>
        <v>21082.9</v>
      </c>
      <c r="L824" s="23">
        <f t="shared" si="122"/>
        <v>1.9427663103575379</v>
      </c>
      <c r="M824" s="12" t="s">
        <v>11</v>
      </c>
      <c r="N824" s="7">
        <v>32269</v>
      </c>
      <c r="O824" s="7">
        <v>39202.720000000008</v>
      </c>
      <c r="P824" s="7">
        <f t="shared" si="119"/>
        <v>44548.545454545463</v>
      </c>
      <c r="Q824" s="7">
        <v>53619</v>
      </c>
      <c r="R824" s="7">
        <v>26605.679999999898</v>
      </c>
      <c r="S824" s="7">
        <f t="shared" si="120"/>
        <v>35474.239999999867</v>
      </c>
      <c r="T824" s="2">
        <v>7837</v>
      </c>
      <c r="U824" s="7">
        <f t="shared" si="126"/>
        <v>740510.38814545341</v>
      </c>
      <c r="V824" s="7">
        <f t="shared" si="121"/>
        <v>94.489012140545285</v>
      </c>
      <c r="W824" s="17"/>
      <c r="X824" s="11"/>
      <c r="AA824" s="11"/>
      <c r="AB824" s="11"/>
      <c r="AC824" s="11"/>
      <c r="AD824" s="11"/>
      <c r="AE824" s="11"/>
    </row>
    <row r="825" spans="1:31" x14ac:dyDescent="0.25">
      <c r="A825" s="15" t="s">
        <v>1</v>
      </c>
      <c r="B825" s="21">
        <v>45996</v>
      </c>
      <c r="C825" s="8">
        <v>4567</v>
      </c>
      <c r="D825" s="8">
        <v>13040.000000000873</v>
      </c>
      <c r="E825" s="8">
        <v>4275</v>
      </c>
      <c r="F825" s="7">
        <v>0</v>
      </c>
      <c r="G825" s="8">
        <v>8934</v>
      </c>
      <c r="H825" s="8">
        <v>8840</v>
      </c>
      <c r="I825" s="8">
        <v>38172</v>
      </c>
      <c r="J825" s="2">
        <v>21.95000076293945</v>
      </c>
      <c r="K825" s="23">
        <f t="shared" si="125"/>
        <v>71444.200000000448</v>
      </c>
      <c r="L825" s="23">
        <f t="shared" si="122"/>
        <v>7.9968882919185633</v>
      </c>
      <c r="M825" s="12" t="s">
        <v>11</v>
      </c>
      <c r="N825" s="8">
        <v>34073</v>
      </c>
      <c r="O825" s="8">
        <v>42064.674000000006</v>
      </c>
      <c r="P825" s="7">
        <f t="shared" si="119"/>
        <v>47800.765909090915</v>
      </c>
      <c r="Q825" s="8">
        <v>60021</v>
      </c>
      <c r="R825" s="8">
        <v>0</v>
      </c>
      <c r="S825" s="7">
        <f t="shared" si="120"/>
        <v>0</v>
      </c>
      <c r="T825" s="2">
        <v>8255</v>
      </c>
      <c r="U825" s="7">
        <f t="shared" si="126"/>
        <v>469601.75289090909</v>
      </c>
      <c r="V825" s="7">
        <f t="shared" si="121"/>
        <v>56.886947654864819</v>
      </c>
      <c r="W825" s="17"/>
      <c r="X825" s="11"/>
      <c r="AA825" s="11"/>
      <c r="AB825" s="11"/>
      <c r="AC825" s="11"/>
      <c r="AD825" s="11"/>
      <c r="AE825" s="11"/>
    </row>
    <row r="826" spans="1:31" x14ac:dyDescent="0.25">
      <c r="A826" s="15" t="s">
        <v>1</v>
      </c>
      <c r="B826" s="21">
        <v>45997</v>
      </c>
      <c r="C826" s="7">
        <v>4890</v>
      </c>
      <c r="D826" s="7">
        <v>14939.99999999869</v>
      </c>
      <c r="E826" s="7">
        <v>2575</v>
      </c>
      <c r="F826" s="7">
        <v>0</v>
      </c>
      <c r="G826" s="7">
        <v>9338</v>
      </c>
      <c r="H826" s="7">
        <v>9558</v>
      </c>
      <c r="I826" s="7">
        <v>22345</v>
      </c>
      <c r="J826" s="2">
        <v>22.70000076293945</v>
      </c>
      <c r="K826" s="23">
        <f t="shared" si="125"/>
        <v>63189.299999999319</v>
      </c>
      <c r="L826" s="23">
        <f t="shared" si="122"/>
        <v>6.7668986935103144</v>
      </c>
      <c r="M826" s="12" t="s">
        <v>11</v>
      </c>
      <c r="N826" s="7">
        <v>37786</v>
      </c>
      <c r="O826" s="7">
        <v>51536.189999999995</v>
      </c>
      <c r="P826" s="7">
        <f t="shared" si="119"/>
        <v>58563.852272727265</v>
      </c>
      <c r="Q826" s="7">
        <v>56239</v>
      </c>
      <c r="R826" s="7">
        <v>0</v>
      </c>
      <c r="S826" s="7">
        <f t="shared" si="120"/>
        <v>0</v>
      </c>
      <c r="T826" s="2">
        <v>8801</v>
      </c>
      <c r="U826" s="7">
        <f t="shared" si="126"/>
        <v>504440.46572727268</v>
      </c>
      <c r="V826" s="7">
        <f t="shared" si="121"/>
        <v>57.3162669841237</v>
      </c>
      <c r="W826" s="17"/>
      <c r="X826" s="11"/>
      <c r="AA826" s="11"/>
      <c r="AB826" s="11"/>
      <c r="AC826" s="11"/>
      <c r="AD826" s="11"/>
      <c r="AE826" s="11"/>
    </row>
    <row r="827" spans="1:31" x14ac:dyDescent="0.25">
      <c r="A827" s="15" t="s">
        <v>1</v>
      </c>
      <c r="B827" s="21">
        <v>45998</v>
      </c>
      <c r="C827" s="7">
        <v>5390</v>
      </c>
      <c r="D827" s="7">
        <v>15700.000000000728</v>
      </c>
      <c r="E827" s="7">
        <v>0</v>
      </c>
      <c r="F827" s="7">
        <v>0</v>
      </c>
      <c r="G827" s="7">
        <v>7810</v>
      </c>
      <c r="H827" s="7">
        <v>10728</v>
      </c>
      <c r="I827" s="7">
        <v>0</v>
      </c>
      <c r="J827" s="2">
        <v>24.04999923706055</v>
      </c>
      <c r="K827" s="23">
        <f t="shared" si="125"/>
        <v>49667.000000000378</v>
      </c>
      <c r="L827" s="23">
        <f t="shared" si="122"/>
        <v>6.3594110115237363</v>
      </c>
      <c r="M827" s="12" t="s">
        <v>11</v>
      </c>
      <c r="N827" s="7">
        <v>37786</v>
      </c>
      <c r="O827" s="7">
        <v>51536.190000000017</v>
      </c>
      <c r="P827" s="7">
        <f t="shared" si="119"/>
        <v>58563.852272727294</v>
      </c>
      <c r="Q827" s="7">
        <v>50611</v>
      </c>
      <c r="R827" s="7">
        <v>0</v>
      </c>
      <c r="S827" s="7">
        <f t="shared" si="120"/>
        <v>0</v>
      </c>
      <c r="T827" s="2">
        <v>7738</v>
      </c>
      <c r="U827" s="7">
        <f t="shared" si="126"/>
        <v>482041.02572727285</v>
      </c>
      <c r="V827" s="7">
        <f t="shared" si="121"/>
        <v>62.295299266900081</v>
      </c>
      <c r="W827" s="17"/>
      <c r="X827" s="11"/>
      <c r="AA827" s="11"/>
      <c r="AB827" s="11"/>
      <c r="AC827" s="11"/>
      <c r="AD827" s="11"/>
      <c r="AE827" s="11"/>
    </row>
    <row r="828" spans="1:31" x14ac:dyDescent="0.25">
      <c r="A828" s="15" t="s">
        <v>1</v>
      </c>
      <c r="B828" s="21">
        <v>45999</v>
      </c>
      <c r="C828" s="7">
        <v>4360</v>
      </c>
      <c r="D828" s="7">
        <v>10750</v>
      </c>
      <c r="E828" s="7">
        <v>0</v>
      </c>
      <c r="F828" s="7">
        <v>0</v>
      </c>
      <c r="G828" s="7">
        <v>8127</v>
      </c>
      <c r="H828" s="7">
        <v>6552</v>
      </c>
      <c r="I828" s="7">
        <v>0</v>
      </c>
      <c r="J828" s="2">
        <v>23.60000038146973</v>
      </c>
      <c r="K828" s="23">
        <f t="shared" si="125"/>
        <v>39162</v>
      </c>
      <c r="L828" s="23">
        <f t="shared" si="122"/>
        <v>4.8187523071244005</v>
      </c>
      <c r="M828" s="12" t="s">
        <v>11</v>
      </c>
      <c r="N828" s="7">
        <v>31376</v>
      </c>
      <c r="O828" s="7">
        <v>38071.780000000013</v>
      </c>
      <c r="P828" s="7">
        <f t="shared" si="119"/>
        <v>43263.386363636382</v>
      </c>
      <c r="Q828" s="7">
        <v>48914</v>
      </c>
      <c r="R828" s="7">
        <v>0</v>
      </c>
      <c r="S828" s="7">
        <f t="shared" si="120"/>
        <v>0</v>
      </c>
      <c r="T828" s="2">
        <v>7862</v>
      </c>
      <c r="U828" s="7">
        <f t="shared" si="126"/>
        <v>403774.88963636372</v>
      </c>
      <c r="V828" s="7">
        <f t="shared" si="121"/>
        <v>51.357782960616092</v>
      </c>
      <c r="W828" s="17"/>
      <c r="X828" s="11"/>
      <c r="AA828" s="11"/>
      <c r="AB828" s="11"/>
      <c r="AC828" s="11"/>
      <c r="AD828" s="11"/>
      <c r="AE828" s="11"/>
    </row>
    <row r="829" spans="1:31" x14ac:dyDescent="0.25">
      <c r="A829" s="15" t="s">
        <v>1</v>
      </c>
      <c r="B829" s="21">
        <v>46000</v>
      </c>
      <c r="C829" s="7">
        <v>4500</v>
      </c>
      <c r="D829" s="7">
        <v>16259.999999998399</v>
      </c>
      <c r="E829" s="7">
        <v>2575</v>
      </c>
      <c r="F829" s="7">
        <v>0</v>
      </c>
      <c r="G829" s="7">
        <v>9137</v>
      </c>
      <c r="H829" s="7">
        <v>10036</v>
      </c>
      <c r="I829" s="7">
        <v>22345</v>
      </c>
      <c r="J829" s="2">
        <v>15.35000038146973</v>
      </c>
      <c r="K829" s="23">
        <f t="shared" si="125"/>
        <v>60872.699999999168</v>
      </c>
      <c r="L829" s="23">
        <f t="shared" si="122"/>
        <v>6.6622195468971404</v>
      </c>
      <c r="M829" s="12" t="s">
        <v>11</v>
      </c>
      <c r="N829" s="7">
        <v>10918</v>
      </c>
      <c r="O829" s="7">
        <v>0</v>
      </c>
      <c r="P829" s="7">
        <f t="shared" si="119"/>
        <v>0</v>
      </c>
      <c r="Q829" s="7">
        <v>11442</v>
      </c>
      <c r="R829" s="7">
        <v>0</v>
      </c>
      <c r="S829" s="7">
        <f t="shared" si="120"/>
        <v>0</v>
      </c>
      <c r="T829" s="2">
        <v>1323</v>
      </c>
      <c r="U829" s="7">
        <f t="shared" si="126"/>
        <v>51216.52</v>
      </c>
      <c r="V829" s="7">
        <f t="shared" si="121"/>
        <v>38.712411186696897</v>
      </c>
      <c r="W829" s="17"/>
      <c r="X829" s="11"/>
      <c r="AA829" s="11"/>
      <c r="AB829" s="11"/>
      <c r="AC829" s="11"/>
      <c r="AD829" s="11"/>
      <c r="AE829" s="11"/>
    </row>
    <row r="830" spans="1:31" x14ac:dyDescent="0.25">
      <c r="A830" s="15" t="s">
        <v>1</v>
      </c>
      <c r="B830" s="21">
        <v>46001</v>
      </c>
      <c r="C830" s="8">
        <v>6396</v>
      </c>
      <c r="D830" s="8">
        <v>15020.000000000437</v>
      </c>
      <c r="E830" s="8">
        <v>1350</v>
      </c>
      <c r="F830" s="7">
        <v>0</v>
      </c>
      <c r="G830" s="8">
        <v>8597</v>
      </c>
      <c r="H830" s="8">
        <v>9636</v>
      </c>
      <c r="I830" s="8">
        <v>12131</v>
      </c>
      <c r="J830" s="2">
        <v>15.69999980926514</v>
      </c>
      <c r="K830" s="23">
        <f t="shared" si="125"/>
        <v>66374.600000000239</v>
      </c>
      <c r="L830" s="23">
        <f t="shared" si="122"/>
        <v>7.7206700011632243</v>
      </c>
      <c r="M830" s="12" t="s">
        <v>11</v>
      </c>
      <c r="N830" s="8">
        <v>22138</v>
      </c>
      <c r="O830" s="8">
        <v>15321.570000000003</v>
      </c>
      <c r="P830" s="7">
        <f t="shared" si="119"/>
        <v>17410.875000000004</v>
      </c>
      <c r="Q830" s="8">
        <v>42612</v>
      </c>
      <c r="R830" s="8">
        <v>0</v>
      </c>
      <c r="S830" s="7">
        <f t="shared" si="120"/>
        <v>0</v>
      </c>
      <c r="T830" s="2">
        <v>5020</v>
      </c>
      <c r="U830" s="7">
        <f t="shared" si="126"/>
        <v>258690.37900000002</v>
      </c>
      <c r="V830" s="7">
        <f t="shared" si="121"/>
        <v>51.531948007968133</v>
      </c>
      <c r="W830" s="17"/>
      <c r="X830" s="11"/>
      <c r="AA830" s="11"/>
      <c r="AB830" s="11"/>
      <c r="AC830" s="11"/>
      <c r="AD830" s="11"/>
      <c r="AE830" s="11"/>
    </row>
    <row r="831" spans="1:31" x14ac:dyDescent="0.25">
      <c r="A831" s="15" t="s">
        <v>1</v>
      </c>
      <c r="B831" s="21">
        <v>46002</v>
      </c>
      <c r="C831" s="7">
        <v>3466</v>
      </c>
      <c r="D831" s="7">
        <v>13330.000000001746</v>
      </c>
      <c r="E831" s="7">
        <v>0</v>
      </c>
      <c r="F831" s="7">
        <v>0</v>
      </c>
      <c r="G831" s="7">
        <v>6968</v>
      </c>
      <c r="H831" s="7">
        <v>8200</v>
      </c>
      <c r="I831" s="7">
        <v>0</v>
      </c>
      <c r="J831" s="2">
        <v>15.35000038146973</v>
      </c>
      <c r="K831" s="23">
        <f t="shared" si="125"/>
        <v>33619.800000000905</v>
      </c>
      <c r="L831" s="23">
        <f t="shared" si="122"/>
        <v>4.8248851894375582</v>
      </c>
      <c r="M831" s="12" t="s">
        <v>11</v>
      </c>
      <c r="N831" s="7">
        <v>32559</v>
      </c>
      <c r="O831" s="7">
        <v>17573.95999999997</v>
      </c>
      <c r="P831" s="7">
        <f t="shared" si="119"/>
        <v>19970.409090909056</v>
      </c>
      <c r="Q831" s="7">
        <v>76993</v>
      </c>
      <c r="R831" s="7">
        <v>0</v>
      </c>
      <c r="S831" s="7">
        <f t="shared" si="120"/>
        <v>0</v>
      </c>
      <c r="T831" s="2">
        <v>7891</v>
      </c>
      <c r="U831" s="7">
        <f t="shared" si="126"/>
        <v>412350.9629090908</v>
      </c>
      <c r="V831" s="7">
        <f t="shared" si="121"/>
        <v>52.255856407184233</v>
      </c>
      <c r="W831" s="17"/>
      <c r="X831" s="11"/>
      <c r="AA831" s="11"/>
      <c r="AB831" s="11"/>
      <c r="AC831" s="11"/>
      <c r="AD831" s="11"/>
      <c r="AE831" s="11"/>
    </row>
    <row r="832" spans="1:31" x14ac:dyDescent="0.25">
      <c r="A832" s="15" t="s">
        <v>1</v>
      </c>
      <c r="B832" s="21">
        <v>46003</v>
      </c>
      <c r="C832" s="7">
        <v>3823</v>
      </c>
      <c r="D832" s="7">
        <v>16189.99999999869</v>
      </c>
      <c r="E832" s="7">
        <v>0</v>
      </c>
      <c r="F832" s="7">
        <v>0</v>
      </c>
      <c r="G832" s="7">
        <v>8892</v>
      </c>
      <c r="H832" s="7">
        <v>9277</v>
      </c>
      <c r="I832" s="7">
        <v>0</v>
      </c>
      <c r="J832" s="2">
        <v>14.69999980926514</v>
      </c>
      <c r="K832" s="23">
        <f t="shared" si="125"/>
        <v>37855.899999999325</v>
      </c>
      <c r="L832" s="23">
        <f t="shared" si="122"/>
        <v>4.2572986954565142</v>
      </c>
      <c r="M832" s="12" t="s">
        <v>11</v>
      </c>
      <c r="N832" s="7">
        <v>31714</v>
      </c>
      <c r="O832" s="7">
        <v>28517.410000000003</v>
      </c>
      <c r="P832" s="7">
        <f t="shared" si="119"/>
        <v>32406.147727272732</v>
      </c>
      <c r="Q832" s="7">
        <v>59710</v>
      </c>
      <c r="R832" s="7">
        <v>1124.2199999999759</v>
      </c>
      <c r="S832" s="7">
        <f t="shared" si="120"/>
        <v>1498.959999999968</v>
      </c>
      <c r="T832" s="2">
        <v>7397</v>
      </c>
      <c r="U832" s="7">
        <f t="shared" si="126"/>
        <v>411714.73267272703</v>
      </c>
      <c r="V832" s="7">
        <f t="shared" si="121"/>
        <v>55.659690776358936</v>
      </c>
      <c r="W832" s="17"/>
      <c r="X832" s="11"/>
      <c r="AA832" s="11"/>
      <c r="AB832" s="11"/>
      <c r="AC832" s="11"/>
      <c r="AD832" s="11"/>
      <c r="AE832" s="11"/>
    </row>
    <row r="833" spans="1:31" x14ac:dyDescent="0.25">
      <c r="A833" s="15" t="s">
        <v>1</v>
      </c>
      <c r="B833" s="21">
        <v>46004</v>
      </c>
      <c r="C833" s="7">
        <v>5190</v>
      </c>
      <c r="D833" s="7">
        <v>15080.000000001746</v>
      </c>
      <c r="E833" s="7">
        <v>0</v>
      </c>
      <c r="F833" s="7">
        <v>0</v>
      </c>
      <c r="G833" s="7">
        <v>10594</v>
      </c>
      <c r="H833" s="7">
        <v>9506</v>
      </c>
      <c r="I833" s="7">
        <v>0</v>
      </c>
      <c r="J833" s="2">
        <v>15.85000038146973</v>
      </c>
      <c r="K833" s="23">
        <f t="shared" si="125"/>
        <v>47804.600000000908</v>
      </c>
      <c r="L833" s="23">
        <f t="shared" si="122"/>
        <v>4.5124221257316321</v>
      </c>
      <c r="M833" s="12" t="s">
        <v>11</v>
      </c>
      <c r="N833" s="7">
        <v>32768</v>
      </c>
      <c r="O833" s="7">
        <v>29714.560000000005</v>
      </c>
      <c r="P833" s="7">
        <f t="shared" si="119"/>
        <v>33766.545454545463</v>
      </c>
      <c r="Q833" s="7">
        <v>52216</v>
      </c>
      <c r="R833" s="7">
        <v>11242.199999999993</v>
      </c>
      <c r="S833" s="7">
        <f t="shared" si="120"/>
        <v>14989.599999999991</v>
      </c>
      <c r="T833" s="2">
        <v>8127</v>
      </c>
      <c r="U833" s="7">
        <f t="shared" si="126"/>
        <v>507081.35054545448</v>
      </c>
      <c r="V833" s="7">
        <f t="shared" si="121"/>
        <v>62.394653690839732</v>
      </c>
      <c r="W833" s="17"/>
      <c r="X833" s="11"/>
      <c r="AA833" s="11"/>
      <c r="AB833" s="11"/>
      <c r="AC833" s="11"/>
      <c r="AD833" s="11"/>
      <c r="AE833" s="11"/>
    </row>
    <row r="834" spans="1:31" x14ac:dyDescent="0.25">
      <c r="A834" s="15" t="s">
        <v>1</v>
      </c>
      <c r="B834" s="21">
        <v>46005</v>
      </c>
      <c r="C834" s="7">
        <v>4040</v>
      </c>
      <c r="D834" s="7">
        <v>15969.999999997526</v>
      </c>
      <c r="E834" s="7">
        <v>0</v>
      </c>
      <c r="F834" s="7">
        <v>0</v>
      </c>
      <c r="G834" s="7">
        <v>10776</v>
      </c>
      <c r="H834" s="7">
        <v>10062</v>
      </c>
      <c r="I834" s="7">
        <v>0</v>
      </c>
      <c r="J834" s="2">
        <v>15.39999961853027</v>
      </c>
      <c r="K834" s="23">
        <f t="shared" si="125"/>
        <v>39412.399999998714</v>
      </c>
      <c r="L834" s="23">
        <f t="shared" si="122"/>
        <v>3.6574239049738968</v>
      </c>
      <c r="M834" s="12" t="s">
        <v>11</v>
      </c>
      <c r="N834" s="7">
        <v>33459</v>
      </c>
      <c r="O834" s="7">
        <v>32500.299999999988</v>
      </c>
      <c r="P834" s="7">
        <f t="shared" ref="P834:P897" si="127">O834/0.88</f>
        <v>36932.159090909081</v>
      </c>
      <c r="Q834" s="7">
        <v>48470</v>
      </c>
      <c r="R834" s="7">
        <v>10867.460000000036</v>
      </c>
      <c r="S834" s="7">
        <f t="shared" si="120"/>
        <v>14489.946666666714</v>
      </c>
      <c r="T834" s="2">
        <v>7818</v>
      </c>
      <c r="U834" s="7">
        <f t="shared" si="126"/>
        <v>502245.61210909125</v>
      </c>
      <c r="V834" s="7">
        <f t="shared" si="121"/>
        <v>64.242211832833362</v>
      </c>
      <c r="W834" s="17"/>
      <c r="X834" s="11"/>
      <c r="AA834" s="11"/>
      <c r="AB834" s="11"/>
      <c r="AC834" s="11"/>
      <c r="AD834" s="11"/>
      <c r="AE834" s="11"/>
    </row>
    <row r="835" spans="1:31" x14ac:dyDescent="0.25">
      <c r="A835" s="15" t="s">
        <v>1</v>
      </c>
      <c r="B835" s="21">
        <v>46006</v>
      </c>
      <c r="C835" s="8">
        <v>7210</v>
      </c>
      <c r="D835" s="8">
        <v>10740.000000001601</v>
      </c>
      <c r="E835" s="8">
        <v>3920</v>
      </c>
      <c r="F835" s="7">
        <v>0</v>
      </c>
      <c r="G835" s="8">
        <v>8332</v>
      </c>
      <c r="H835" s="8">
        <v>6292</v>
      </c>
      <c r="I835" s="8">
        <v>35376</v>
      </c>
      <c r="J835" s="2">
        <v>13.94999980926514</v>
      </c>
      <c r="K835" s="23">
        <f t="shared" si="125"/>
        <v>88149.800000000832</v>
      </c>
      <c r="L835" s="23">
        <f t="shared" si="122"/>
        <v>10.579668746999619</v>
      </c>
      <c r="M835" s="12" t="s">
        <v>11</v>
      </c>
      <c r="N835" s="8">
        <v>31550</v>
      </c>
      <c r="O835" s="8">
        <v>33025.560000000027</v>
      </c>
      <c r="P835" s="7">
        <f t="shared" si="127"/>
        <v>37529.045454545485</v>
      </c>
      <c r="Q835" s="8">
        <v>46112</v>
      </c>
      <c r="R835" s="8">
        <v>10492.720000000043</v>
      </c>
      <c r="S835" s="7">
        <f t="shared" ref="S835:S898" si="128">R835/0.75</f>
        <v>13990.293333333391</v>
      </c>
      <c r="T835" s="2">
        <v>8350</v>
      </c>
      <c r="U835" s="7">
        <f t="shared" si="126"/>
        <v>490135.86494545516</v>
      </c>
      <c r="V835" s="7">
        <f t="shared" ref="V835:V898" si="129">U835/T835</f>
        <v>58.698905981491635</v>
      </c>
      <c r="W835" s="17"/>
      <c r="X835" s="11"/>
      <c r="AA835" s="11"/>
      <c r="AB835" s="11"/>
      <c r="AC835" s="11"/>
      <c r="AD835" s="11"/>
      <c r="AE835" s="11"/>
    </row>
    <row r="836" spans="1:31" x14ac:dyDescent="0.25">
      <c r="A836" s="15" t="s">
        <v>1</v>
      </c>
      <c r="B836" s="21">
        <v>46007</v>
      </c>
      <c r="C836" s="7">
        <v>4020</v>
      </c>
      <c r="D836" s="7">
        <v>11979.999999999563</v>
      </c>
      <c r="E836" s="7">
        <v>0</v>
      </c>
      <c r="F836" s="7">
        <v>0</v>
      </c>
      <c r="G836" s="7">
        <v>2867</v>
      </c>
      <c r="H836" s="7">
        <v>5535</v>
      </c>
      <c r="I836" s="7">
        <v>0</v>
      </c>
      <c r="J836" s="2">
        <v>14.10000038146973</v>
      </c>
      <c r="K836" s="23">
        <f t="shared" si="125"/>
        <v>37183.599999999773</v>
      </c>
      <c r="L836" s="23">
        <f t="shared" si="122"/>
        <v>12.969515172654264</v>
      </c>
      <c r="M836" s="12" t="s">
        <v>11</v>
      </c>
      <c r="N836" s="7">
        <v>34105</v>
      </c>
      <c r="O836" s="7">
        <v>33302.179999999993</v>
      </c>
      <c r="P836" s="7">
        <f t="shared" si="127"/>
        <v>37843.386363636353</v>
      </c>
      <c r="Q836" s="7">
        <v>42649</v>
      </c>
      <c r="R836" s="7">
        <v>9743.2399999999925</v>
      </c>
      <c r="S836" s="7">
        <f t="shared" si="128"/>
        <v>12990.986666666657</v>
      </c>
      <c r="T836" s="2">
        <v>6694</v>
      </c>
      <c r="U836" s="7">
        <f t="shared" si="126"/>
        <v>470298.52243636351</v>
      </c>
      <c r="V836" s="7">
        <f t="shared" si="129"/>
        <v>70.256725789716683</v>
      </c>
      <c r="W836" s="17"/>
      <c r="X836" s="11"/>
      <c r="AA836" s="11"/>
      <c r="AB836" s="11"/>
      <c r="AC836" s="11"/>
      <c r="AD836" s="11"/>
      <c r="AE836" s="11"/>
    </row>
    <row r="837" spans="1:31" x14ac:dyDescent="0.25">
      <c r="A837" s="15" t="s">
        <v>1</v>
      </c>
      <c r="B837" s="21">
        <v>46008</v>
      </c>
      <c r="C837" s="7">
        <v>3026</v>
      </c>
      <c r="D837" s="7">
        <v>11989.999999997963</v>
      </c>
      <c r="E837" s="7">
        <v>0</v>
      </c>
      <c r="F837" s="7">
        <v>0</v>
      </c>
      <c r="G837" s="7">
        <v>13186</v>
      </c>
      <c r="H837" s="7">
        <v>5158</v>
      </c>
      <c r="I837" s="7">
        <v>0</v>
      </c>
      <c r="J837" s="2">
        <v>15.55000019073486</v>
      </c>
      <c r="K837" s="23">
        <f t="shared" si="125"/>
        <v>29534.999999998941</v>
      </c>
      <c r="L837" s="23">
        <f t="shared" si="122"/>
        <v>2.2398756256635024</v>
      </c>
      <c r="M837" s="12" t="s">
        <v>11</v>
      </c>
      <c r="N837" s="7">
        <v>36960</v>
      </c>
      <c r="O837" s="7">
        <v>34095.529999999992</v>
      </c>
      <c r="P837" s="7">
        <f t="shared" si="127"/>
        <v>38744.920454545441</v>
      </c>
      <c r="Q837" s="7">
        <v>53806</v>
      </c>
      <c r="R837" s="7">
        <v>12882.020000000017</v>
      </c>
      <c r="S837" s="7">
        <f t="shared" si="128"/>
        <v>17176.02666666669</v>
      </c>
      <c r="T837" s="2">
        <v>7689</v>
      </c>
      <c r="U837" s="7">
        <f t="shared" si="126"/>
        <v>556991.71994545474</v>
      </c>
      <c r="V837" s="7">
        <f t="shared" si="129"/>
        <v>72.440072824223535</v>
      </c>
      <c r="W837" s="17"/>
      <c r="X837" s="11"/>
      <c r="AA837" s="11"/>
      <c r="AB837" s="11"/>
      <c r="AC837" s="11"/>
      <c r="AD837" s="11"/>
      <c r="AE837" s="11"/>
    </row>
    <row r="838" spans="1:31" x14ac:dyDescent="0.25">
      <c r="A838" s="15" t="s">
        <v>1</v>
      </c>
      <c r="B838" s="21">
        <v>46009</v>
      </c>
      <c r="C838" s="7">
        <v>5162</v>
      </c>
      <c r="D838" s="7">
        <v>15780.000000002474</v>
      </c>
      <c r="E838" s="7">
        <v>2300</v>
      </c>
      <c r="F838" s="7">
        <v>0</v>
      </c>
      <c r="G838" s="7">
        <v>5871</v>
      </c>
      <c r="H838" s="7">
        <v>9412</v>
      </c>
      <c r="I838" s="7">
        <v>20027</v>
      </c>
      <c r="J838" s="2">
        <v>15.80000019073486</v>
      </c>
      <c r="K838" s="23">
        <f t="shared" si="125"/>
        <v>63823.000000001288</v>
      </c>
      <c r="L838" s="23">
        <f t="shared" si="122"/>
        <v>10.870890819281431</v>
      </c>
      <c r="M838" s="12" t="s">
        <v>11</v>
      </c>
      <c r="N838" s="7">
        <v>27432</v>
      </c>
      <c r="O838" s="7">
        <v>21239.7</v>
      </c>
      <c r="P838" s="7">
        <f t="shared" si="127"/>
        <v>24136.022727272728</v>
      </c>
      <c r="Q838" s="7">
        <v>37098</v>
      </c>
      <c r="R838" s="7">
        <v>8993.7600000000075</v>
      </c>
      <c r="S838" s="7">
        <f t="shared" si="128"/>
        <v>11991.680000000009</v>
      </c>
      <c r="T838" s="2">
        <v>5509</v>
      </c>
      <c r="U838" s="7">
        <f t="shared" si="126"/>
        <v>374871.66447272734</v>
      </c>
      <c r="V838" s="7">
        <f t="shared" si="129"/>
        <v>68.0471345929801</v>
      </c>
      <c r="W838" s="17"/>
      <c r="X838" s="11"/>
      <c r="AA838" s="11"/>
      <c r="AB838" s="11"/>
      <c r="AC838" s="11"/>
      <c r="AD838" s="11"/>
      <c r="AE838" s="11"/>
    </row>
    <row r="839" spans="1:31" x14ac:dyDescent="0.25">
      <c r="A839" s="15" t="s">
        <v>1</v>
      </c>
      <c r="B839" s="21">
        <v>46010</v>
      </c>
      <c r="C839" s="7">
        <v>5166</v>
      </c>
      <c r="D839" s="7">
        <v>15979.999999999563</v>
      </c>
      <c r="E839" s="7">
        <v>0</v>
      </c>
      <c r="F839" s="7">
        <v>0</v>
      </c>
      <c r="G839" s="7">
        <v>10233</v>
      </c>
      <c r="H839" s="7">
        <v>9745</v>
      </c>
      <c r="I839" s="7">
        <v>0</v>
      </c>
      <c r="J839" s="2">
        <v>15.10000038146973</v>
      </c>
      <c r="K839" s="23">
        <f t="shared" si="125"/>
        <v>48087.799999999777</v>
      </c>
      <c r="L839" s="23">
        <f t="shared" si="122"/>
        <v>4.699286621714041</v>
      </c>
      <c r="M839" s="12" t="s">
        <v>11</v>
      </c>
      <c r="N839" s="7">
        <v>38121</v>
      </c>
      <c r="O839" s="7">
        <v>32047.190000000002</v>
      </c>
      <c r="P839" s="7">
        <f t="shared" si="127"/>
        <v>36417.261363636368</v>
      </c>
      <c r="Q839" s="7">
        <v>52923</v>
      </c>
      <c r="R839" s="7">
        <v>15150.459999999968</v>
      </c>
      <c r="S839" s="7">
        <f t="shared" si="128"/>
        <v>20200.613333333291</v>
      </c>
      <c r="T839" s="2">
        <v>8096</v>
      </c>
      <c r="U839" s="7">
        <f t="shared" si="126"/>
        <v>570295.16783636331</v>
      </c>
      <c r="V839" s="7">
        <f t="shared" si="129"/>
        <v>70.441596817732616</v>
      </c>
      <c r="W839" s="17"/>
      <c r="X839" s="11"/>
      <c r="AA839" s="11"/>
      <c r="AB839" s="11"/>
      <c r="AC839" s="11"/>
      <c r="AD839" s="11"/>
      <c r="AE839" s="11"/>
    </row>
    <row r="840" spans="1:31" x14ac:dyDescent="0.25">
      <c r="A840" s="15" t="s">
        <v>1</v>
      </c>
      <c r="B840" s="21">
        <v>46011</v>
      </c>
      <c r="C840" s="8">
        <v>3866</v>
      </c>
      <c r="D840" s="8">
        <v>15549.999999999272</v>
      </c>
      <c r="E840" s="8">
        <v>0</v>
      </c>
      <c r="F840" s="7">
        <v>0</v>
      </c>
      <c r="G840" s="8">
        <v>11398</v>
      </c>
      <c r="H840" s="8">
        <v>10244</v>
      </c>
      <c r="I840" s="8">
        <v>0</v>
      </c>
      <c r="J840" s="2">
        <v>15.64999961853027</v>
      </c>
      <c r="K840" s="23">
        <f t="shared" si="125"/>
        <v>37854.199999999619</v>
      </c>
      <c r="L840" s="23">
        <f t="shared" si="122"/>
        <v>3.3211265134233741</v>
      </c>
      <c r="M840" s="12" t="s">
        <v>11</v>
      </c>
      <c r="N840" s="8">
        <v>38170</v>
      </c>
      <c r="O840" s="8">
        <v>33893.17</v>
      </c>
      <c r="P840" s="7">
        <f t="shared" si="127"/>
        <v>38514.965909090904</v>
      </c>
      <c r="Q840" s="8">
        <v>55363</v>
      </c>
      <c r="R840" s="8">
        <v>10492.720000000043</v>
      </c>
      <c r="S840" s="7">
        <f t="shared" si="128"/>
        <v>13990.293333333391</v>
      </c>
      <c r="T840" s="2">
        <v>9372</v>
      </c>
      <c r="U840" s="7">
        <f t="shared" si="126"/>
        <v>534790.50649090949</v>
      </c>
      <c r="V840" s="7">
        <f t="shared" si="129"/>
        <v>57.062580718193502</v>
      </c>
      <c r="W840" s="17"/>
      <c r="X840" s="11"/>
      <c r="AA840" s="11"/>
      <c r="AB840" s="11"/>
      <c r="AC840" s="11"/>
      <c r="AD840" s="11"/>
      <c r="AE840" s="11"/>
    </row>
    <row r="841" spans="1:31" x14ac:dyDescent="0.25">
      <c r="A841" s="15" t="s">
        <v>1</v>
      </c>
      <c r="B841" s="21">
        <v>46012</v>
      </c>
      <c r="C841" s="7">
        <v>4810</v>
      </c>
      <c r="D841" s="7">
        <v>16840.000000000146</v>
      </c>
      <c r="E841" s="7">
        <v>0</v>
      </c>
      <c r="F841" s="7">
        <v>0</v>
      </c>
      <c r="G841" s="7">
        <v>9445</v>
      </c>
      <c r="H841" s="7">
        <v>10577</v>
      </c>
      <c r="I841" s="7">
        <v>0</v>
      </c>
      <c r="J841" s="2">
        <v>14.14999961853027</v>
      </c>
      <c r="K841" s="23">
        <f t="shared" si="125"/>
        <v>45793.800000000076</v>
      </c>
      <c r="L841" s="23">
        <f t="shared" ref="L841:L904" si="130">K841/G841</f>
        <v>4.8484700899947146</v>
      </c>
      <c r="M841" s="12" t="s">
        <v>11</v>
      </c>
      <c r="N841" s="7">
        <v>36624</v>
      </c>
      <c r="O841" s="7">
        <v>43178.969999999987</v>
      </c>
      <c r="P841" s="7">
        <f t="shared" si="127"/>
        <v>49067.011363636346</v>
      </c>
      <c r="Q841" s="7">
        <v>45060</v>
      </c>
      <c r="R841" s="7">
        <v>11616.940000000019</v>
      </c>
      <c r="S841" s="7">
        <f t="shared" si="128"/>
        <v>15489.253333333358</v>
      </c>
      <c r="T841" s="2">
        <v>7472</v>
      </c>
      <c r="U841" s="7">
        <f t="shared" si="126"/>
        <v>553176.41943636385</v>
      </c>
      <c r="V841" s="7">
        <f t="shared" si="129"/>
        <v>74.033246712575462</v>
      </c>
      <c r="W841" s="17"/>
      <c r="X841" s="11"/>
      <c r="AA841" s="11"/>
      <c r="AB841" s="11"/>
      <c r="AC841" s="11"/>
      <c r="AD841" s="11"/>
      <c r="AE841" s="11"/>
    </row>
    <row r="842" spans="1:31" x14ac:dyDescent="0.25">
      <c r="A842" s="15" t="s">
        <v>1</v>
      </c>
      <c r="B842" s="21">
        <v>46013</v>
      </c>
      <c r="C842" s="7">
        <v>5458</v>
      </c>
      <c r="D842" s="7">
        <v>9569.999999999709</v>
      </c>
      <c r="E842" s="7">
        <v>0</v>
      </c>
      <c r="F842" s="7">
        <v>0</v>
      </c>
      <c r="G842" s="7">
        <v>7253</v>
      </c>
      <c r="H842" s="7">
        <v>5418</v>
      </c>
      <c r="I842" s="7">
        <v>0</v>
      </c>
      <c r="J842" s="2">
        <v>15.60000038146973</v>
      </c>
      <c r="K842" s="23">
        <f t="shared" si="125"/>
        <v>47002.999999999847</v>
      </c>
      <c r="L842" s="23">
        <f t="shared" si="130"/>
        <v>6.4804908313800977</v>
      </c>
      <c r="M842" s="12" t="s">
        <v>11</v>
      </c>
      <c r="N842" s="7">
        <v>35255</v>
      </c>
      <c r="O842" s="7">
        <v>38671.360000000015</v>
      </c>
      <c r="P842" s="7">
        <f t="shared" si="127"/>
        <v>43944.727272727287</v>
      </c>
      <c r="Q842" s="7">
        <v>53552</v>
      </c>
      <c r="R842" s="7">
        <v>11616.939999999951</v>
      </c>
      <c r="S842" s="7">
        <f t="shared" si="128"/>
        <v>15489.253333333269</v>
      </c>
      <c r="T842" s="2">
        <v>6949</v>
      </c>
      <c r="U842" s="7">
        <f t="shared" si="126"/>
        <v>563437.80152727221</v>
      </c>
      <c r="V842" s="7">
        <f t="shared" si="129"/>
        <v>81.081853723884336</v>
      </c>
      <c r="W842" s="17"/>
      <c r="X842" s="11"/>
      <c r="AA842" s="11"/>
      <c r="AB842" s="11"/>
      <c r="AC842" s="11"/>
      <c r="AD842" s="11"/>
      <c r="AE842" s="11"/>
    </row>
    <row r="843" spans="1:31" x14ac:dyDescent="0.25">
      <c r="A843" s="15" t="s">
        <v>1</v>
      </c>
      <c r="B843" s="21">
        <v>46014</v>
      </c>
      <c r="C843" s="7">
        <v>5035</v>
      </c>
      <c r="D843" s="7">
        <v>9060.0000000013097</v>
      </c>
      <c r="E843" s="7">
        <v>2550</v>
      </c>
      <c r="F843" s="7">
        <v>0</v>
      </c>
      <c r="G843" s="7">
        <v>12557</v>
      </c>
      <c r="H843" s="7">
        <v>4038</v>
      </c>
      <c r="I843" s="7">
        <v>22996</v>
      </c>
      <c r="J843" s="2">
        <v>14.94999980926514</v>
      </c>
      <c r="K843" s="23">
        <f t="shared" si="125"/>
        <v>61075.700000000681</v>
      </c>
      <c r="L843" s="23">
        <f t="shared" si="130"/>
        <v>4.8638767221470642</v>
      </c>
      <c r="M843" s="12" t="s">
        <v>11</v>
      </c>
      <c r="N843" s="7">
        <v>31733</v>
      </c>
      <c r="O843" s="7">
        <v>28811.24</v>
      </c>
      <c r="P843" s="7">
        <f t="shared" si="127"/>
        <v>32740.045454545456</v>
      </c>
      <c r="Q843" s="7">
        <v>46845</v>
      </c>
      <c r="R843" s="7">
        <v>10117.98000000005</v>
      </c>
      <c r="S843" s="7">
        <f t="shared" si="128"/>
        <v>13490.640000000067</v>
      </c>
      <c r="T843" s="2">
        <v>7234</v>
      </c>
      <c r="U843" s="7">
        <f t="shared" si="126"/>
        <v>467416.62814545515</v>
      </c>
      <c r="V843" s="7">
        <f t="shared" si="129"/>
        <v>64.61385514866673</v>
      </c>
      <c r="W843" s="17"/>
      <c r="X843" s="11"/>
      <c r="AA843" s="11"/>
      <c r="AB843" s="11"/>
      <c r="AC843" s="11"/>
      <c r="AD843" s="11"/>
      <c r="AE843" s="11"/>
    </row>
    <row r="844" spans="1:31" x14ac:dyDescent="0.25">
      <c r="A844" s="15" t="s">
        <v>1</v>
      </c>
      <c r="B844" s="21">
        <v>46015</v>
      </c>
      <c r="C844" s="7">
        <v>4573</v>
      </c>
      <c r="D844" s="7">
        <v>9950.0000000007276</v>
      </c>
      <c r="E844" s="7">
        <v>0</v>
      </c>
      <c r="F844" s="7">
        <v>0</v>
      </c>
      <c r="G844" s="7">
        <v>8945</v>
      </c>
      <c r="H844" s="7">
        <v>4914</v>
      </c>
      <c r="I844" s="7">
        <v>0</v>
      </c>
      <c r="J844" s="2">
        <v>13.5</v>
      </c>
      <c r="K844" s="23">
        <f t="shared" si="125"/>
        <v>40386.100000000377</v>
      </c>
      <c r="L844" s="23">
        <f t="shared" si="130"/>
        <v>4.5149357182784096</v>
      </c>
      <c r="M844" s="12" t="s">
        <v>11</v>
      </c>
      <c r="N844" s="7">
        <v>33794</v>
      </c>
      <c r="O844" s="7">
        <v>29250.269999999997</v>
      </c>
      <c r="P844" s="7">
        <f t="shared" si="127"/>
        <v>33238.943181818177</v>
      </c>
      <c r="Q844" s="7">
        <v>50584</v>
      </c>
      <c r="R844" s="7">
        <v>10867.459999999968</v>
      </c>
      <c r="S844" s="7">
        <f t="shared" si="128"/>
        <v>14489.946666666625</v>
      </c>
      <c r="T844" s="2">
        <v>9051</v>
      </c>
      <c r="U844" s="7">
        <f t="shared" si="126"/>
        <v>494376.56201818143</v>
      </c>
      <c r="V844" s="7">
        <f t="shared" si="129"/>
        <v>54.621208929199142</v>
      </c>
      <c r="W844" s="17"/>
      <c r="X844" s="11"/>
      <c r="AA844" s="11"/>
      <c r="AB844" s="11"/>
      <c r="AC844" s="11"/>
      <c r="AD844" s="11"/>
      <c r="AE844" s="11"/>
    </row>
    <row r="845" spans="1:31" x14ac:dyDescent="0.25">
      <c r="A845" s="15" t="s">
        <v>1</v>
      </c>
      <c r="B845" s="21">
        <v>46016</v>
      </c>
      <c r="C845" s="8">
        <v>3313</v>
      </c>
      <c r="D845" s="8">
        <v>14750</v>
      </c>
      <c r="E845" s="8">
        <v>3125</v>
      </c>
      <c r="F845" s="7">
        <v>0</v>
      </c>
      <c r="G845" s="8">
        <v>8756</v>
      </c>
      <c r="H845" s="8">
        <v>7966</v>
      </c>
      <c r="I845" s="8">
        <v>31274</v>
      </c>
      <c r="J845" s="2">
        <v>14.19999980926514</v>
      </c>
      <c r="K845" s="23">
        <f t="shared" si="125"/>
        <v>54742.600000000006</v>
      </c>
      <c r="L845" s="23">
        <f t="shared" si="130"/>
        <v>6.2520100502512568</v>
      </c>
      <c r="M845" s="12" t="s">
        <v>11</v>
      </c>
      <c r="N845" s="8">
        <v>30268</v>
      </c>
      <c r="O845" s="8">
        <v>28575.529999999992</v>
      </c>
      <c r="P845" s="7">
        <f t="shared" si="127"/>
        <v>32472.193181818173</v>
      </c>
      <c r="Q845" s="8">
        <v>40561</v>
      </c>
      <c r="R845" s="8">
        <v>14220.979999999983</v>
      </c>
      <c r="S845" s="7">
        <f t="shared" si="128"/>
        <v>18961.306666666645</v>
      </c>
      <c r="T845" s="2">
        <v>6770</v>
      </c>
      <c r="U845" s="7">
        <f t="shared" si="126"/>
        <v>488538.11841818155</v>
      </c>
      <c r="V845" s="7">
        <f t="shared" si="129"/>
        <v>72.162203606821492</v>
      </c>
      <c r="W845" s="17"/>
      <c r="X845" s="11"/>
      <c r="AA845" s="11"/>
      <c r="AB845" s="11"/>
      <c r="AC845" s="11"/>
      <c r="AD845" s="11"/>
      <c r="AE845" s="11"/>
    </row>
    <row r="846" spans="1:31" x14ac:dyDescent="0.25">
      <c r="A846" s="15" t="s">
        <v>1</v>
      </c>
      <c r="B846" s="21">
        <v>46017</v>
      </c>
      <c r="C846" s="9">
        <v>4730</v>
      </c>
      <c r="D846" s="9">
        <v>14539.999999997235</v>
      </c>
      <c r="E846" s="9">
        <v>0</v>
      </c>
      <c r="F846" s="7">
        <v>0</v>
      </c>
      <c r="G846" s="9">
        <v>9286</v>
      </c>
      <c r="H846" s="9">
        <v>8434</v>
      </c>
      <c r="I846" s="9">
        <v>0</v>
      </c>
      <c r="J846" s="2">
        <v>14.35000038146973</v>
      </c>
      <c r="K846" s="23">
        <f t="shared" si="125"/>
        <v>43981.799999998562</v>
      </c>
      <c r="L846" s="23">
        <f t="shared" si="130"/>
        <v>4.7363558044366316</v>
      </c>
      <c r="M846" s="12" t="s">
        <v>11</v>
      </c>
      <c r="N846" s="9">
        <v>28422</v>
      </c>
      <c r="O846" s="9">
        <v>23575.470000000008</v>
      </c>
      <c r="P846" s="7">
        <f t="shared" si="127"/>
        <v>26790.306818181827</v>
      </c>
      <c r="Q846" s="9">
        <v>45457</v>
      </c>
      <c r="R846" s="9">
        <v>8619.0200000000168</v>
      </c>
      <c r="S846" s="7">
        <f t="shared" si="128"/>
        <v>11492.026666666688</v>
      </c>
      <c r="T846" s="2">
        <v>6418</v>
      </c>
      <c r="U846" s="7">
        <f t="shared" si="126"/>
        <v>416090.8215818184</v>
      </c>
      <c r="V846" s="7">
        <f t="shared" si="129"/>
        <v>64.831851290404856</v>
      </c>
      <c r="W846" s="17"/>
      <c r="X846" s="11"/>
      <c r="AA846" s="11"/>
      <c r="AB846" s="11"/>
      <c r="AC846" s="11"/>
      <c r="AD846" s="11"/>
      <c r="AE846" s="11"/>
    </row>
    <row r="847" spans="1:31" x14ac:dyDescent="0.25">
      <c r="A847" s="15" t="s">
        <v>1</v>
      </c>
      <c r="B847" s="21">
        <v>46018</v>
      </c>
      <c r="C847" s="10">
        <v>4191</v>
      </c>
      <c r="D847" s="10">
        <v>10889.999999999418</v>
      </c>
      <c r="E847" s="10">
        <v>0</v>
      </c>
      <c r="F847" s="7">
        <v>0</v>
      </c>
      <c r="G847" s="10">
        <v>3161</v>
      </c>
      <c r="H847" s="10">
        <v>3900</v>
      </c>
      <c r="I847" s="10">
        <v>0</v>
      </c>
      <c r="J847" s="2">
        <v>13.55000019073486</v>
      </c>
      <c r="K847" s="23">
        <f t="shared" si="125"/>
        <v>37933.499999999694</v>
      </c>
      <c r="L847" s="23">
        <f t="shared" si="130"/>
        <v>12.000474533375417</v>
      </c>
      <c r="M847" s="12" t="s">
        <v>11</v>
      </c>
      <c r="N847" s="10">
        <v>35789</v>
      </c>
      <c r="O847" s="10">
        <v>35750.33</v>
      </c>
      <c r="P847" s="7">
        <f t="shared" si="127"/>
        <v>40625.375</v>
      </c>
      <c r="Q847" s="10">
        <v>54770</v>
      </c>
      <c r="R847" s="10">
        <v>11242.200000000026</v>
      </c>
      <c r="S847" s="7">
        <f t="shared" si="128"/>
        <v>14989.600000000035</v>
      </c>
      <c r="T847" s="2">
        <v>8746</v>
      </c>
      <c r="U847" s="7">
        <f t="shared" si="126"/>
        <v>549380.13500000024</v>
      </c>
      <c r="V847" s="7">
        <f t="shared" si="129"/>
        <v>62.815016579007576</v>
      </c>
      <c r="W847" s="17"/>
      <c r="X847" s="11"/>
      <c r="AA847" s="11"/>
      <c r="AB847" s="11"/>
      <c r="AC847" s="11"/>
      <c r="AD847" s="11"/>
      <c r="AE847" s="11"/>
    </row>
    <row r="848" spans="1:31" x14ac:dyDescent="0.25">
      <c r="A848" s="15" t="s">
        <v>1</v>
      </c>
      <c r="B848" s="21">
        <v>46019</v>
      </c>
      <c r="C848" s="7">
        <v>2850</v>
      </c>
      <c r="D848" s="7">
        <v>5900.0000000014552</v>
      </c>
      <c r="E848" s="7">
        <v>0</v>
      </c>
      <c r="F848" s="7">
        <v>0</v>
      </c>
      <c r="G848" s="7">
        <v>2960</v>
      </c>
      <c r="H848" s="7">
        <v>2850</v>
      </c>
      <c r="I848" s="7">
        <v>0</v>
      </c>
      <c r="J848" s="2">
        <v>15</v>
      </c>
      <c r="K848" s="23">
        <f t="shared" si="125"/>
        <v>25013.000000000757</v>
      </c>
      <c r="L848" s="23">
        <f t="shared" si="130"/>
        <v>8.4503378378380933</v>
      </c>
      <c r="M848" s="12" t="s">
        <v>11</v>
      </c>
      <c r="N848" s="7">
        <v>36177</v>
      </c>
      <c r="O848" s="7">
        <v>36678.910000000003</v>
      </c>
      <c r="P848" s="7">
        <f t="shared" si="127"/>
        <v>41680.579545454551</v>
      </c>
      <c r="Q848" s="7">
        <v>55420</v>
      </c>
      <c r="R848" s="7">
        <v>11616.939999999951</v>
      </c>
      <c r="S848" s="7">
        <f t="shared" si="128"/>
        <v>15489.253333333269</v>
      </c>
      <c r="T848" s="2">
        <v>7680</v>
      </c>
      <c r="U848" s="7">
        <f t="shared" si="126"/>
        <v>561262.83925454493</v>
      </c>
      <c r="V848" s="7">
        <f t="shared" si="129"/>
        <v>73.08109886126887</v>
      </c>
      <c r="W848" s="17"/>
      <c r="X848" s="11"/>
      <c r="AA848" s="11"/>
      <c r="AB848" s="11"/>
      <c r="AC848" s="11"/>
      <c r="AD848" s="11"/>
      <c r="AE848" s="11"/>
    </row>
    <row r="849" spans="1:31" x14ac:dyDescent="0.25">
      <c r="A849" s="15" t="s">
        <v>1</v>
      </c>
      <c r="B849" s="21">
        <v>46020</v>
      </c>
      <c r="C849" s="7">
        <v>4129</v>
      </c>
      <c r="D849" s="7">
        <v>8750</v>
      </c>
      <c r="E849" s="7">
        <v>0</v>
      </c>
      <c r="F849" s="7">
        <v>0</v>
      </c>
      <c r="G849" s="7">
        <v>2224</v>
      </c>
      <c r="H849" s="7">
        <v>4040</v>
      </c>
      <c r="I849" s="7">
        <v>0</v>
      </c>
      <c r="J849" s="2">
        <v>16.60000038146973</v>
      </c>
      <c r="K849" s="23">
        <f t="shared" si="125"/>
        <v>36343.300000000003</v>
      </c>
      <c r="L849" s="23">
        <f t="shared" si="130"/>
        <v>16.341411870503599</v>
      </c>
      <c r="M849" s="12" t="s">
        <v>11</v>
      </c>
      <c r="N849" s="7">
        <v>35743</v>
      </c>
      <c r="O849" s="7">
        <v>34324.17</v>
      </c>
      <c r="P849" s="7">
        <f t="shared" si="127"/>
        <v>39004.738636363632</v>
      </c>
      <c r="Q849" s="7">
        <v>50139</v>
      </c>
      <c r="R849" s="7">
        <v>12366.420000000002</v>
      </c>
      <c r="S849" s="7">
        <f t="shared" si="128"/>
        <v>16488.560000000001</v>
      </c>
      <c r="T849" s="2">
        <v>7541</v>
      </c>
      <c r="U849" s="7">
        <f t="shared" si="126"/>
        <v>536879.13776363642</v>
      </c>
      <c r="V849" s="7">
        <f t="shared" si="129"/>
        <v>71.194687410640029</v>
      </c>
      <c r="W849" s="17"/>
      <c r="X849" s="11"/>
      <c r="AA849" s="11"/>
      <c r="AB849" s="11"/>
      <c r="AC849" s="11"/>
      <c r="AD849" s="11"/>
      <c r="AE849" s="11"/>
    </row>
    <row r="850" spans="1:31" x14ac:dyDescent="0.25">
      <c r="A850" s="15" t="s">
        <v>1</v>
      </c>
      <c r="B850" s="21">
        <v>46021</v>
      </c>
      <c r="C850" s="7">
        <v>5031</v>
      </c>
      <c r="D850" s="7">
        <v>12799.999999999272</v>
      </c>
      <c r="E850" s="7">
        <v>3300</v>
      </c>
      <c r="F850" s="7">
        <v>0</v>
      </c>
      <c r="G850" s="7">
        <v>7859</v>
      </c>
      <c r="H850" s="7">
        <v>7006</v>
      </c>
      <c r="I850" s="7">
        <v>33374</v>
      </c>
      <c r="J850" s="2">
        <v>18.35000038146973</v>
      </c>
      <c r="K850" s="23">
        <f t="shared" si="125"/>
        <v>68164.699999999633</v>
      </c>
      <c r="L850" s="23">
        <f t="shared" si="130"/>
        <v>8.6734571828476437</v>
      </c>
      <c r="M850" s="12" t="s">
        <v>11</v>
      </c>
      <c r="N850" s="8">
        <v>36154</v>
      </c>
      <c r="O850" s="8">
        <v>42904.23</v>
      </c>
      <c r="P850" s="7">
        <f t="shared" si="127"/>
        <v>48754.806818181823</v>
      </c>
      <c r="Q850" s="8">
        <v>45310</v>
      </c>
      <c r="R850" s="8">
        <v>11242.200000000026</v>
      </c>
      <c r="S850" s="7">
        <f t="shared" si="128"/>
        <v>14989.600000000035</v>
      </c>
      <c r="T850" s="2">
        <v>7447</v>
      </c>
      <c r="U850" s="7">
        <f t="shared" si="126"/>
        <v>548143.88318181853</v>
      </c>
      <c r="V850" s="7">
        <f t="shared" si="129"/>
        <v>73.60600015869727</v>
      </c>
      <c r="W850" s="17"/>
      <c r="X850" s="11"/>
      <c r="AA850" s="11"/>
      <c r="AB850" s="11"/>
      <c r="AC850" s="11"/>
      <c r="AD850" s="11"/>
      <c r="AE850" s="11"/>
    </row>
    <row r="851" spans="1:31" x14ac:dyDescent="0.25">
      <c r="A851" s="15" t="s">
        <v>1</v>
      </c>
      <c r="B851" s="21">
        <v>46022</v>
      </c>
      <c r="C851" s="7">
        <v>3708</v>
      </c>
      <c r="D851" s="7">
        <v>11950.000000000728</v>
      </c>
      <c r="E851" s="7">
        <v>4500</v>
      </c>
      <c r="F851" s="7">
        <v>0</v>
      </c>
      <c r="G851" s="7">
        <v>9950</v>
      </c>
      <c r="H851" s="7">
        <v>7152.6000000000013</v>
      </c>
      <c r="I851" s="7">
        <v>56000</v>
      </c>
      <c r="J851" s="2">
        <v>21.85000038146973</v>
      </c>
      <c r="K851" s="23">
        <f t="shared" si="125"/>
        <v>65815.600000000384</v>
      </c>
      <c r="L851" s="23">
        <f t="shared" si="130"/>
        <v>6.6146331658291846</v>
      </c>
      <c r="M851" s="12" t="s">
        <v>11</v>
      </c>
      <c r="N851" s="7">
        <v>36170</v>
      </c>
      <c r="O851" s="7">
        <v>39000.359999999971</v>
      </c>
      <c r="P851" s="7">
        <f t="shared" si="127"/>
        <v>44318.590909090875</v>
      </c>
      <c r="Q851" s="7">
        <v>55990</v>
      </c>
      <c r="R851" s="7">
        <v>11657.799999999974</v>
      </c>
      <c r="S851" s="7">
        <f t="shared" si="128"/>
        <v>15543.733333333299</v>
      </c>
      <c r="T851" s="2">
        <v>9022</v>
      </c>
      <c r="U851" s="7">
        <f t="shared" si="126"/>
        <v>575761.65709090861</v>
      </c>
      <c r="V851" s="7">
        <f t="shared" si="129"/>
        <v>63.817519074585306</v>
      </c>
      <c r="W851" s="17"/>
      <c r="X851" s="11"/>
      <c r="AA851" s="11"/>
      <c r="AB851" s="11"/>
      <c r="AC851" s="11"/>
      <c r="AD851" s="11"/>
      <c r="AE851" s="11"/>
    </row>
    <row r="852" spans="1:31" x14ac:dyDescent="0.25">
      <c r="A852" s="15" t="s">
        <v>1</v>
      </c>
      <c r="B852" s="21">
        <v>46023</v>
      </c>
      <c r="C852" s="7">
        <v>3880</v>
      </c>
      <c r="D852" s="7">
        <v>9880.0000000010186</v>
      </c>
      <c r="E852" s="7">
        <v>0</v>
      </c>
      <c r="F852" s="7">
        <v>0</v>
      </c>
      <c r="G852" s="7">
        <v>6405</v>
      </c>
      <c r="H852" s="7">
        <v>5707</v>
      </c>
      <c r="I852" s="7">
        <v>0</v>
      </c>
      <c r="J852" s="2">
        <v>21.89999961853027</v>
      </c>
      <c r="K852" s="23">
        <f>C852*8.601+D852*0.52+E852*7.2+F852*5</f>
        <v>38509.480000000534</v>
      </c>
      <c r="L852" s="23">
        <f t="shared" si="130"/>
        <v>6.0124090554255325</v>
      </c>
      <c r="M852" s="12" t="s">
        <v>11</v>
      </c>
      <c r="N852" s="7">
        <v>35917</v>
      </c>
      <c r="O852" s="7">
        <v>45036.130000000026</v>
      </c>
      <c r="P852" s="7">
        <f t="shared" si="127"/>
        <v>51177.420454545485</v>
      </c>
      <c r="Q852" s="7">
        <v>44555</v>
      </c>
      <c r="R852" s="7">
        <v>11242.200000000026</v>
      </c>
      <c r="S852" s="7">
        <f t="shared" si="128"/>
        <v>14989.600000000035</v>
      </c>
      <c r="T852" s="2">
        <v>7703</v>
      </c>
      <c r="U852" s="7">
        <f>N852*0.52+P852*4.615+Q852*4.35+S852*8.89</f>
        <v>581932.42939772771</v>
      </c>
      <c r="V852" s="7">
        <f t="shared" si="129"/>
        <v>75.546206594538191</v>
      </c>
      <c r="W852" s="17"/>
      <c r="X852" s="11"/>
      <c r="AA852" s="11"/>
      <c r="AB852" s="11"/>
      <c r="AC852" s="11"/>
      <c r="AD852" s="11"/>
      <c r="AE852" s="11"/>
    </row>
    <row r="853" spans="1:31" x14ac:dyDescent="0.25">
      <c r="A853" s="15" t="s">
        <v>1</v>
      </c>
      <c r="B853" s="21">
        <v>46024</v>
      </c>
      <c r="C853" s="7">
        <v>4060</v>
      </c>
      <c r="D853" s="7">
        <v>12709.999999999127</v>
      </c>
      <c r="E853" s="7">
        <v>0</v>
      </c>
      <c r="F853" s="7">
        <v>0</v>
      </c>
      <c r="G853" s="7">
        <v>9595</v>
      </c>
      <c r="H853" s="7">
        <v>8489</v>
      </c>
      <c r="I853" s="7">
        <v>0</v>
      </c>
      <c r="J853" s="2">
        <v>17.39999961853027</v>
      </c>
      <c r="K853" s="23">
        <f t="shared" ref="K853:K882" si="131">C853*8.601+D853*0.52+E853*7.2+F853*5</f>
        <v>41529.259999999551</v>
      </c>
      <c r="L853" s="23">
        <f t="shared" si="130"/>
        <v>4.3282188639916157</v>
      </c>
      <c r="M853" s="12" t="s">
        <v>11</v>
      </c>
      <c r="N853" s="7">
        <v>28419</v>
      </c>
      <c r="O853" s="7">
        <v>29579.820000000003</v>
      </c>
      <c r="P853" s="7">
        <f t="shared" si="127"/>
        <v>33613.431818181823</v>
      </c>
      <c r="Q853" s="7">
        <v>35351</v>
      </c>
      <c r="R853" s="7">
        <v>7890.3999999999869</v>
      </c>
      <c r="S853" s="7">
        <f t="shared" si="128"/>
        <v>10520.533333333316</v>
      </c>
      <c r="T853" s="2">
        <v>5384</v>
      </c>
      <c r="U853" s="7">
        <f t="shared" ref="U853:U882" si="132">N853*0.52+P853*4.615+Q853*4.35+S853*8.89</f>
        <v>417208.25917424232</v>
      </c>
      <c r="V853" s="7">
        <f t="shared" si="129"/>
        <v>77.490389891204003</v>
      </c>
      <c r="W853" s="17"/>
      <c r="X853" s="11"/>
      <c r="AA853" s="11"/>
      <c r="AB853" s="11"/>
      <c r="AC853" s="11"/>
      <c r="AD853" s="11"/>
      <c r="AE853" s="11"/>
    </row>
    <row r="854" spans="1:31" x14ac:dyDescent="0.25">
      <c r="A854" s="15" t="s">
        <v>1</v>
      </c>
      <c r="B854" s="21">
        <v>46025</v>
      </c>
      <c r="C854" s="7">
        <v>3800</v>
      </c>
      <c r="D854" s="7">
        <v>8430.000000000291</v>
      </c>
      <c r="E854" s="7">
        <v>0</v>
      </c>
      <c r="F854" s="7">
        <v>0</v>
      </c>
      <c r="G854" s="7">
        <v>1405</v>
      </c>
      <c r="H854" s="7">
        <v>4138</v>
      </c>
      <c r="I854" s="7">
        <v>0</v>
      </c>
      <c r="J854" s="2">
        <v>15.85000038146973</v>
      </c>
      <c r="K854" s="23">
        <f t="shared" si="131"/>
        <v>37067.400000000154</v>
      </c>
      <c r="L854" s="23">
        <f t="shared" si="130"/>
        <v>26.382491103202955</v>
      </c>
      <c r="M854" s="12" t="s">
        <v>11</v>
      </c>
      <c r="N854" s="7">
        <v>30846</v>
      </c>
      <c r="O854" s="7">
        <v>30196.980000000003</v>
      </c>
      <c r="P854" s="7">
        <f t="shared" si="127"/>
        <v>34314.75</v>
      </c>
      <c r="Q854" s="7">
        <v>48889</v>
      </c>
      <c r="R854" s="7">
        <v>11242.200000000026</v>
      </c>
      <c r="S854" s="7">
        <f t="shared" si="128"/>
        <v>14989.600000000035</v>
      </c>
      <c r="T854" s="2">
        <v>6122</v>
      </c>
      <c r="U854" s="7">
        <f t="shared" si="132"/>
        <v>520327.18525000033</v>
      </c>
      <c r="V854" s="7">
        <f t="shared" si="129"/>
        <v>84.993006411303554</v>
      </c>
      <c r="W854" s="17"/>
      <c r="X854" s="11"/>
      <c r="AA854" s="11"/>
      <c r="AB854" s="11"/>
      <c r="AC854" s="11"/>
      <c r="AD854" s="11"/>
      <c r="AE854" s="11"/>
    </row>
    <row r="855" spans="1:31" x14ac:dyDescent="0.25">
      <c r="A855" s="15" t="s">
        <v>1</v>
      </c>
      <c r="B855" s="21">
        <v>46026</v>
      </c>
      <c r="C855" s="7">
        <v>3180</v>
      </c>
      <c r="D855" s="7">
        <v>9669.9999999982538</v>
      </c>
      <c r="E855" s="7">
        <v>0</v>
      </c>
      <c r="F855" s="7">
        <v>0</v>
      </c>
      <c r="G855" s="26">
        <v>1411.6666666666599</v>
      </c>
      <c r="H855" s="7">
        <v>4832</v>
      </c>
      <c r="I855" s="7">
        <v>0</v>
      </c>
      <c r="J855" s="2">
        <v>14.44999980926514</v>
      </c>
      <c r="K855" s="23">
        <f t="shared" si="131"/>
        <v>32379.579999999096</v>
      </c>
      <c r="L855" s="23">
        <f t="shared" si="130"/>
        <v>22.937128689491797</v>
      </c>
      <c r="M855" s="12" t="s">
        <v>11</v>
      </c>
      <c r="N855" s="7">
        <v>36026</v>
      </c>
      <c r="O855" s="7">
        <v>44571.839999999997</v>
      </c>
      <c r="P855" s="7">
        <f t="shared" si="127"/>
        <v>50649.818181818177</v>
      </c>
      <c r="Q855" s="7">
        <v>44153</v>
      </c>
      <c r="R855" s="7">
        <v>11242.199999999961</v>
      </c>
      <c r="S855" s="7">
        <f t="shared" si="128"/>
        <v>14989.599999999948</v>
      </c>
      <c r="T855" s="2">
        <v>7162</v>
      </c>
      <c r="U855" s="7">
        <f t="shared" si="132"/>
        <v>577805.52490909037</v>
      </c>
      <c r="V855" s="7">
        <f t="shared" si="129"/>
        <v>80.676560305653496</v>
      </c>
      <c r="W855" s="17"/>
      <c r="X855" s="11"/>
      <c r="AA855" s="11"/>
      <c r="AB855" s="11"/>
      <c r="AC855" s="11"/>
      <c r="AD855" s="11"/>
      <c r="AE855" s="11"/>
    </row>
    <row r="856" spans="1:31" x14ac:dyDescent="0.25">
      <c r="A856" s="15" t="s">
        <v>1</v>
      </c>
      <c r="B856" s="21">
        <v>46027</v>
      </c>
      <c r="C856" s="8">
        <v>4910</v>
      </c>
      <c r="D856" s="8">
        <v>9260.0000000020373</v>
      </c>
      <c r="E856" s="8">
        <v>0</v>
      </c>
      <c r="F856" s="7">
        <v>0</v>
      </c>
      <c r="G856" s="26">
        <v>1418.3333333333139</v>
      </c>
      <c r="H856" s="8">
        <v>4928</v>
      </c>
      <c r="I856" s="8">
        <v>0</v>
      </c>
      <c r="J856" s="2">
        <v>11.69999980926514</v>
      </c>
      <c r="K856" s="23">
        <f t="shared" si="131"/>
        <v>47046.110000001063</v>
      </c>
      <c r="L856" s="23">
        <f t="shared" si="130"/>
        <v>33.169995299648676</v>
      </c>
      <c r="M856" s="12" t="s">
        <v>11</v>
      </c>
      <c r="N856" s="7">
        <v>27057</v>
      </c>
      <c r="O856" s="7">
        <v>21742.059999999983</v>
      </c>
      <c r="P856" s="7">
        <f t="shared" si="127"/>
        <v>24706.886363636346</v>
      </c>
      <c r="Q856" s="7">
        <v>39561</v>
      </c>
      <c r="R856" s="7">
        <v>3747.3999999999869</v>
      </c>
      <c r="S856" s="7">
        <f t="shared" si="128"/>
        <v>4996.5333333333156</v>
      </c>
      <c r="T856" s="2">
        <v>4510</v>
      </c>
      <c r="U856" s="7">
        <f t="shared" si="132"/>
        <v>344601.4519015149</v>
      </c>
      <c r="V856" s="7">
        <f t="shared" si="129"/>
        <v>76.408304191023262</v>
      </c>
      <c r="W856" s="17"/>
      <c r="X856" s="11"/>
      <c r="AA856" s="11"/>
      <c r="AB856" s="11"/>
      <c r="AC856" s="11"/>
      <c r="AD856" s="11"/>
      <c r="AE856" s="11"/>
    </row>
    <row r="857" spans="1:31" x14ac:dyDescent="0.25">
      <c r="A857" s="15" t="s">
        <v>1</v>
      </c>
      <c r="B857" s="21">
        <v>46028</v>
      </c>
      <c r="C857" s="7">
        <v>5320</v>
      </c>
      <c r="D857" s="7">
        <v>13579.999999998108</v>
      </c>
      <c r="E857" s="7">
        <v>0</v>
      </c>
      <c r="F857" s="7">
        <v>0</v>
      </c>
      <c r="G857" s="7">
        <v>1425</v>
      </c>
      <c r="H857" s="7">
        <v>7332</v>
      </c>
      <c r="I857" s="7">
        <v>0</v>
      </c>
      <c r="J857" s="2">
        <v>12.64999961853027</v>
      </c>
      <c r="K857" s="23">
        <f t="shared" si="131"/>
        <v>52818.919999999023</v>
      </c>
      <c r="L857" s="23">
        <f t="shared" si="130"/>
        <v>37.065908771929138</v>
      </c>
      <c r="M857" s="12" t="s">
        <v>11</v>
      </c>
      <c r="N857" s="7">
        <v>28359</v>
      </c>
      <c r="O857" s="7">
        <v>22086.890000000007</v>
      </c>
      <c r="P857" s="7">
        <f t="shared" si="127"/>
        <v>25098.738636363643</v>
      </c>
      <c r="Q857" s="7">
        <v>57712</v>
      </c>
      <c r="R857" s="7">
        <v>0</v>
      </c>
      <c r="S857" s="7">
        <f t="shared" si="128"/>
        <v>0</v>
      </c>
      <c r="T857" s="2">
        <v>5987</v>
      </c>
      <c r="U857" s="7">
        <f t="shared" si="132"/>
        <v>381624.55880681821</v>
      </c>
      <c r="V857" s="7">
        <f t="shared" si="129"/>
        <v>63.742201237150191</v>
      </c>
      <c r="W857" s="17"/>
      <c r="X857" s="11"/>
      <c r="AA857" s="11"/>
      <c r="AB857" s="11"/>
      <c r="AC857" s="11"/>
      <c r="AD857" s="11"/>
      <c r="AE857" s="11"/>
    </row>
    <row r="858" spans="1:31" x14ac:dyDescent="0.25">
      <c r="A858" s="15" t="s">
        <v>1</v>
      </c>
      <c r="B858" s="21">
        <v>46029</v>
      </c>
      <c r="C858" s="7">
        <v>4389</v>
      </c>
      <c r="D858" s="7">
        <v>14619.999999998981</v>
      </c>
      <c r="E858" s="7">
        <v>0</v>
      </c>
      <c r="F858" s="7">
        <v>0</v>
      </c>
      <c r="G858" s="7">
        <v>5079</v>
      </c>
      <c r="H858" s="7">
        <v>7956</v>
      </c>
      <c r="I858" s="7">
        <v>0</v>
      </c>
      <c r="J858" s="2">
        <v>15.75</v>
      </c>
      <c r="K858" s="23">
        <f t="shared" si="131"/>
        <v>45352.188999999475</v>
      </c>
      <c r="L858" s="23">
        <f t="shared" si="130"/>
        <v>8.9293540066941279</v>
      </c>
      <c r="M858" s="12" t="s">
        <v>11</v>
      </c>
      <c r="N858" s="7">
        <v>37240</v>
      </c>
      <c r="O858" s="7">
        <v>40664.409999999982</v>
      </c>
      <c r="P858" s="7">
        <f t="shared" si="127"/>
        <v>46209.556818181794</v>
      </c>
      <c r="Q858" s="7">
        <v>67082</v>
      </c>
      <c r="R858" s="7">
        <v>27020</v>
      </c>
      <c r="S858" s="7">
        <f t="shared" si="128"/>
        <v>36026.666666666664</v>
      </c>
      <c r="T858" s="2">
        <v>9214</v>
      </c>
      <c r="U858" s="7">
        <f t="shared" si="132"/>
        <v>844705.67138257553</v>
      </c>
      <c r="V858" s="7">
        <f t="shared" si="129"/>
        <v>91.676326392725798</v>
      </c>
      <c r="W858" s="17"/>
      <c r="X858" s="11"/>
      <c r="AA858" s="11"/>
      <c r="AB858" s="11"/>
      <c r="AC858" s="11"/>
      <c r="AD858" s="11"/>
      <c r="AE858" s="11"/>
    </row>
    <row r="859" spans="1:31" x14ac:dyDescent="0.25">
      <c r="A859" s="15" t="s">
        <v>1</v>
      </c>
      <c r="B859" s="21">
        <v>46030</v>
      </c>
      <c r="C859" s="7">
        <v>3468</v>
      </c>
      <c r="D859" s="7">
        <v>13450.000000000728</v>
      </c>
      <c r="E859" s="7">
        <v>0</v>
      </c>
      <c r="F859" s="7">
        <v>0</v>
      </c>
      <c r="G859" s="7">
        <v>7389</v>
      </c>
      <c r="H859" s="7">
        <v>7956</v>
      </c>
      <c r="I859" s="7">
        <v>0</v>
      </c>
      <c r="J859" s="2">
        <v>15.25</v>
      </c>
      <c r="K859" s="23">
        <f t="shared" si="131"/>
        <v>36822.268000000382</v>
      </c>
      <c r="L859" s="23">
        <f t="shared" si="130"/>
        <v>4.983389903911271</v>
      </c>
      <c r="M859" s="12" t="s">
        <v>11</v>
      </c>
      <c r="N859" s="7">
        <v>32354</v>
      </c>
      <c r="O859" s="7">
        <v>24560.910000000011</v>
      </c>
      <c r="P859" s="7">
        <f t="shared" si="127"/>
        <v>27910.125000000011</v>
      </c>
      <c r="Q859" s="7">
        <v>59869</v>
      </c>
      <c r="R859" s="7">
        <v>4143</v>
      </c>
      <c r="S859" s="7">
        <f t="shared" si="128"/>
        <v>5524</v>
      </c>
      <c r="T859" s="2">
        <v>8403</v>
      </c>
      <c r="U859" s="7">
        <f t="shared" si="132"/>
        <v>455167.81687500002</v>
      </c>
      <c r="V859" s="7">
        <f t="shared" si="129"/>
        <v>54.167299401999287</v>
      </c>
      <c r="W859" s="17"/>
      <c r="X859" s="11"/>
      <c r="AA859" s="11"/>
      <c r="AB859" s="11"/>
      <c r="AC859" s="11"/>
      <c r="AD859" s="11"/>
      <c r="AE859" s="11"/>
    </row>
    <row r="860" spans="1:31" x14ac:dyDescent="0.25">
      <c r="A860" s="15" t="s">
        <v>1</v>
      </c>
      <c r="B860" s="21">
        <v>46031</v>
      </c>
      <c r="C860" s="7">
        <v>4990</v>
      </c>
      <c r="D860" s="7">
        <v>15770.000000000437</v>
      </c>
      <c r="E860" s="7">
        <v>0</v>
      </c>
      <c r="F860" s="7">
        <v>0</v>
      </c>
      <c r="G860" s="7">
        <v>8805</v>
      </c>
      <c r="H860" s="7">
        <v>8944</v>
      </c>
      <c r="I860" s="7">
        <v>0</v>
      </c>
      <c r="J860" s="2">
        <v>16.54999923706055</v>
      </c>
      <c r="K860" s="23">
        <f t="shared" si="131"/>
        <v>51119.390000000232</v>
      </c>
      <c r="L860" s="23">
        <f t="shared" si="130"/>
        <v>5.8057228847246147</v>
      </c>
      <c r="M860" s="12" t="s">
        <v>11</v>
      </c>
      <c r="N860" s="7">
        <v>32138</v>
      </c>
      <c r="O860" s="7">
        <v>41817.279999999992</v>
      </c>
      <c r="P860" s="7">
        <f t="shared" si="127"/>
        <v>47519.636363636353</v>
      </c>
      <c r="Q860" s="7">
        <v>52370</v>
      </c>
      <c r="R860" s="7">
        <v>0</v>
      </c>
      <c r="S860" s="7">
        <f t="shared" si="128"/>
        <v>0</v>
      </c>
      <c r="T860" s="2">
        <v>8367</v>
      </c>
      <c r="U860" s="7">
        <f t="shared" si="132"/>
        <v>463824.38181818172</v>
      </c>
      <c r="V860" s="7">
        <f t="shared" si="129"/>
        <v>55.434968545258961</v>
      </c>
      <c r="W860" s="17"/>
      <c r="X860" s="11"/>
      <c r="AA860" s="11"/>
      <c r="AB860" s="11"/>
      <c r="AC860" s="11"/>
      <c r="AD860" s="11"/>
      <c r="AE860" s="11"/>
    </row>
    <row r="861" spans="1:31" x14ac:dyDescent="0.25">
      <c r="A861" s="15" t="s">
        <v>1</v>
      </c>
      <c r="B861" s="21">
        <v>46032</v>
      </c>
      <c r="C861" s="8">
        <v>4712</v>
      </c>
      <c r="D861" s="8">
        <v>15340.000000000146</v>
      </c>
      <c r="E861" s="8">
        <v>0</v>
      </c>
      <c r="F861" s="7">
        <v>0</v>
      </c>
      <c r="G861" s="8">
        <v>10972</v>
      </c>
      <c r="H861" s="8">
        <v>8944</v>
      </c>
      <c r="I861" s="8">
        <v>0</v>
      </c>
      <c r="J861" s="2">
        <v>15.89999961853027</v>
      </c>
      <c r="K861" s="23">
        <f t="shared" si="131"/>
        <v>48504.71200000008</v>
      </c>
      <c r="L861" s="23">
        <f t="shared" si="130"/>
        <v>4.4207721472840031</v>
      </c>
      <c r="M861" s="12" t="s">
        <v>11</v>
      </c>
      <c r="N861" s="7">
        <v>38855</v>
      </c>
      <c r="O861" s="7">
        <v>53857.640000000007</v>
      </c>
      <c r="P861" s="7">
        <f t="shared" si="127"/>
        <v>61201.863636363647</v>
      </c>
      <c r="Q861" s="7">
        <v>61081</v>
      </c>
      <c r="R861" s="7">
        <v>0</v>
      </c>
      <c r="S861" s="7">
        <f t="shared" si="128"/>
        <v>0</v>
      </c>
      <c r="T861" s="2">
        <v>9672</v>
      </c>
      <c r="U861" s="7">
        <f t="shared" si="132"/>
        <v>568353.55068181828</v>
      </c>
      <c r="V861" s="7">
        <f t="shared" si="129"/>
        <v>58.762774057259954</v>
      </c>
      <c r="W861" s="17"/>
      <c r="X861" s="11"/>
      <c r="AA861" s="11"/>
      <c r="AB861" s="11"/>
      <c r="AC861" s="11"/>
      <c r="AD861" s="11"/>
      <c r="AE861" s="11"/>
    </row>
    <row r="862" spans="1:31" x14ac:dyDescent="0.25">
      <c r="A862" s="15" t="s">
        <v>1</v>
      </c>
      <c r="B862" s="21">
        <v>46033</v>
      </c>
      <c r="C862" s="7">
        <v>3822</v>
      </c>
      <c r="D862" s="7">
        <v>13840.000000000146</v>
      </c>
      <c r="E862" s="7">
        <v>0</v>
      </c>
      <c r="F862" s="7">
        <v>0</v>
      </c>
      <c r="G862" s="7">
        <v>9263</v>
      </c>
      <c r="H862" s="7">
        <v>8814</v>
      </c>
      <c r="I862" s="7">
        <v>0</v>
      </c>
      <c r="J862" s="2">
        <v>18.10000038146973</v>
      </c>
      <c r="K862" s="23">
        <f t="shared" si="131"/>
        <v>40069.82200000008</v>
      </c>
      <c r="L862" s="23">
        <f t="shared" si="130"/>
        <v>4.3257931555651608</v>
      </c>
      <c r="M862" s="12" t="s">
        <v>11</v>
      </c>
      <c r="N862" s="7">
        <v>40411</v>
      </c>
      <c r="O862" s="7">
        <v>53393.35</v>
      </c>
      <c r="P862" s="7">
        <f t="shared" si="127"/>
        <v>60674.26136363636</v>
      </c>
      <c r="Q862" s="7">
        <v>51387</v>
      </c>
      <c r="R862" s="7">
        <v>3747.4000000000533</v>
      </c>
      <c r="S862" s="7">
        <f t="shared" si="128"/>
        <v>4996.5333333334047</v>
      </c>
      <c r="T862" s="2">
        <v>8245</v>
      </c>
      <c r="U862" s="7">
        <f t="shared" si="132"/>
        <v>568978.06752651569</v>
      </c>
      <c r="V862" s="7">
        <f t="shared" si="129"/>
        <v>69.00886204081452</v>
      </c>
      <c r="W862" s="17"/>
      <c r="X862" s="11"/>
      <c r="AA862" s="11"/>
      <c r="AB862" s="11"/>
      <c r="AC862" s="11"/>
      <c r="AD862" s="11"/>
      <c r="AE862" s="11"/>
    </row>
    <row r="863" spans="1:31" x14ac:dyDescent="0.25">
      <c r="A863" s="15" t="s">
        <v>1</v>
      </c>
      <c r="B863" s="21">
        <v>46034</v>
      </c>
      <c r="C863" s="7">
        <v>4100</v>
      </c>
      <c r="D863" s="7">
        <v>9790.0000000008731</v>
      </c>
      <c r="E863" s="7">
        <v>0</v>
      </c>
      <c r="F863" s="7">
        <v>0</v>
      </c>
      <c r="G863" s="7">
        <v>7998</v>
      </c>
      <c r="H863" s="7">
        <v>6812</v>
      </c>
      <c r="I863" s="7">
        <v>0</v>
      </c>
      <c r="J863" s="2">
        <v>16.89999961853027</v>
      </c>
      <c r="K863" s="23">
        <f t="shared" si="131"/>
        <v>40354.90000000046</v>
      </c>
      <c r="L863" s="23">
        <f t="shared" si="130"/>
        <v>5.0456239059765515</v>
      </c>
      <c r="M863" s="12" t="s">
        <v>11</v>
      </c>
      <c r="N863" s="7">
        <v>38191</v>
      </c>
      <c r="O863" s="7">
        <v>45515.64999999998</v>
      </c>
      <c r="P863" s="7">
        <f t="shared" si="127"/>
        <v>51722.329545454522</v>
      </c>
      <c r="Q863" s="7">
        <v>48313</v>
      </c>
      <c r="R863" s="7">
        <v>11242.199999999961</v>
      </c>
      <c r="S863" s="7">
        <f t="shared" si="128"/>
        <v>14989.599999999948</v>
      </c>
      <c r="T863" s="2">
        <v>8972</v>
      </c>
      <c r="U863" s="7">
        <f t="shared" si="132"/>
        <v>601976.96485227218</v>
      </c>
      <c r="V863" s="7">
        <f t="shared" si="129"/>
        <v>67.095069644702647</v>
      </c>
      <c r="W863" s="17"/>
      <c r="X863" s="11"/>
      <c r="AA863" s="11"/>
      <c r="AB863" s="11"/>
      <c r="AC863" s="11"/>
      <c r="AD863" s="11"/>
      <c r="AE863" s="11"/>
    </row>
    <row r="864" spans="1:31" x14ac:dyDescent="0.25">
      <c r="A864" s="15" t="s">
        <v>1</v>
      </c>
      <c r="B864" s="21">
        <v>46035</v>
      </c>
      <c r="C864" s="7">
        <v>4370</v>
      </c>
      <c r="D864" s="7">
        <v>7970.0000000011642</v>
      </c>
      <c r="E864" s="7">
        <v>6200</v>
      </c>
      <c r="F864" s="7">
        <v>0</v>
      </c>
      <c r="G864" s="7">
        <v>8510</v>
      </c>
      <c r="H864" s="7">
        <v>4191</v>
      </c>
      <c r="I864" s="7">
        <v>62037</v>
      </c>
      <c r="J864" s="2">
        <v>14.30000019073486</v>
      </c>
      <c r="K864" s="23">
        <f t="shared" si="131"/>
        <v>86370.770000000601</v>
      </c>
      <c r="L864" s="23">
        <f t="shared" si="130"/>
        <v>10.149326674500658</v>
      </c>
      <c r="M864" s="12" t="s">
        <v>11</v>
      </c>
      <c r="N864" s="7">
        <v>34636</v>
      </c>
      <c r="O864" s="7">
        <v>30426</v>
      </c>
      <c r="P864" s="7">
        <f t="shared" si="127"/>
        <v>34575</v>
      </c>
      <c r="Q864" s="7">
        <v>53726</v>
      </c>
      <c r="R864" s="7">
        <v>12650</v>
      </c>
      <c r="S864" s="7">
        <f t="shared" si="128"/>
        <v>16866.666666666668</v>
      </c>
      <c r="T864" s="2">
        <v>8383</v>
      </c>
      <c r="U864" s="7">
        <f t="shared" si="132"/>
        <v>561227.11166666658</v>
      </c>
      <c r="V864" s="7">
        <f t="shared" si="129"/>
        <v>66.948241878404701</v>
      </c>
      <c r="W864" s="17"/>
      <c r="X864" s="11"/>
      <c r="AA864" s="11"/>
      <c r="AB864" s="11"/>
      <c r="AC864" s="11"/>
      <c r="AD864" s="11"/>
      <c r="AE864" s="11"/>
    </row>
    <row r="865" spans="1:31" x14ac:dyDescent="0.25">
      <c r="A865" s="15" t="s">
        <v>1</v>
      </c>
      <c r="B865" s="21">
        <v>46036</v>
      </c>
      <c r="C865" s="7">
        <v>5827</v>
      </c>
      <c r="D865" s="7">
        <v>14969.999999997526</v>
      </c>
      <c r="E865" s="7">
        <v>0</v>
      </c>
      <c r="F865" s="7">
        <v>0</v>
      </c>
      <c r="G865" s="7">
        <v>6833</v>
      </c>
      <c r="H865" s="7">
        <v>8164</v>
      </c>
      <c r="I865" s="7">
        <v>0</v>
      </c>
      <c r="J865" s="2">
        <v>15.05000019073486</v>
      </c>
      <c r="K865" s="23">
        <f t="shared" si="131"/>
        <v>57902.426999998715</v>
      </c>
      <c r="L865" s="23">
        <f t="shared" si="130"/>
        <v>8.4739392653298289</v>
      </c>
      <c r="M865" s="12" t="s">
        <v>11</v>
      </c>
      <c r="N865" s="7">
        <v>17636</v>
      </c>
      <c r="O865" s="7">
        <v>11526.830000000002</v>
      </c>
      <c r="P865" s="7">
        <f t="shared" si="127"/>
        <v>13098.670454545456</v>
      </c>
      <c r="Q865" s="7">
        <v>30650</v>
      </c>
      <c r="R865" s="7">
        <v>0</v>
      </c>
      <c r="S865" s="7">
        <f t="shared" si="128"/>
        <v>0</v>
      </c>
      <c r="T865" s="2">
        <v>3160</v>
      </c>
      <c r="U865" s="7">
        <f t="shared" si="132"/>
        <v>202948.58414772729</v>
      </c>
      <c r="V865" s="7">
        <f t="shared" si="129"/>
        <v>64.224235489787119</v>
      </c>
      <c r="W865" s="17"/>
      <c r="X865" s="11"/>
      <c r="AA865" s="11"/>
      <c r="AB865" s="11"/>
      <c r="AC865" s="11"/>
      <c r="AD865" s="11"/>
      <c r="AE865" s="11"/>
    </row>
    <row r="866" spans="1:31" x14ac:dyDescent="0.25">
      <c r="A866" s="15" t="s">
        <v>1</v>
      </c>
      <c r="B866" s="21">
        <v>46037</v>
      </c>
      <c r="C866" s="8">
        <v>3958</v>
      </c>
      <c r="D866" s="8">
        <v>15760.000000002037</v>
      </c>
      <c r="E866" s="8">
        <v>0</v>
      </c>
      <c r="F866" s="7">
        <v>0</v>
      </c>
      <c r="G866" s="8">
        <v>9571</v>
      </c>
      <c r="H866" s="8">
        <v>9048</v>
      </c>
      <c r="I866" s="8">
        <v>0</v>
      </c>
      <c r="J866" s="2">
        <v>14.25</v>
      </c>
      <c r="K866" s="23">
        <f t="shared" si="131"/>
        <v>42237.958000001061</v>
      </c>
      <c r="L866" s="23">
        <f t="shared" si="130"/>
        <v>4.4131185873995467</v>
      </c>
      <c r="M866" s="12" t="s">
        <v>11</v>
      </c>
      <c r="N866" s="7">
        <v>25548</v>
      </c>
      <c r="O866" s="7">
        <v>17803.989999999991</v>
      </c>
      <c r="P866" s="7">
        <f t="shared" si="127"/>
        <v>20231.806818181809</v>
      </c>
      <c r="Q866" s="7">
        <v>61249</v>
      </c>
      <c r="R866" s="7">
        <v>0</v>
      </c>
      <c r="S866" s="7">
        <f t="shared" si="128"/>
        <v>0</v>
      </c>
      <c r="T866" s="2">
        <v>6549</v>
      </c>
      <c r="U866" s="7">
        <f t="shared" si="132"/>
        <v>373087.89846590901</v>
      </c>
      <c r="V866" s="7">
        <f t="shared" si="129"/>
        <v>56.968682007315472</v>
      </c>
      <c r="W866" s="17"/>
      <c r="X866" s="11"/>
      <c r="AA866" s="11"/>
      <c r="AB866" s="11"/>
      <c r="AC866" s="11"/>
      <c r="AD866" s="11"/>
      <c r="AE866" s="11"/>
    </row>
    <row r="867" spans="1:31" x14ac:dyDescent="0.25">
      <c r="A867" s="15" t="s">
        <v>1</v>
      </c>
      <c r="B867" s="21">
        <v>46038</v>
      </c>
      <c r="C867" s="7">
        <v>5303</v>
      </c>
      <c r="D867" s="7">
        <v>16119.999999998981</v>
      </c>
      <c r="E867" s="7">
        <v>0</v>
      </c>
      <c r="F867" s="7">
        <v>0</v>
      </c>
      <c r="G867" s="7">
        <v>10122</v>
      </c>
      <c r="H867" s="7">
        <v>8850</v>
      </c>
      <c r="I867" s="7">
        <v>0</v>
      </c>
      <c r="J867" s="2">
        <v>12.19999980926514</v>
      </c>
      <c r="K867" s="23">
        <f t="shared" si="131"/>
        <v>53993.502999999473</v>
      </c>
      <c r="L867" s="23">
        <f t="shared" si="130"/>
        <v>5.3342721794111316</v>
      </c>
      <c r="M867" s="12" t="s">
        <v>11</v>
      </c>
      <c r="N867" s="7">
        <v>26856</v>
      </c>
      <c r="O867" s="7">
        <v>26464.530000000002</v>
      </c>
      <c r="P867" s="7">
        <f t="shared" si="127"/>
        <v>30073.329545454548</v>
      </c>
      <c r="Q867" s="7">
        <v>52572</v>
      </c>
      <c r="R867" s="7">
        <v>0</v>
      </c>
      <c r="S867" s="7">
        <f t="shared" si="128"/>
        <v>0</v>
      </c>
      <c r="T867" s="2">
        <v>5913</v>
      </c>
      <c r="U867" s="7">
        <f t="shared" si="132"/>
        <v>381441.73585227272</v>
      </c>
      <c r="V867" s="7">
        <f t="shared" si="129"/>
        <v>64.509003188275443</v>
      </c>
      <c r="W867" s="17"/>
      <c r="X867" s="11"/>
      <c r="AA867" s="11"/>
      <c r="AB867" s="11"/>
      <c r="AC867" s="11"/>
      <c r="AD867" s="11"/>
      <c r="AE867" s="11"/>
    </row>
    <row r="868" spans="1:31" x14ac:dyDescent="0.25">
      <c r="A868" s="15" t="s">
        <v>1</v>
      </c>
      <c r="B868" s="21">
        <v>46039</v>
      </c>
      <c r="C868" s="7">
        <v>3772</v>
      </c>
      <c r="D868" s="7">
        <v>16000</v>
      </c>
      <c r="E868" s="7">
        <v>0</v>
      </c>
      <c r="F868" s="7">
        <v>0</v>
      </c>
      <c r="G868" s="7">
        <v>9044</v>
      </c>
      <c r="H868" s="7">
        <v>8426</v>
      </c>
      <c r="I868" s="7">
        <v>0</v>
      </c>
      <c r="J868" s="2">
        <v>10.85000038146973</v>
      </c>
      <c r="K868" s="23">
        <f t="shared" si="131"/>
        <v>40762.972000000002</v>
      </c>
      <c r="L868" s="23">
        <f t="shared" si="130"/>
        <v>4.5071839893852284</v>
      </c>
      <c r="M868" s="12" t="s">
        <v>11</v>
      </c>
      <c r="N868" s="7">
        <v>14187</v>
      </c>
      <c r="O868" s="7">
        <v>6500.0600000000059</v>
      </c>
      <c r="P868" s="7">
        <f t="shared" si="127"/>
        <v>7386.4318181818244</v>
      </c>
      <c r="Q868" s="7">
        <v>27938</v>
      </c>
      <c r="R868" s="7">
        <v>0</v>
      </c>
      <c r="S868" s="7">
        <f t="shared" si="128"/>
        <v>0</v>
      </c>
      <c r="T868" s="2">
        <v>3023</v>
      </c>
      <c r="U868" s="7">
        <f t="shared" si="132"/>
        <v>162995.9228409091</v>
      </c>
      <c r="V868" s="7">
        <f t="shared" si="129"/>
        <v>53.918598359546507</v>
      </c>
      <c r="W868" s="17"/>
      <c r="X868" s="11"/>
      <c r="AA868" s="11"/>
      <c r="AB868" s="11"/>
      <c r="AC868" s="11"/>
      <c r="AD868" s="11"/>
      <c r="AE868" s="11"/>
    </row>
    <row r="869" spans="1:31" x14ac:dyDescent="0.25">
      <c r="A869" s="15" t="s">
        <v>1</v>
      </c>
      <c r="B869" s="21">
        <v>46040</v>
      </c>
      <c r="C869" s="7">
        <v>3590</v>
      </c>
      <c r="D869" s="7">
        <v>8051.9999999996799</v>
      </c>
      <c r="E869" s="7">
        <v>0</v>
      </c>
      <c r="F869" s="7">
        <v>0</v>
      </c>
      <c r="G869" s="7">
        <v>1744</v>
      </c>
      <c r="H869" s="7">
        <v>3026</v>
      </c>
      <c r="I869" s="7">
        <v>0</v>
      </c>
      <c r="J869" s="2">
        <v>12.30000019073486</v>
      </c>
      <c r="K869" s="23">
        <f t="shared" si="131"/>
        <v>35064.629999999837</v>
      </c>
      <c r="L869" s="23">
        <f t="shared" si="130"/>
        <v>20.105865825687982</v>
      </c>
      <c r="M869" s="12" t="s">
        <v>11</v>
      </c>
      <c r="N869" s="7">
        <v>22687</v>
      </c>
      <c r="O869" s="7">
        <v>4642.8999999999833</v>
      </c>
      <c r="P869" s="7">
        <f t="shared" si="127"/>
        <v>5276.0227272727079</v>
      </c>
      <c r="Q869" s="7">
        <v>53148</v>
      </c>
      <c r="R869" s="7">
        <v>0</v>
      </c>
      <c r="S869" s="7">
        <f t="shared" si="128"/>
        <v>0</v>
      </c>
      <c r="T869" s="2">
        <v>5275</v>
      </c>
      <c r="U869" s="7">
        <f t="shared" si="132"/>
        <v>267339.88488636352</v>
      </c>
      <c r="V869" s="7">
        <f t="shared" si="129"/>
        <v>50.680546897888817</v>
      </c>
      <c r="W869" s="17"/>
      <c r="X869" s="11"/>
      <c r="AA869" s="11"/>
      <c r="AB869" s="11"/>
      <c r="AC869" s="11"/>
      <c r="AD869" s="11"/>
      <c r="AE869" s="11"/>
    </row>
    <row r="870" spans="1:31" x14ac:dyDescent="0.25">
      <c r="A870" s="15" t="s">
        <v>1</v>
      </c>
      <c r="B870" s="21">
        <v>46041</v>
      </c>
      <c r="C870" s="7">
        <v>4533</v>
      </c>
      <c r="D870" s="7">
        <v>10840.000000000146</v>
      </c>
      <c r="E870" s="7">
        <v>3000</v>
      </c>
      <c r="F870" s="7">
        <v>0</v>
      </c>
      <c r="G870" s="7">
        <v>2256</v>
      </c>
      <c r="H870" s="7">
        <v>6521</v>
      </c>
      <c r="I870" s="7">
        <v>28063</v>
      </c>
      <c r="J870" s="2">
        <v>13.89999961853027</v>
      </c>
      <c r="K870" s="23">
        <f t="shared" si="131"/>
        <v>66225.133000000089</v>
      </c>
      <c r="L870" s="23">
        <f t="shared" si="130"/>
        <v>29.355112145390109</v>
      </c>
      <c r="M870" s="12" t="s">
        <v>11</v>
      </c>
      <c r="N870" s="7">
        <v>17793</v>
      </c>
      <c r="O870" s="7">
        <v>499.81000000000495</v>
      </c>
      <c r="P870" s="7">
        <f t="shared" si="127"/>
        <v>567.96590909091469</v>
      </c>
      <c r="Q870" s="7">
        <v>46621</v>
      </c>
      <c r="R870" s="7">
        <v>0</v>
      </c>
      <c r="S870" s="7">
        <f t="shared" si="128"/>
        <v>0</v>
      </c>
      <c r="T870" s="2">
        <v>3598</v>
      </c>
      <c r="U870" s="7">
        <f t="shared" si="132"/>
        <v>214674.87267045456</v>
      </c>
      <c r="V870" s="7">
        <f t="shared" si="129"/>
        <v>59.66505632864218</v>
      </c>
      <c r="W870" s="17"/>
      <c r="X870" s="11"/>
      <c r="AA870" s="11"/>
      <c r="AB870" s="11"/>
      <c r="AC870" s="11"/>
      <c r="AD870" s="11"/>
      <c r="AE870" s="11"/>
    </row>
    <row r="871" spans="1:31" x14ac:dyDescent="0.25">
      <c r="A871" s="15" t="s">
        <v>1</v>
      </c>
      <c r="B871" s="21">
        <v>46042</v>
      </c>
      <c r="C871" s="8">
        <v>2837</v>
      </c>
      <c r="D871" s="8">
        <v>17299.999999999272</v>
      </c>
      <c r="E871" s="8">
        <v>5325</v>
      </c>
      <c r="F871" s="7">
        <v>0</v>
      </c>
      <c r="G871" s="8">
        <v>7380</v>
      </c>
      <c r="H871" s="8">
        <v>10166</v>
      </c>
      <c r="I871" s="8">
        <v>48431</v>
      </c>
      <c r="J871" s="2">
        <v>14.64999961853027</v>
      </c>
      <c r="K871" s="23">
        <f t="shared" si="131"/>
        <v>71737.036999999633</v>
      </c>
      <c r="L871" s="23">
        <f t="shared" si="130"/>
        <v>9.720465718157131</v>
      </c>
      <c r="M871" s="12" t="s">
        <v>11</v>
      </c>
      <c r="N871" s="7">
        <v>22055</v>
      </c>
      <c r="O871" s="7">
        <v>6500.0600000000059</v>
      </c>
      <c r="P871" s="7">
        <f t="shared" si="127"/>
        <v>7386.4318181818244</v>
      </c>
      <c r="Q871" s="7">
        <v>55147</v>
      </c>
      <c r="R871" s="7">
        <v>0</v>
      </c>
      <c r="S871" s="7">
        <f t="shared" si="128"/>
        <v>0</v>
      </c>
      <c r="T871" s="2">
        <v>4577</v>
      </c>
      <c r="U871" s="7">
        <f t="shared" si="132"/>
        <v>285446.43284090911</v>
      </c>
      <c r="V871" s="7">
        <f t="shared" si="129"/>
        <v>62.365399353486808</v>
      </c>
      <c r="W871" s="17"/>
      <c r="X871" s="11"/>
      <c r="AA871" s="11"/>
      <c r="AB871" s="11"/>
      <c r="AC871" s="11"/>
      <c r="AD871" s="11"/>
      <c r="AE871" s="11"/>
    </row>
    <row r="872" spans="1:31" x14ac:dyDescent="0.25">
      <c r="A872" s="15" t="s">
        <v>1</v>
      </c>
      <c r="B872" s="21">
        <v>46043</v>
      </c>
      <c r="C872" s="7">
        <v>6557</v>
      </c>
      <c r="D872" s="7">
        <v>17340.000000000146</v>
      </c>
      <c r="E872" s="7">
        <v>0</v>
      </c>
      <c r="F872" s="7">
        <v>0</v>
      </c>
      <c r="G872" s="7">
        <v>8523</v>
      </c>
      <c r="H872" s="7">
        <v>10301</v>
      </c>
      <c r="I872" s="7">
        <v>0</v>
      </c>
      <c r="J872" s="2">
        <v>17.54999923706055</v>
      </c>
      <c r="K872" s="23">
        <f t="shared" si="131"/>
        <v>65413.557000000081</v>
      </c>
      <c r="L872" s="23">
        <f t="shared" si="130"/>
        <v>7.674945089757137</v>
      </c>
      <c r="M872" s="12" t="s">
        <v>11</v>
      </c>
      <c r="N872" s="7">
        <v>25429</v>
      </c>
      <c r="O872" s="7">
        <v>18178.489999999991</v>
      </c>
      <c r="P872" s="7">
        <f t="shared" si="127"/>
        <v>20657.374999999989</v>
      </c>
      <c r="Q872" s="7">
        <v>54971</v>
      </c>
      <c r="R872" s="7">
        <v>0</v>
      </c>
      <c r="S872" s="7">
        <f t="shared" si="128"/>
        <v>0</v>
      </c>
      <c r="T872" s="2">
        <v>4610</v>
      </c>
      <c r="U872" s="7">
        <f t="shared" si="132"/>
        <v>347680.71562499995</v>
      </c>
      <c r="V872" s="7">
        <f t="shared" si="129"/>
        <v>75.418810330802586</v>
      </c>
      <c r="W872" s="17"/>
      <c r="X872" s="11"/>
      <c r="AA872" s="11"/>
      <c r="AB872" s="11"/>
      <c r="AC872" s="11"/>
      <c r="AD872" s="11"/>
      <c r="AE872" s="11"/>
    </row>
    <row r="873" spans="1:31" x14ac:dyDescent="0.25">
      <c r="A873" s="15" t="s">
        <v>1</v>
      </c>
      <c r="B873" s="21">
        <v>46044</v>
      </c>
      <c r="C873" s="7">
        <v>4495</v>
      </c>
      <c r="D873" s="7">
        <v>16399.999999997817</v>
      </c>
      <c r="E873" s="7">
        <v>0</v>
      </c>
      <c r="F873" s="7">
        <v>0</v>
      </c>
      <c r="G873" s="7">
        <v>9055</v>
      </c>
      <c r="H873" s="7">
        <v>9901</v>
      </c>
      <c r="I873" s="7">
        <v>0</v>
      </c>
      <c r="J873" s="2">
        <v>15.44999980926514</v>
      </c>
      <c r="K873" s="23">
        <f t="shared" si="131"/>
        <v>47189.494999998868</v>
      </c>
      <c r="L873" s="23">
        <f t="shared" si="130"/>
        <v>5.2114295969076609</v>
      </c>
      <c r="M873" s="12" t="s">
        <v>11</v>
      </c>
      <c r="N873" s="7">
        <v>20749</v>
      </c>
      <c r="O873" s="7">
        <v>11142.96</v>
      </c>
      <c r="P873" s="7">
        <f t="shared" si="127"/>
        <v>12662.454545454544</v>
      </c>
      <c r="Q873" s="7">
        <v>41647</v>
      </c>
      <c r="R873" s="7">
        <v>7615.6599999999944</v>
      </c>
      <c r="S873" s="7">
        <f t="shared" si="128"/>
        <v>10154.213333333326</v>
      </c>
      <c r="T873" s="2">
        <v>3544</v>
      </c>
      <c r="U873" s="7">
        <f t="shared" si="132"/>
        <v>340662.114260606</v>
      </c>
      <c r="V873" s="7">
        <f t="shared" si="129"/>
        <v>96.123621405362869</v>
      </c>
      <c r="W873" s="17"/>
      <c r="X873" s="11"/>
      <c r="AA873" s="11"/>
      <c r="AB873" s="11"/>
      <c r="AC873" s="11"/>
      <c r="AD873" s="11"/>
      <c r="AE873" s="11"/>
    </row>
    <row r="874" spans="1:31" x14ac:dyDescent="0.25">
      <c r="A874" s="15" t="s">
        <v>1</v>
      </c>
      <c r="B874" s="21">
        <v>46045</v>
      </c>
      <c r="C874" s="7">
        <v>3521</v>
      </c>
      <c r="D874" s="7">
        <v>15729.999999999563</v>
      </c>
      <c r="E874" s="7">
        <v>0</v>
      </c>
      <c r="F874" s="7">
        <v>0</v>
      </c>
      <c r="G874" s="7">
        <v>8317</v>
      </c>
      <c r="H874" s="7">
        <v>9152</v>
      </c>
      <c r="I874" s="7">
        <v>0</v>
      </c>
      <c r="J874" s="2">
        <v>13</v>
      </c>
      <c r="K874" s="23">
        <f t="shared" si="131"/>
        <v>38463.720999999772</v>
      </c>
      <c r="L874" s="23">
        <f t="shared" si="130"/>
        <v>4.6247109534687718</v>
      </c>
      <c r="M874" s="12" t="s">
        <v>11</v>
      </c>
      <c r="N874" s="7">
        <v>19676</v>
      </c>
      <c r="O874" s="7">
        <v>11142.96</v>
      </c>
      <c r="P874" s="7">
        <f t="shared" si="127"/>
        <v>12662.454545454544</v>
      </c>
      <c r="Q874" s="7">
        <v>36863</v>
      </c>
      <c r="R874" s="7">
        <v>0</v>
      </c>
      <c r="S874" s="7">
        <f t="shared" si="128"/>
        <v>0</v>
      </c>
      <c r="T874" s="2">
        <v>4031</v>
      </c>
      <c r="U874" s="7">
        <f t="shared" si="132"/>
        <v>229022.79772727273</v>
      </c>
      <c r="V874" s="7">
        <f t="shared" si="129"/>
        <v>56.815380234996958</v>
      </c>
      <c r="W874" s="17"/>
      <c r="X874" s="11"/>
      <c r="AA874" s="11"/>
      <c r="AB874" s="11"/>
      <c r="AC874" s="11"/>
      <c r="AD874" s="11"/>
      <c r="AE874" s="11"/>
    </row>
    <row r="875" spans="1:31" x14ac:dyDescent="0.25">
      <c r="A875" s="15" t="s">
        <v>1</v>
      </c>
      <c r="B875" s="21">
        <v>46046</v>
      </c>
      <c r="C875" s="7">
        <v>3697</v>
      </c>
      <c r="D875" s="7">
        <v>14989.999999997963</v>
      </c>
      <c r="E875" s="7">
        <v>0</v>
      </c>
      <c r="F875" s="7">
        <v>0</v>
      </c>
      <c r="G875" s="7">
        <v>2193</v>
      </c>
      <c r="H875" s="7">
        <v>8954</v>
      </c>
      <c r="I875" s="7">
        <v>0</v>
      </c>
      <c r="J875" s="2">
        <v>14.94999980926514</v>
      </c>
      <c r="K875" s="23">
        <f t="shared" si="131"/>
        <v>39592.696999998945</v>
      </c>
      <c r="L875" s="23">
        <f t="shared" si="130"/>
        <v>18.054125398996327</v>
      </c>
      <c r="M875" s="12" t="s">
        <v>11</v>
      </c>
      <c r="N875" s="7">
        <v>26099</v>
      </c>
      <c r="O875" s="7">
        <v>19964.469999999998</v>
      </c>
      <c r="P875" s="7">
        <f t="shared" si="127"/>
        <v>22686.897727272724</v>
      </c>
      <c r="Q875" s="7">
        <v>46436</v>
      </c>
      <c r="R875" s="7">
        <v>3372.6599999999949</v>
      </c>
      <c r="S875" s="7">
        <f t="shared" si="128"/>
        <v>4496.8799999999928</v>
      </c>
      <c r="T875" s="2">
        <v>6198</v>
      </c>
      <c r="U875" s="7">
        <f t="shared" si="132"/>
        <v>360245.37621136353</v>
      </c>
      <c r="V875" s="7">
        <f t="shared" si="129"/>
        <v>58.122842241265495</v>
      </c>
      <c r="W875" s="17"/>
      <c r="X875" s="11"/>
      <c r="AA875" s="11"/>
      <c r="AB875" s="11"/>
      <c r="AC875" s="11"/>
      <c r="AD875" s="11"/>
      <c r="AE875" s="11"/>
    </row>
    <row r="876" spans="1:31" x14ac:dyDescent="0.25">
      <c r="A876" s="15" t="s">
        <v>1</v>
      </c>
      <c r="B876" s="21">
        <v>46047</v>
      </c>
      <c r="C876" s="8">
        <v>4404</v>
      </c>
      <c r="D876" s="8">
        <v>14740.000000005239</v>
      </c>
      <c r="E876" s="8">
        <v>0</v>
      </c>
      <c r="F876" s="7">
        <v>0</v>
      </c>
      <c r="G876" s="8">
        <v>2562</v>
      </c>
      <c r="H876" s="8">
        <v>8658</v>
      </c>
      <c r="I876" s="8">
        <v>0</v>
      </c>
      <c r="J876" s="2">
        <v>17.35000038146973</v>
      </c>
      <c r="K876" s="23">
        <f t="shared" si="131"/>
        <v>45543.604000002728</v>
      </c>
      <c r="L876" s="23">
        <f t="shared" si="130"/>
        <v>17.776582357534242</v>
      </c>
      <c r="M876" s="12" t="s">
        <v>11</v>
      </c>
      <c r="N876" s="7">
        <v>25984</v>
      </c>
      <c r="O876" s="7">
        <v>21821.630000000008</v>
      </c>
      <c r="P876" s="7">
        <f t="shared" si="127"/>
        <v>24797.306818181827</v>
      </c>
      <c r="Q876" s="7">
        <v>39558</v>
      </c>
      <c r="R876" s="7">
        <v>9368.5</v>
      </c>
      <c r="S876" s="7">
        <f t="shared" si="128"/>
        <v>12491.333333333334</v>
      </c>
      <c r="T876" s="2">
        <v>6129</v>
      </c>
      <c r="U876" s="7">
        <f t="shared" si="132"/>
        <v>411076.50429924252</v>
      </c>
      <c r="V876" s="7">
        <f t="shared" si="129"/>
        <v>67.070730021087044</v>
      </c>
      <c r="W876" s="17"/>
      <c r="X876" s="11"/>
      <c r="AA876" s="11"/>
      <c r="AB876" s="11"/>
      <c r="AC876" s="11"/>
      <c r="AD876" s="11"/>
      <c r="AE876" s="11"/>
    </row>
    <row r="877" spans="1:31" x14ac:dyDescent="0.25">
      <c r="A877" s="15" t="s">
        <v>1</v>
      </c>
      <c r="B877" s="21">
        <v>46048</v>
      </c>
      <c r="C877" s="7">
        <v>3712</v>
      </c>
      <c r="D877" s="7">
        <v>7830.0000000017462</v>
      </c>
      <c r="E877" s="7">
        <v>0</v>
      </c>
      <c r="F877" s="7">
        <v>0</v>
      </c>
      <c r="G877" s="7">
        <v>8111</v>
      </c>
      <c r="H877" s="7">
        <v>4898</v>
      </c>
      <c r="I877" s="7">
        <v>0</v>
      </c>
      <c r="J877" s="2">
        <v>16.5</v>
      </c>
      <c r="K877" s="23">
        <f t="shared" si="131"/>
        <v>35998.512000000912</v>
      </c>
      <c r="L877" s="23">
        <f t="shared" si="130"/>
        <v>4.4382335100481951</v>
      </c>
      <c r="M877" s="12" t="s">
        <v>11</v>
      </c>
      <c r="N877" s="7">
        <v>18424</v>
      </c>
      <c r="O877" s="7">
        <v>12609.669999999998</v>
      </c>
      <c r="P877" s="7">
        <f t="shared" si="127"/>
        <v>14329.170454545452</v>
      </c>
      <c r="Q877" s="7">
        <v>32152</v>
      </c>
      <c r="R877" s="7">
        <v>7475.6599999999944</v>
      </c>
      <c r="S877" s="7">
        <f t="shared" si="128"/>
        <v>9967.5466666666598</v>
      </c>
      <c r="T877" s="2">
        <v>3832</v>
      </c>
      <c r="U877" s="7">
        <f t="shared" si="132"/>
        <v>304182.29151439387</v>
      </c>
      <c r="V877" s="7">
        <f t="shared" si="129"/>
        <v>79.379512399372103</v>
      </c>
      <c r="W877" s="17"/>
      <c r="X877" s="11"/>
      <c r="AA877" s="11"/>
      <c r="AB877" s="11"/>
      <c r="AC877" s="11"/>
      <c r="AD877" s="11"/>
      <c r="AE877" s="11"/>
    </row>
    <row r="878" spans="1:31" x14ac:dyDescent="0.25">
      <c r="A878" s="15" t="s">
        <v>1</v>
      </c>
      <c r="B878" s="21">
        <v>46049</v>
      </c>
      <c r="C878" s="7">
        <v>4860</v>
      </c>
      <c r="D878" s="7">
        <v>13829.99999999447</v>
      </c>
      <c r="E878" s="7">
        <v>5050</v>
      </c>
      <c r="F878" s="7">
        <v>0</v>
      </c>
      <c r="G878" s="7">
        <v>13196</v>
      </c>
      <c r="H878" s="7">
        <v>8565</v>
      </c>
      <c r="I878" s="7">
        <v>50588</v>
      </c>
      <c r="J878" s="2">
        <v>17.79999923706055</v>
      </c>
      <c r="K878" s="23">
        <f t="shared" si="131"/>
        <v>85352.459999997125</v>
      </c>
      <c r="L878" s="23">
        <f t="shared" si="130"/>
        <v>6.468055471354738</v>
      </c>
      <c r="M878" s="12" t="s">
        <v>11</v>
      </c>
      <c r="N878" s="7">
        <v>29942</v>
      </c>
      <c r="O878" s="7">
        <v>23040</v>
      </c>
      <c r="P878" s="7">
        <f t="shared" si="127"/>
        <v>26181.81818181818</v>
      </c>
      <c r="Q878" s="7">
        <v>59952</v>
      </c>
      <c r="R878" s="7">
        <v>0</v>
      </c>
      <c r="S878" s="7">
        <f t="shared" si="128"/>
        <v>0</v>
      </c>
      <c r="T878" s="2">
        <v>6332</v>
      </c>
      <c r="U878" s="7">
        <f t="shared" si="132"/>
        <v>397190.13090909086</v>
      </c>
      <c r="V878" s="7">
        <f t="shared" si="129"/>
        <v>62.72743697237695</v>
      </c>
      <c r="W878" s="17"/>
      <c r="X878" s="11"/>
      <c r="AA878" s="11"/>
      <c r="AB878" s="11"/>
      <c r="AC878" s="11"/>
      <c r="AD878" s="11"/>
      <c r="AE878" s="11"/>
    </row>
    <row r="879" spans="1:31" x14ac:dyDescent="0.25">
      <c r="A879" s="15" t="s">
        <v>1</v>
      </c>
      <c r="B879" s="21">
        <v>46050</v>
      </c>
      <c r="C879" s="7">
        <v>3598</v>
      </c>
      <c r="D879" s="7">
        <v>14360.000000000582</v>
      </c>
      <c r="E879" s="7">
        <v>0</v>
      </c>
      <c r="F879" s="7">
        <v>0</v>
      </c>
      <c r="G879" s="7">
        <v>11232</v>
      </c>
      <c r="H879" s="7">
        <v>9110</v>
      </c>
      <c r="I879" s="7">
        <v>0</v>
      </c>
      <c r="J879" s="2">
        <v>17.75</v>
      </c>
      <c r="K879" s="23">
        <f t="shared" si="131"/>
        <v>38413.598000000304</v>
      </c>
      <c r="L879" s="23">
        <f t="shared" si="130"/>
        <v>3.4200140669515942</v>
      </c>
      <c r="M879" s="12" t="s">
        <v>11</v>
      </c>
      <c r="N879" s="7">
        <v>31935</v>
      </c>
      <c r="O879" s="7">
        <v>23785.679999999997</v>
      </c>
      <c r="P879" s="7">
        <f t="shared" si="127"/>
        <v>27029.181818181813</v>
      </c>
      <c r="Q879" s="7">
        <v>49822</v>
      </c>
      <c r="R879" s="7">
        <v>10513.579999999998</v>
      </c>
      <c r="S879" s="7">
        <f t="shared" si="128"/>
        <v>14018.106666666665</v>
      </c>
      <c r="T879" s="2">
        <v>7068</v>
      </c>
      <c r="U879" s="7">
        <f t="shared" si="132"/>
        <v>482692.54235757573</v>
      </c>
      <c r="V879" s="7">
        <f t="shared" si="129"/>
        <v>68.292663038706237</v>
      </c>
      <c r="W879" s="17"/>
      <c r="X879" s="11"/>
      <c r="AA879" s="11"/>
      <c r="AB879" s="11"/>
      <c r="AC879" s="11"/>
      <c r="AD879" s="11"/>
      <c r="AE879" s="11"/>
    </row>
    <row r="880" spans="1:31" x14ac:dyDescent="0.25">
      <c r="A880" s="15" t="s">
        <v>1</v>
      </c>
      <c r="B880" s="21">
        <v>46051</v>
      </c>
      <c r="C880" s="7">
        <v>4676</v>
      </c>
      <c r="D880" s="7">
        <v>8370.0000000026193</v>
      </c>
      <c r="E880" s="7">
        <v>5525</v>
      </c>
      <c r="F880" s="7">
        <v>0</v>
      </c>
      <c r="G880" s="7">
        <v>9010</v>
      </c>
      <c r="H880" s="7">
        <v>4071</v>
      </c>
      <c r="I880" s="7">
        <v>34602</v>
      </c>
      <c r="J880" s="2">
        <v>18.79999923706055</v>
      </c>
      <c r="K880" s="23">
        <f t="shared" si="131"/>
        <v>84350.676000001375</v>
      </c>
      <c r="L880" s="23">
        <f t="shared" si="130"/>
        <v>9.3618952275251246</v>
      </c>
      <c r="M880" s="12" t="s">
        <v>11</v>
      </c>
      <c r="N880" s="7">
        <v>27407</v>
      </c>
      <c r="O880" s="7">
        <v>18047.070000000003</v>
      </c>
      <c r="P880" s="7">
        <f t="shared" si="127"/>
        <v>20508.034090909096</v>
      </c>
      <c r="Q880" s="7">
        <v>48751</v>
      </c>
      <c r="R880" s="7">
        <v>10117.979999999983</v>
      </c>
      <c r="S880" s="7">
        <f t="shared" si="128"/>
        <v>13490.639999999978</v>
      </c>
      <c r="T880" s="2">
        <v>6612</v>
      </c>
      <c r="U880" s="7">
        <f t="shared" si="132"/>
        <v>440894.85692954529</v>
      </c>
      <c r="V880" s="7">
        <f t="shared" si="129"/>
        <v>66.681012844758811</v>
      </c>
      <c r="W880" s="17"/>
      <c r="X880" s="11"/>
      <c r="AA880" s="11"/>
      <c r="AB880" s="11"/>
      <c r="AC880" s="11"/>
      <c r="AD880" s="11"/>
      <c r="AE880" s="11"/>
    </row>
    <row r="881" spans="1:31" x14ac:dyDescent="0.25">
      <c r="A881" s="15" t="s">
        <v>1</v>
      </c>
      <c r="B881" s="21">
        <v>46052</v>
      </c>
      <c r="C881" s="8">
        <v>3600</v>
      </c>
      <c r="D881" s="8">
        <v>15610.000000000582</v>
      </c>
      <c r="E881" s="8">
        <v>0</v>
      </c>
      <c r="F881" s="7">
        <v>0</v>
      </c>
      <c r="G881" s="8">
        <v>11523</v>
      </c>
      <c r="H881" s="8">
        <v>9038</v>
      </c>
      <c r="I881" s="8">
        <v>0</v>
      </c>
      <c r="J881" s="2">
        <v>18.45000076293945</v>
      </c>
      <c r="K881" s="23">
        <f t="shared" si="131"/>
        <v>39080.800000000309</v>
      </c>
      <c r="L881" s="23">
        <f t="shared" si="130"/>
        <v>3.3915473401024308</v>
      </c>
      <c r="M881" s="12" t="s">
        <v>11</v>
      </c>
      <c r="N881" s="7">
        <v>19842</v>
      </c>
      <c r="O881" s="7">
        <v>4997.4000000000096</v>
      </c>
      <c r="P881" s="7">
        <f t="shared" si="127"/>
        <v>5678.8636363636469</v>
      </c>
      <c r="Q881" s="7">
        <v>56146</v>
      </c>
      <c r="R881" s="7">
        <v>16863.3</v>
      </c>
      <c r="S881" s="7">
        <f t="shared" si="128"/>
        <v>22484.399999999998</v>
      </c>
      <c r="T881" s="2">
        <v>4947</v>
      </c>
      <c r="U881" s="7">
        <f t="shared" si="132"/>
        <v>480647.21168181818</v>
      </c>
      <c r="V881" s="7">
        <f t="shared" si="129"/>
        <v>97.159331247588071</v>
      </c>
      <c r="W881" s="17"/>
      <c r="X881" s="11"/>
      <c r="AA881" s="11"/>
      <c r="AB881" s="11"/>
      <c r="AC881" s="11"/>
      <c r="AD881" s="11"/>
      <c r="AE881" s="11"/>
    </row>
    <row r="882" spans="1:31" x14ac:dyDescent="0.25">
      <c r="A882" s="15" t="s">
        <v>1</v>
      </c>
      <c r="B882" s="21">
        <v>46053</v>
      </c>
      <c r="C882" s="7">
        <v>3289</v>
      </c>
      <c r="D882" s="7">
        <v>13229.999999995925</v>
      </c>
      <c r="E882" s="7">
        <v>0</v>
      </c>
      <c r="F882" s="7">
        <v>0</v>
      </c>
      <c r="G882" s="7">
        <v>10723</v>
      </c>
      <c r="H882" s="7">
        <v>7800</v>
      </c>
      <c r="I882" s="7">
        <v>0</v>
      </c>
      <c r="J882" s="2">
        <v>19.45000076293945</v>
      </c>
      <c r="K882" s="23">
        <f t="shared" si="131"/>
        <v>35168.28899999788</v>
      </c>
      <c r="L882" s="23">
        <f t="shared" si="130"/>
        <v>3.2797061456679923</v>
      </c>
      <c r="M882" s="12" t="s">
        <v>11</v>
      </c>
      <c r="N882" s="7">
        <v>19222</v>
      </c>
      <c r="O882" s="7">
        <v>4997.4000000000096</v>
      </c>
      <c r="P882" s="7">
        <f t="shared" si="127"/>
        <v>5678.8636363636469</v>
      </c>
      <c r="Q882" s="7">
        <v>52582</v>
      </c>
      <c r="R882" s="7">
        <v>0</v>
      </c>
      <c r="S882" s="7">
        <f t="shared" si="128"/>
        <v>0</v>
      </c>
      <c r="T882" s="2">
        <v>4626</v>
      </c>
      <c r="U882" s="7">
        <f t="shared" si="132"/>
        <v>264935.0956818182</v>
      </c>
      <c r="V882" s="7">
        <f t="shared" si="129"/>
        <v>57.270881038006529</v>
      </c>
      <c r="W882" s="17"/>
      <c r="X882" s="11"/>
      <c r="AA882" s="11"/>
      <c r="AB882" s="11"/>
      <c r="AC882" s="11"/>
      <c r="AD882" s="11"/>
      <c r="AE882" s="11"/>
    </row>
    <row r="883" spans="1:31" x14ac:dyDescent="0.25">
      <c r="A883" s="15" t="s">
        <v>1</v>
      </c>
      <c r="B883" s="21">
        <v>46054</v>
      </c>
      <c r="C883" s="7">
        <v>4191</v>
      </c>
      <c r="D883" s="7">
        <v>14170</v>
      </c>
      <c r="E883" s="7">
        <v>0</v>
      </c>
      <c r="F883" s="7">
        <v>0</v>
      </c>
      <c r="G883" s="7">
        <v>8087</v>
      </c>
      <c r="H883" s="7">
        <v>8372</v>
      </c>
      <c r="I883" s="7">
        <v>0</v>
      </c>
      <c r="J883" s="2">
        <v>14.5</v>
      </c>
      <c r="K883" s="23">
        <f>C883*9.203+D883*0.51+E883*7.5+F883*5</f>
        <v>45796.472999999998</v>
      </c>
      <c r="L883" s="23">
        <f t="shared" si="130"/>
        <v>5.6629742797081732</v>
      </c>
      <c r="M883" s="12" t="s">
        <v>11</v>
      </c>
      <c r="N883" s="7">
        <v>20013</v>
      </c>
      <c r="O883" s="7">
        <v>4997.4000000000096</v>
      </c>
      <c r="P883" s="7">
        <f t="shared" si="127"/>
        <v>5678.8636363636469</v>
      </c>
      <c r="Q883" s="7">
        <v>53908</v>
      </c>
      <c r="R883" s="7">
        <v>0</v>
      </c>
      <c r="S883" s="7">
        <f t="shared" si="128"/>
        <v>0</v>
      </c>
      <c r="T883" s="2">
        <v>4410</v>
      </c>
      <c r="U883" s="7">
        <f>N883*0.51+P883*4.958+Q883*4.3+S883*9.81</f>
        <v>270166.83590909094</v>
      </c>
      <c r="V883" s="7">
        <f t="shared" si="129"/>
        <v>61.262321067821077</v>
      </c>
      <c r="W883" s="17"/>
      <c r="X883" s="11"/>
      <c r="AA883" s="11"/>
      <c r="AB883" s="11"/>
      <c r="AC883" s="11"/>
      <c r="AD883" s="11"/>
      <c r="AE883" s="11"/>
    </row>
    <row r="884" spans="1:31" x14ac:dyDescent="0.25">
      <c r="A884" s="15" t="s">
        <v>1</v>
      </c>
      <c r="B884" s="21">
        <v>46055</v>
      </c>
      <c r="C884" s="7">
        <v>3480</v>
      </c>
      <c r="D884" s="7">
        <v>4300.0000000029104</v>
      </c>
      <c r="E884" s="7">
        <v>0</v>
      </c>
      <c r="F884" s="7">
        <v>0</v>
      </c>
      <c r="G884" s="7">
        <v>9333</v>
      </c>
      <c r="H884" s="7">
        <v>1836</v>
      </c>
      <c r="I884" s="7">
        <v>0</v>
      </c>
      <c r="J884" s="2">
        <v>14.14999961853027</v>
      </c>
      <c r="K884" s="23">
        <f t="shared" ref="K884:K910" si="133">C884*9.203+D884*0.51+E884*7.5+F884*5</f>
        <v>34219.440000001487</v>
      </c>
      <c r="L884" s="23">
        <f t="shared" si="130"/>
        <v>3.6664995178400823</v>
      </c>
      <c r="M884" s="12" t="s">
        <v>11</v>
      </c>
      <c r="N884" s="7">
        <v>6429</v>
      </c>
      <c r="O884" s="7">
        <v>4997.4000000000096</v>
      </c>
      <c r="P884" s="7">
        <f t="shared" si="127"/>
        <v>5678.8636363636469</v>
      </c>
      <c r="Q884" s="7">
        <v>6274</v>
      </c>
      <c r="R884" s="7">
        <v>59.139999999977597</v>
      </c>
      <c r="S884" s="7">
        <f t="shared" si="128"/>
        <v>78.853333333303468</v>
      </c>
      <c r="T884" s="2">
        <v>554</v>
      </c>
      <c r="U884" s="7">
        <f t="shared" ref="U884:U910" si="134">N884*0.51+P884*4.958+Q884*4.3+S884*9.81</f>
        <v>59186.347109090668</v>
      </c>
      <c r="V884" s="7">
        <f t="shared" si="129"/>
        <v>106.83456156875572</v>
      </c>
      <c r="W884" s="17"/>
      <c r="X884" s="11"/>
      <c r="AA884" s="11"/>
      <c r="AB884" s="11"/>
      <c r="AC884" s="11"/>
      <c r="AD884" s="11"/>
      <c r="AE884" s="11"/>
    </row>
    <row r="885" spans="1:31" x14ac:dyDescent="0.25">
      <c r="A885" s="15" t="s">
        <v>1</v>
      </c>
      <c r="B885" s="21">
        <v>46056</v>
      </c>
      <c r="C885" s="7">
        <v>4092</v>
      </c>
      <c r="D885" s="7">
        <v>9599.9999999985448</v>
      </c>
      <c r="E885" s="7">
        <v>5050</v>
      </c>
      <c r="F885" s="7">
        <v>0</v>
      </c>
      <c r="G885" s="7">
        <v>9616</v>
      </c>
      <c r="H885" s="7">
        <v>5205</v>
      </c>
      <c r="I885" s="7">
        <v>31586</v>
      </c>
      <c r="J885" s="2">
        <v>19.60000038146973</v>
      </c>
      <c r="K885" s="23">
        <f t="shared" si="133"/>
        <v>80429.67599999925</v>
      </c>
      <c r="L885" s="23">
        <f t="shared" si="130"/>
        <v>8.3641509983360294</v>
      </c>
      <c r="M885" s="12" t="s">
        <v>11</v>
      </c>
      <c r="N885" s="7">
        <v>4622</v>
      </c>
      <c r="O885" s="7">
        <v>4997.4000000000096</v>
      </c>
      <c r="P885" s="7">
        <f t="shared" si="127"/>
        <v>5678.8636363636469</v>
      </c>
      <c r="Q885" s="7">
        <v>0</v>
      </c>
      <c r="R885" s="7">
        <v>0</v>
      </c>
      <c r="S885" s="7">
        <f t="shared" si="128"/>
        <v>0</v>
      </c>
      <c r="T885" s="24">
        <v>3655.4454347652572</v>
      </c>
      <c r="U885" s="7">
        <f t="shared" si="134"/>
        <v>30513.025909090964</v>
      </c>
      <c r="V885" s="7">
        <f t="shared" si="129"/>
        <v>8.3472798195523961</v>
      </c>
      <c r="W885" s="17"/>
      <c r="X885" s="11"/>
      <c r="AA885" s="11"/>
      <c r="AB885" s="11"/>
      <c r="AC885" s="11"/>
      <c r="AD885" s="11"/>
      <c r="AE885" s="11"/>
    </row>
    <row r="886" spans="1:31" x14ac:dyDescent="0.25">
      <c r="A886" s="15" t="s">
        <v>1</v>
      </c>
      <c r="B886" s="21">
        <v>46057</v>
      </c>
      <c r="C886" s="7">
        <v>4876</v>
      </c>
      <c r="D886" s="7">
        <v>13220.000000001164</v>
      </c>
      <c r="E886" s="7">
        <v>4975</v>
      </c>
      <c r="F886" s="7">
        <v>0</v>
      </c>
      <c r="G886" s="7">
        <v>10008</v>
      </c>
      <c r="H886" s="7">
        <v>8174</v>
      </c>
      <c r="I886" s="7">
        <v>58432</v>
      </c>
      <c r="J886" s="2">
        <v>19.70000076293945</v>
      </c>
      <c r="K886" s="23">
        <f t="shared" si="133"/>
        <v>88928.528000000588</v>
      </c>
      <c r="L886" s="23">
        <f t="shared" si="130"/>
        <v>8.8857442046363495</v>
      </c>
      <c r="M886" s="12" t="s">
        <v>11</v>
      </c>
      <c r="N886" s="7">
        <v>4681</v>
      </c>
      <c r="O886" s="7">
        <v>4997.4000000000096</v>
      </c>
      <c r="P886" s="7">
        <f t="shared" si="127"/>
        <v>5678.8636363636469</v>
      </c>
      <c r="Q886" s="7">
        <v>0</v>
      </c>
      <c r="R886" s="7">
        <v>79.139999999977604</v>
      </c>
      <c r="S886" s="7">
        <f t="shared" si="128"/>
        <v>105.51999999997014</v>
      </c>
      <c r="T886" s="24" t="s">
        <v>40</v>
      </c>
      <c r="U886" s="7">
        <f t="shared" si="134"/>
        <v>31578.26710909067</v>
      </c>
      <c r="V886" s="7" t="e">
        <f t="shared" si="129"/>
        <v>#VALUE!</v>
      </c>
      <c r="W886" s="17"/>
      <c r="X886" s="11"/>
      <c r="AA886" s="11"/>
      <c r="AB886" s="11"/>
      <c r="AC886" s="11"/>
      <c r="AD886" s="11"/>
      <c r="AE886" s="11"/>
    </row>
    <row r="887" spans="1:31" x14ac:dyDescent="0.25">
      <c r="A887" s="15" t="s">
        <v>1</v>
      </c>
      <c r="B887" s="21">
        <v>46058</v>
      </c>
      <c r="C887" s="8">
        <v>3090</v>
      </c>
      <c r="D887" s="7">
        <v>13510.000000002037</v>
      </c>
      <c r="E887" s="8">
        <v>0</v>
      </c>
      <c r="F887" s="7">
        <v>0</v>
      </c>
      <c r="G887" s="8">
        <v>9455</v>
      </c>
      <c r="H887" s="8">
        <v>8164</v>
      </c>
      <c r="I887" s="8">
        <v>0</v>
      </c>
      <c r="J887" s="2">
        <v>15.5</v>
      </c>
      <c r="K887" s="23">
        <f t="shared" si="133"/>
        <v>35327.370000001036</v>
      </c>
      <c r="L887" s="23">
        <f t="shared" si="130"/>
        <v>3.7363691168694908</v>
      </c>
      <c r="M887" s="12" t="s">
        <v>11</v>
      </c>
      <c r="N887" s="7">
        <v>12656</v>
      </c>
      <c r="O887" s="7">
        <v>4997.4000000000096</v>
      </c>
      <c r="P887" s="7">
        <f t="shared" si="127"/>
        <v>5678.8636363636469</v>
      </c>
      <c r="Q887" s="7">
        <v>29724</v>
      </c>
      <c r="R887" s="7">
        <v>0</v>
      </c>
      <c r="S887" s="7">
        <f t="shared" si="128"/>
        <v>0</v>
      </c>
      <c r="T887" s="2">
        <v>2563</v>
      </c>
      <c r="U887" s="7">
        <f t="shared" si="134"/>
        <v>162423.56590909098</v>
      </c>
      <c r="V887" s="7">
        <f t="shared" si="129"/>
        <v>63.372440854112746</v>
      </c>
      <c r="W887" s="17"/>
      <c r="X887" s="11"/>
      <c r="AA887" s="11"/>
      <c r="AB887" s="11"/>
      <c r="AC887" s="11"/>
      <c r="AD887" s="11"/>
      <c r="AE887" s="11"/>
    </row>
    <row r="888" spans="1:31" x14ac:dyDescent="0.25">
      <c r="A888" s="15" t="s">
        <v>1</v>
      </c>
      <c r="B888" s="21">
        <v>46059</v>
      </c>
      <c r="C888" s="7">
        <v>2670</v>
      </c>
      <c r="D888" s="7">
        <v>13680.000000000291</v>
      </c>
      <c r="E888" s="7">
        <v>3075</v>
      </c>
      <c r="F888" s="7">
        <v>0</v>
      </c>
      <c r="G888" s="7">
        <v>10509</v>
      </c>
      <c r="H888" s="7">
        <v>7389</v>
      </c>
      <c r="I888" s="7">
        <v>19207</v>
      </c>
      <c r="J888" s="2">
        <v>17.25</v>
      </c>
      <c r="K888" s="23">
        <f t="shared" si="133"/>
        <v>54611.310000000143</v>
      </c>
      <c r="L888" s="23">
        <f t="shared" si="130"/>
        <v>5.1966228946617319</v>
      </c>
      <c r="M888" s="12" t="s">
        <v>11</v>
      </c>
      <c r="N888" s="7">
        <v>22004</v>
      </c>
      <c r="O888" s="7">
        <v>4178.6100000000033</v>
      </c>
      <c r="P888" s="7">
        <f t="shared" si="127"/>
        <v>4748.4204545454586</v>
      </c>
      <c r="Q888" s="7">
        <v>64737</v>
      </c>
      <c r="R888" s="7">
        <v>0</v>
      </c>
      <c r="S888" s="7">
        <f t="shared" si="128"/>
        <v>0</v>
      </c>
      <c r="T888" s="2">
        <v>5087</v>
      </c>
      <c r="U888" s="7">
        <f t="shared" si="134"/>
        <v>313133.80861363636</v>
      </c>
      <c r="V888" s="7">
        <f t="shared" si="129"/>
        <v>61.555692670264669</v>
      </c>
      <c r="W888" s="17"/>
      <c r="X888" s="11"/>
      <c r="AA888" s="11"/>
      <c r="AB888" s="11"/>
      <c r="AC888" s="11"/>
      <c r="AD888" s="11"/>
      <c r="AE888" s="11"/>
    </row>
    <row r="889" spans="1:31" x14ac:dyDescent="0.25">
      <c r="A889" s="15" t="s">
        <v>1</v>
      </c>
      <c r="B889" s="21">
        <v>46060</v>
      </c>
      <c r="C889" s="7">
        <v>4184</v>
      </c>
      <c r="D889" s="7">
        <v>14540.000000000873</v>
      </c>
      <c r="E889" s="7">
        <v>0</v>
      </c>
      <c r="F889" s="7">
        <v>0</v>
      </c>
      <c r="G889" s="7">
        <v>12068</v>
      </c>
      <c r="H889" s="7">
        <v>8641</v>
      </c>
      <c r="I889" s="7">
        <v>0</v>
      </c>
      <c r="J889" s="2">
        <v>17.5</v>
      </c>
      <c r="K889" s="23">
        <f t="shared" si="133"/>
        <v>45920.752000000444</v>
      </c>
      <c r="L889" s="23">
        <f t="shared" si="130"/>
        <v>3.805166721909218</v>
      </c>
      <c r="M889" s="12" t="s">
        <v>11</v>
      </c>
      <c r="N889" s="7">
        <v>24952</v>
      </c>
      <c r="O889" s="7">
        <v>12071.54</v>
      </c>
      <c r="P889" s="7">
        <f t="shared" si="127"/>
        <v>13717.659090909092</v>
      </c>
      <c r="Q889" s="7">
        <v>64737</v>
      </c>
      <c r="R889" s="7">
        <v>66514</v>
      </c>
      <c r="S889" s="7">
        <f t="shared" si="128"/>
        <v>88685.333333333328</v>
      </c>
      <c r="T889" s="2">
        <v>5417</v>
      </c>
      <c r="U889" s="7">
        <f t="shared" si="134"/>
        <v>1229109.8937727273</v>
      </c>
      <c r="V889" s="7">
        <f t="shared" si="129"/>
        <v>226.8986327806401</v>
      </c>
      <c r="W889" s="17"/>
      <c r="X889" s="11"/>
      <c r="AA889" s="11"/>
      <c r="AB889" s="11"/>
      <c r="AC889" s="11"/>
      <c r="AD889" s="11"/>
      <c r="AE889" s="11"/>
    </row>
    <row r="890" spans="1:31" x14ac:dyDescent="0.25">
      <c r="A890" s="15" t="s">
        <v>1</v>
      </c>
      <c r="B890" s="21">
        <v>46061</v>
      </c>
      <c r="C890" s="7">
        <v>5010</v>
      </c>
      <c r="D890" s="7">
        <v>15869.999999995343</v>
      </c>
      <c r="E890" s="7">
        <v>0</v>
      </c>
      <c r="F890" s="7">
        <v>0</v>
      </c>
      <c r="G890" s="7">
        <v>8553</v>
      </c>
      <c r="H890" s="7">
        <v>9667</v>
      </c>
      <c r="I890" s="7">
        <v>0</v>
      </c>
      <c r="J890" s="2">
        <v>18.95000076293945</v>
      </c>
      <c r="K890" s="23">
        <f t="shared" si="133"/>
        <v>54200.729999997624</v>
      </c>
      <c r="L890" s="23">
        <f t="shared" si="130"/>
        <v>6.3370431427566496</v>
      </c>
      <c r="M890" s="12" t="s">
        <v>11</v>
      </c>
      <c r="N890" s="7">
        <v>27384</v>
      </c>
      <c r="O890" s="7">
        <v>12535.829999999991</v>
      </c>
      <c r="P890" s="7">
        <f t="shared" si="127"/>
        <v>14245.261363636353</v>
      </c>
      <c r="Q890" s="7">
        <v>65734</v>
      </c>
      <c r="R890" s="7">
        <v>66514</v>
      </c>
      <c r="S890" s="7">
        <f t="shared" si="128"/>
        <v>88685.333333333328</v>
      </c>
      <c r="T890" s="2">
        <v>6263</v>
      </c>
      <c r="U890" s="7">
        <f t="shared" si="134"/>
        <v>1237253.1658409091</v>
      </c>
      <c r="V890" s="7">
        <f t="shared" si="129"/>
        <v>197.54960335955758</v>
      </c>
      <c r="W890" s="17"/>
      <c r="X890" s="11"/>
      <c r="AA890" s="11"/>
      <c r="AB890" s="11"/>
      <c r="AC890" s="11"/>
      <c r="AD890" s="11"/>
      <c r="AE890" s="11"/>
    </row>
    <row r="891" spans="1:31" x14ac:dyDescent="0.25">
      <c r="A891" s="15" t="s">
        <v>1</v>
      </c>
      <c r="B891" s="21">
        <v>46062</v>
      </c>
      <c r="C891" s="7">
        <v>2910</v>
      </c>
      <c r="D891" s="7">
        <v>10850.000000005821</v>
      </c>
      <c r="E891" s="7">
        <v>0</v>
      </c>
      <c r="F891" s="7">
        <v>0</v>
      </c>
      <c r="G891" s="7">
        <v>8965</v>
      </c>
      <c r="H891" s="7">
        <v>6677</v>
      </c>
      <c r="I891" s="7">
        <v>0</v>
      </c>
      <c r="J891" s="2">
        <v>20.75</v>
      </c>
      <c r="K891" s="23">
        <f t="shared" si="133"/>
        <v>32314.230000002968</v>
      </c>
      <c r="L891" s="23">
        <f t="shared" si="130"/>
        <v>3.6044874511994389</v>
      </c>
      <c r="M891" s="12" t="s">
        <v>11</v>
      </c>
      <c r="N891" s="7">
        <v>28901</v>
      </c>
      <c r="O891" s="7">
        <v>17643.019999999997</v>
      </c>
      <c r="P891" s="7">
        <f t="shared" si="127"/>
        <v>20048.88636363636</v>
      </c>
      <c r="Q891" s="7">
        <v>65775</v>
      </c>
      <c r="R891" s="7">
        <v>66514</v>
      </c>
      <c r="S891" s="7">
        <f t="shared" si="128"/>
        <v>88685.333333333328</v>
      </c>
      <c r="T891" s="2">
        <v>6408</v>
      </c>
      <c r="U891" s="7">
        <f t="shared" si="134"/>
        <v>1266977.5085909092</v>
      </c>
      <c r="V891" s="7">
        <f t="shared" si="129"/>
        <v>197.71808810719557</v>
      </c>
      <c r="W891" s="17"/>
      <c r="X891" s="11"/>
      <c r="AA891" s="11"/>
      <c r="AB891" s="11"/>
      <c r="AC891" s="11"/>
      <c r="AD891" s="11"/>
      <c r="AE891" s="11"/>
    </row>
    <row r="892" spans="1:31" x14ac:dyDescent="0.25">
      <c r="A892" s="15" t="s">
        <v>1</v>
      </c>
      <c r="B892" s="21">
        <v>46063</v>
      </c>
      <c r="C892" s="8">
        <v>3490</v>
      </c>
      <c r="D892" s="8">
        <v>12329.99999999447</v>
      </c>
      <c r="E892" s="8">
        <v>6000</v>
      </c>
      <c r="F892" s="7">
        <v>0</v>
      </c>
      <c r="G892" s="8">
        <v>14698</v>
      </c>
      <c r="H892" s="8">
        <v>7859</v>
      </c>
      <c r="I892" s="8">
        <v>37422</v>
      </c>
      <c r="J892" s="2">
        <v>21.70000076293945</v>
      </c>
      <c r="K892" s="23">
        <f t="shared" si="133"/>
        <v>83406.769999997181</v>
      </c>
      <c r="L892" s="23">
        <f t="shared" si="130"/>
        <v>5.6747020002719539</v>
      </c>
      <c r="M892" s="12" t="s">
        <v>11</v>
      </c>
      <c r="N892" s="7">
        <v>34006</v>
      </c>
      <c r="O892" s="7">
        <v>30624.110000000015</v>
      </c>
      <c r="P892" s="7">
        <f t="shared" si="127"/>
        <v>34800.125000000015</v>
      </c>
      <c r="Q892" s="7">
        <v>71927</v>
      </c>
      <c r="R892" s="7">
        <v>66514</v>
      </c>
      <c r="S892" s="7">
        <f t="shared" si="128"/>
        <v>88685.333333333328</v>
      </c>
      <c r="T892" s="2">
        <v>7996</v>
      </c>
      <c r="U892" s="7">
        <f t="shared" si="134"/>
        <v>1369171.29975</v>
      </c>
      <c r="V892" s="7">
        <f t="shared" si="129"/>
        <v>171.2320284829915</v>
      </c>
      <c r="W892" s="17"/>
      <c r="X892" s="11"/>
      <c r="AA892" s="11"/>
      <c r="AB892" s="11"/>
      <c r="AC892" s="11"/>
      <c r="AD892" s="11"/>
      <c r="AE892" s="11"/>
    </row>
    <row r="893" spans="1:31" x14ac:dyDescent="0.25">
      <c r="A893" s="15" t="s">
        <v>1</v>
      </c>
      <c r="B893" s="21">
        <v>46064</v>
      </c>
      <c r="C893" s="7">
        <v>3470</v>
      </c>
      <c r="D893" s="7">
        <v>8690.0000000023283</v>
      </c>
      <c r="E893" s="7">
        <v>0</v>
      </c>
      <c r="F893" s="7">
        <v>0</v>
      </c>
      <c r="G893" s="7">
        <v>13187</v>
      </c>
      <c r="H893" s="7">
        <v>5611</v>
      </c>
      <c r="I893" s="7">
        <v>0</v>
      </c>
      <c r="J893" s="2">
        <v>20.29999923706055</v>
      </c>
      <c r="K893" s="23">
        <f t="shared" si="133"/>
        <v>36366.310000001184</v>
      </c>
      <c r="L893" s="23">
        <f t="shared" si="130"/>
        <v>2.757739440358018</v>
      </c>
      <c r="M893" s="12" t="s">
        <v>11</v>
      </c>
      <c r="N893" s="7">
        <v>34781</v>
      </c>
      <c r="O893" s="7">
        <v>38071.779999999992</v>
      </c>
      <c r="P893" s="7">
        <f t="shared" si="127"/>
        <v>43263.386363636353</v>
      </c>
      <c r="Q893" s="7">
        <v>65250</v>
      </c>
      <c r="R893" s="7">
        <v>66514</v>
      </c>
      <c r="S893" s="7">
        <f t="shared" si="128"/>
        <v>88685.333333333328</v>
      </c>
      <c r="T893" s="2">
        <v>8275</v>
      </c>
      <c r="U893" s="7">
        <f t="shared" si="134"/>
        <v>1382816.2995909089</v>
      </c>
      <c r="V893" s="7">
        <f t="shared" si="129"/>
        <v>167.10770992035154</v>
      </c>
      <c r="W893" s="17"/>
      <c r="X893" s="11"/>
      <c r="AA893" s="11"/>
      <c r="AB893" s="11"/>
      <c r="AC893" s="11"/>
      <c r="AD893" s="11"/>
      <c r="AE893" s="11"/>
    </row>
    <row r="894" spans="1:31" x14ac:dyDescent="0.25">
      <c r="A894" s="15" t="s">
        <v>1</v>
      </c>
      <c r="B894" s="21">
        <v>46065</v>
      </c>
      <c r="C894" s="7">
        <v>3983</v>
      </c>
      <c r="D894" s="7">
        <v>8680.000000000291</v>
      </c>
      <c r="E894" s="7">
        <v>3000</v>
      </c>
      <c r="F894" s="7">
        <v>0</v>
      </c>
      <c r="G894" s="7">
        <v>13278</v>
      </c>
      <c r="H894" s="7">
        <v>5110</v>
      </c>
      <c r="I894" s="7">
        <v>41193</v>
      </c>
      <c r="J894" s="2">
        <v>15.64999961853027</v>
      </c>
      <c r="K894" s="23">
        <f t="shared" si="133"/>
        <v>63582.349000000147</v>
      </c>
      <c r="L894" s="23">
        <f t="shared" si="130"/>
        <v>4.7885486519054181</v>
      </c>
      <c r="M894" s="12" t="s">
        <v>11</v>
      </c>
      <c r="N894" s="7">
        <v>14426</v>
      </c>
      <c r="O894" s="7">
        <v>8413.9000000000015</v>
      </c>
      <c r="P894" s="7">
        <f t="shared" si="127"/>
        <v>9561.2500000000018</v>
      </c>
      <c r="Q894" s="7">
        <v>20013</v>
      </c>
      <c r="R894" s="7">
        <v>0</v>
      </c>
      <c r="S894" s="7">
        <f t="shared" si="128"/>
        <v>0</v>
      </c>
      <c r="T894" s="2">
        <v>2568</v>
      </c>
      <c r="U894" s="7">
        <f t="shared" si="134"/>
        <v>140817.83750000002</v>
      </c>
      <c r="V894" s="7">
        <f t="shared" si="129"/>
        <v>54.835606503115272</v>
      </c>
      <c r="W894" s="17"/>
      <c r="X894" s="11"/>
      <c r="AA894" s="11"/>
      <c r="AB894" s="11"/>
      <c r="AC894" s="11"/>
      <c r="AD894" s="11"/>
      <c r="AE894" s="11"/>
    </row>
    <row r="895" spans="1:31" x14ac:dyDescent="0.25">
      <c r="A895" s="15" t="s">
        <v>1</v>
      </c>
      <c r="B895" s="21">
        <v>46066</v>
      </c>
      <c r="C895" s="7">
        <v>2710</v>
      </c>
      <c r="D895" s="7">
        <v>14389.999999999418</v>
      </c>
      <c r="E895" s="7">
        <v>0</v>
      </c>
      <c r="F895" s="7">
        <v>0</v>
      </c>
      <c r="G895" s="7">
        <v>13867</v>
      </c>
      <c r="H895" s="7">
        <v>9194</v>
      </c>
      <c r="I895" s="7">
        <v>0</v>
      </c>
      <c r="J895" s="2">
        <v>14.60000038146973</v>
      </c>
      <c r="K895" s="23">
        <f t="shared" si="133"/>
        <v>32279.029999999701</v>
      </c>
      <c r="L895" s="23">
        <f t="shared" si="130"/>
        <v>2.3277587077233504</v>
      </c>
      <c r="M895" s="12" t="s">
        <v>11</v>
      </c>
      <c r="N895" s="7">
        <v>23683</v>
      </c>
      <c r="O895" s="7">
        <v>0</v>
      </c>
      <c r="P895" s="7">
        <f t="shared" si="127"/>
        <v>0</v>
      </c>
      <c r="Q895" s="7">
        <v>80874</v>
      </c>
      <c r="R895" s="7">
        <v>0</v>
      </c>
      <c r="S895" s="7">
        <f t="shared" si="128"/>
        <v>0</v>
      </c>
      <c r="T895" s="2">
        <v>7465</v>
      </c>
      <c r="U895" s="7">
        <f t="shared" si="134"/>
        <v>359836.53</v>
      </c>
      <c r="V895" s="7">
        <f t="shared" si="129"/>
        <v>48.203152042866712</v>
      </c>
      <c r="W895" s="17"/>
      <c r="X895" s="11"/>
      <c r="AA895" s="11"/>
      <c r="AB895" s="11"/>
      <c r="AC895" s="11"/>
      <c r="AD895" s="11"/>
      <c r="AE895" s="11"/>
    </row>
    <row r="896" spans="1:31" x14ac:dyDescent="0.25">
      <c r="A896" s="15" t="s">
        <v>1</v>
      </c>
      <c r="B896" s="21">
        <v>46067</v>
      </c>
      <c r="C896" s="7">
        <v>4123</v>
      </c>
      <c r="D896" s="7">
        <v>15440.000000002328</v>
      </c>
      <c r="E896" s="7">
        <v>0</v>
      </c>
      <c r="F896" s="7">
        <v>0</v>
      </c>
      <c r="G896" s="7">
        <v>13175</v>
      </c>
      <c r="H896" s="7">
        <v>10400</v>
      </c>
      <c r="I896" s="7">
        <v>0</v>
      </c>
      <c r="J896" s="2">
        <v>17</v>
      </c>
      <c r="K896" s="23">
        <f t="shared" si="133"/>
        <v>45818.369000001185</v>
      </c>
      <c r="L896" s="23">
        <f t="shared" si="130"/>
        <v>3.4776750664137523</v>
      </c>
      <c r="M896" s="12" t="s">
        <v>11</v>
      </c>
      <c r="N896" s="7">
        <v>26501</v>
      </c>
      <c r="O896" s="7">
        <v>11142.95999999999</v>
      </c>
      <c r="P896" s="7">
        <f t="shared" si="127"/>
        <v>12662.454545454533</v>
      </c>
      <c r="Q896" s="7">
        <v>69451</v>
      </c>
      <c r="R896" s="7">
        <v>0</v>
      </c>
      <c r="S896" s="7">
        <f t="shared" si="128"/>
        <v>0</v>
      </c>
      <c r="T896" s="2">
        <v>6969</v>
      </c>
      <c r="U896" s="7">
        <f t="shared" si="134"/>
        <v>374935.2596363636</v>
      </c>
      <c r="V896" s="7">
        <f t="shared" si="129"/>
        <v>53.800439035207866</v>
      </c>
      <c r="W896" s="17"/>
      <c r="X896" s="11"/>
      <c r="AA896" s="11"/>
      <c r="AB896" s="11"/>
      <c r="AC896" s="11"/>
      <c r="AD896" s="11"/>
      <c r="AE896" s="11"/>
    </row>
    <row r="897" spans="1:31" x14ac:dyDescent="0.25">
      <c r="A897" s="15" t="s">
        <v>1</v>
      </c>
      <c r="B897" s="21">
        <v>46068</v>
      </c>
      <c r="C897" s="8">
        <v>4100</v>
      </c>
      <c r="D897" s="8">
        <v>14610.000000000582</v>
      </c>
      <c r="E897" s="8">
        <v>0</v>
      </c>
      <c r="F897" s="7">
        <v>0</v>
      </c>
      <c r="G897" s="8">
        <v>10401</v>
      </c>
      <c r="H897" s="8">
        <v>10020</v>
      </c>
      <c r="I897" s="8">
        <v>0</v>
      </c>
      <c r="J897" s="2">
        <v>20.14999961853027</v>
      </c>
      <c r="K897" s="23">
        <f t="shared" si="133"/>
        <v>45183.400000000292</v>
      </c>
      <c r="L897" s="23">
        <f t="shared" si="130"/>
        <v>4.3441399865397843</v>
      </c>
      <c r="M897" s="12" t="s">
        <v>11</v>
      </c>
      <c r="N897" s="7">
        <v>26814</v>
      </c>
      <c r="O897" s="7">
        <v>26928.820000000003</v>
      </c>
      <c r="P897" s="7">
        <f t="shared" si="127"/>
        <v>30600.931818181823</v>
      </c>
      <c r="Q897" s="7">
        <v>47253</v>
      </c>
      <c r="R897" s="7">
        <v>0</v>
      </c>
      <c r="S897" s="7">
        <f t="shared" si="128"/>
        <v>0</v>
      </c>
      <c r="T897" s="2">
        <v>6632</v>
      </c>
      <c r="U897" s="7">
        <f t="shared" si="134"/>
        <v>368582.45995454548</v>
      </c>
      <c r="V897" s="7">
        <f t="shared" si="129"/>
        <v>55.576366096885629</v>
      </c>
      <c r="W897" s="17"/>
      <c r="X897" s="11"/>
      <c r="AA897" s="11"/>
      <c r="AB897" s="11"/>
      <c r="AC897" s="11"/>
      <c r="AD897" s="11"/>
      <c r="AE897" s="11"/>
    </row>
    <row r="898" spans="1:31" x14ac:dyDescent="0.25">
      <c r="A898" s="15" t="s">
        <v>1</v>
      </c>
      <c r="B898" s="21">
        <v>46069</v>
      </c>
      <c r="C898" s="7">
        <v>3507</v>
      </c>
      <c r="D898" s="7">
        <v>3580.0000000017462</v>
      </c>
      <c r="E898" s="7">
        <v>0</v>
      </c>
      <c r="F898" s="7">
        <v>0</v>
      </c>
      <c r="G898" s="7">
        <v>9691</v>
      </c>
      <c r="H898" s="7">
        <v>2624</v>
      </c>
      <c r="I898" s="7">
        <v>0</v>
      </c>
      <c r="J898" s="2">
        <v>21.04999923706055</v>
      </c>
      <c r="K898" s="23">
        <f t="shared" si="133"/>
        <v>34100.721000000893</v>
      </c>
      <c r="L898" s="23">
        <f t="shared" si="130"/>
        <v>3.5188031162935602</v>
      </c>
      <c r="M898" s="12" t="s">
        <v>11</v>
      </c>
      <c r="N898" s="7">
        <v>29035</v>
      </c>
      <c r="O898" s="7">
        <v>30938.610000000015</v>
      </c>
      <c r="P898" s="7">
        <f t="shared" ref="P898:P961" si="135">O898/0.88</f>
        <v>35157.511363636382</v>
      </c>
      <c r="Q898" s="7">
        <v>58502</v>
      </c>
      <c r="R898" s="7">
        <v>6370.5799999999972</v>
      </c>
      <c r="S898" s="7">
        <f t="shared" si="128"/>
        <v>8494.1066666666629</v>
      </c>
      <c r="T898" s="2">
        <v>8327</v>
      </c>
      <c r="U898" s="7">
        <f t="shared" si="134"/>
        <v>524004.57774090912</v>
      </c>
      <c r="V898" s="7">
        <f t="shared" si="129"/>
        <v>62.928374893828405</v>
      </c>
      <c r="W898" s="17"/>
      <c r="X898" s="11"/>
      <c r="AA898" s="11"/>
      <c r="AB898" s="11"/>
      <c r="AC898" s="11"/>
      <c r="AD898" s="11"/>
      <c r="AE898" s="11"/>
    </row>
    <row r="899" spans="1:31" x14ac:dyDescent="0.25">
      <c r="A899" s="15" t="s">
        <v>1</v>
      </c>
      <c r="B899" s="21">
        <v>46070</v>
      </c>
      <c r="C899" s="7">
        <v>3916</v>
      </c>
      <c r="D899" s="7">
        <v>4059.9999999976717</v>
      </c>
      <c r="E899" s="7">
        <v>6900</v>
      </c>
      <c r="F899" s="7">
        <v>0</v>
      </c>
      <c r="G899" s="7">
        <v>13186</v>
      </c>
      <c r="H899" s="7">
        <v>2572</v>
      </c>
      <c r="I899" s="7">
        <v>43131</v>
      </c>
      <c r="J899" s="2">
        <v>16.25</v>
      </c>
      <c r="K899" s="23">
        <f t="shared" si="133"/>
        <v>89859.547999998817</v>
      </c>
      <c r="L899" s="23">
        <f t="shared" si="130"/>
        <v>6.8147693007734578</v>
      </c>
      <c r="M899" s="12" t="s">
        <v>11</v>
      </c>
      <c r="N899" s="7">
        <v>33480</v>
      </c>
      <c r="O899" s="7">
        <v>29884.349999999995</v>
      </c>
      <c r="P899" s="7">
        <f t="shared" si="135"/>
        <v>33959.488636363632</v>
      </c>
      <c r="Q899" s="7">
        <v>56112</v>
      </c>
      <c r="R899" s="7">
        <v>12662.020000000017</v>
      </c>
      <c r="S899" s="7">
        <f t="shared" ref="S899:S962" si="136">R899/0.75</f>
        <v>16882.693333333355</v>
      </c>
      <c r="T899" s="2">
        <v>8753</v>
      </c>
      <c r="U899" s="7">
        <f t="shared" si="134"/>
        <v>592346.76625909109</v>
      </c>
      <c r="V899" s="7">
        <f t="shared" ref="V899:V962" si="137">U899/T899</f>
        <v>67.67357091958084</v>
      </c>
      <c r="W899" s="17"/>
      <c r="X899" s="11"/>
      <c r="AA899" s="11"/>
      <c r="AB899" s="11"/>
      <c r="AC899" s="11"/>
      <c r="AD899" s="11"/>
      <c r="AE899" s="11"/>
    </row>
    <row r="900" spans="1:31" x14ac:dyDescent="0.25">
      <c r="A900" s="15" t="s">
        <v>1</v>
      </c>
      <c r="B900" s="21">
        <v>46071</v>
      </c>
      <c r="C900" s="7">
        <v>3784</v>
      </c>
      <c r="D900" s="7">
        <v>709.99999999912689</v>
      </c>
      <c r="E900" s="7">
        <v>0</v>
      </c>
      <c r="F900" s="7">
        <v>0</v>
      </c>
      <c r="G900" s="7">
        <v>12816</v>
      </c>
      <c r="H900" s="7">
        <v>960</v>
      </c>
      <c r="I900" s="7">
        <v>0</v>
      </c>
      <c r="J900" s="2">
        <v>18.60000038146973</v>
      </c>
      <c r="K900" s="23">
        <f t="shared" si="133"/>
        <v>35186.251999999549</v>
      </c>
      <c r="L900" s="23">
        <f t="shared" si="130"/>
        <v>2.7454940699125743</v>
      </c>
      <c r="M900" s="12" t="s">
        <v>11</v>
      </c>
      <c r="N900" s="7">
        <v>34756</v>
      </c>
      <c r="O900" s="7">
        <v>36385.560000000005</v>
      </c>
      <c r="P900" s="7">
        <f t="shared" si="135"/>
        <v>41347.227272727279</v>
      </c>
      <c r="Q900" s="7">
        <v>58280</v>
      </c>
      <c r="R900" s="7">
        <v>8244.2799999999916</v>
      </c>
      <c r="S900" s="7">
        <f t="shared" si="136"/>
        <v>10992.373333333322</v>
      </c>
      <c r="T900" s="2">
        <v>8367</v>
      </c>
      <c r="U900" s="7">
        <f t="shared" si="134"/>
        <v>581164.2952181818</v>
      </c>
      <c r="V900" s="7">
        <f t="shared" si="137"/>
        <v>69.459100659517361</v>
      </c>
      <c r="W900" s="17"/>
      <c r="X900" s="11"/>
      <c r="AA900" s="11"/>
      <c r="AB900" s="11"/>
      <c r="AC900" s="11"/>
      <c r="AD900" s="11"/>
      <c r="AE900" s="11"/>
    </row>
    <row r="901" spans="1:31" x14ac:dyDescent="0.25">
      <c r="A901" s="15" t="s">
        <v>1</v>
      </c>
      <c r="B901" s="21">
        <v>46072</v>
      </c>
      <c r="C901" s="7">
        <v>2772</v>
      </c>
      <c r="D901" s="7">
        <v>13670.00000000553</v>
      </c>
      <c r="E901" s="7">
        <v>7000</v>
      </c>
      <c r="F901" s="7">
        <v>0</v>
      </c>
      <c r="G901" s="7">
        <v>13251</v>
      </c>
      <c r="H901" s="7">
        <v>8469</v>
      </c>
      <c r="I901" s="7">
        <v>44329</v>
      </c>
      <c r="J901" s="2">
        <v>18.95000076293945</v>
      </c>
      <c r="K901" s="23">
        <f t="shared" si="133"/>
        <v>84982.416000002821</v>
      </c>
      <c r="L901" s="23">
        <f t="shared" si="130"/>
        <v>6.4132832239078423</v>
      </c>
      <c r="M901" s="12" t="s">
        <v>11</v>
      </c>
      <c r="N901" s="7">
        <v>36385</v>
      </c>
      <c r="O901" s="7">
        <v>35237.219999999987</v>
      </c>
      <c r="P901" s="7">
        <f t="shared" si="135"/>
        <v>40042.295454545441</v>
      </c>
      <c r="Q901" s="7">
        <v>58401</v>
      </c>
      <c r="R901" s="7">
        <v>12682.020000000017</v>
      </c>
      <c r="S901" s="7">
        <f t="shared" si="136"/>
        <v>16909.360000000022</v>
      </c>
      <c r="T901" s="2">
        <v>9108</v>
      </c>
      <c r="U901" s="7">
        <f t="shared" si="134"/>
        <v>634091.1724636365</v>
      </c>
      <c r="V901" s="7">
        <f t="shared" si="137"/>
        <v>69.619144978440545</v>
      </c>
      <c r="W901" s="17"/>
      <c r="X901" s="11"/>
      <c r="AA901" s="11"/>
      <c r="AB901" s="11"/>
      <c r="AC901" s="11"/>
      <c r="AD901" s="11"/>
      <c r="AE901" s="11"/>
    </row>
    <row r="902" spans="1:31" x14ac:dyDescent="0.25">
      <c r="A902" s="15" t="s">
        <v>1</v>
      </c>
      <c r="B902" s="21">
        <v>46073</v>
      </c>
      <c r="C902" s="8">
        <v>3200</v>
      </c>
      <c r="D902" s="8">
        <v>16559.999999997672</v>
      </c>
      <c r="E902" s="8">
        <v>0</v>
      </c>
      <c r="F902" s="7">
        <v>0</v>
      </c>
      <c r="G902" s="8">
        <v>11700</v>
      </c>
      <c r="H902" s="8">
        <v>10129</v>
      </c>
      <c r="I902" s="8">
        <v>0</v>
      </c>
      <c r="J902" s="2">
        <v>27.70000076293945</v>
      </c>
      <c r="K902" s="23">
        <f t="shared" si="133"/>
        <v>37895.199999998811</v>
      </c>
      <c r="L902" s="23">
        <f t="shared" si="130"/>
        <v>3.2389059829058815</v>
      </c>
      <c r="M902" s="12" t="s">
        <v>11</v>
      </c>
      <c r="N902" s="7">
        <v>36867</v>
      </c>
      <c r="O902" s="7">
        <v>39051.540000000008</v>
      </c>
      <c r="P902" s="7">
        <f t="shared" si="135"/>
        <v>44376.750000000007</v>
      </c>
      <c r="Q902" s="7">
        <v>51361</v>
      </c>
      <c r="R902" s="7">
        <v>10165</v>
      </c>
      <c r="S902" s="7">
        <f t="shared" si="136"/>
        <v>13553.333333333334</v>
      </c>
      <c r="T902" s="2">
        <v>8860</v>
      </c>
      <c r="U902" s="7">
        <f t="shared" si="134"/>
        <v>592632.59649999999</v>
      </c>
      <c r="V902" s="7">
        <f t="shared" si="137"/>
        <v>66.888554909706542</v>
      </c>
      <c r="W902" s="17"/>
      <c r="X902" s="11"/>
      <c r="AA902" s="11"/>
      <c r="AB902" s="11"/>
      <c r="AC902" s="11"/>
      <c r="AD902" s="11"/>
      <c r="AE902" s="11"/>
    </row>
    <row r="903" spans="1:31" x14ac:dyDescent="0.25">
      <c r="A903" s="15" t="s">
        <v>1</v>
      </c>
      <c r="B903" s="21">
        <v>46074</v>
      </c>
      <c r="C903" s="7">
        <v>3569</v>
      </c>
      <c r="D903" s="7">
        <v>14299.999999995634</v>
      </c>
      <c r="E903" s="7">
        <v>0</v>
      </c>
      <c r="F903" s="7">
        <v>0</v>
      </c>
      <c r="G903" s="7">
        <v>12561</v>
      </c>
      <c r="H903" s="7">
        <v>9789</v>
      </c>
      <c r="I903" s="7">
        <v>0</v>
      </c>
      <c r="J903" s="2">
        <v>28.20000076293945</v>
      </c>
      <c r="K903" s="23">
        <f t="shared" si="133"/>
        <v>40138.506999997771</v>
      </c>
      <c r="L903" s="23">
        <f t="shared" si="130"/>
        <v>3.1954865854627634</v>
      </c>
      <c r="M903" s="12" t="s">
        <v>11</v>
      </c>
      <c r="N903" s="7">
        <v>24139</v>
      </c>
      <c r="O903" s="7">
        <v>17178.730000000003</v>
      </c>
      <c r="P903" s="7">
        <f t="shared" si="135"/>
        <v>19521.284090909096</v>
      </c>
      <c r="Q903" s="7">
        <v>51134</v>
      </c>
      <c r="R903" s="7">
        <v>10165</v>
      </c>
      <c r="S903" s="7">
        <f t="shared" si="136"/>
        <v>13553.333333333334</v>
      </c>
      <c r="T903" s="2">
        <v>6132</v>
      </c>
      <c r="U903" s="7">
        <f t="shared" si="134"/>
        <v>461931.81652272731</v>
      </c>
      <c r="V903" s="7">
        <f t="shared" si="137"/>
        <v>75.331346464893556</v>
      </c>
      <c r="W903" s="17"/>
      <c r="X903" s="11"/>
      <c r="AA903" s="11"/>
      <c r="AB903" s="11"/>
      <c r="AC903" s="11"/>
      <c r="AD903" s="11"/>
      <c r="AE903" s="11"/>
    </row>
    <row r="904" spans="1:31" x14ac:dyDescent="0.25">
      <c r="A904" s="15" t="s">
        <v>1</v>
      </c>
      <c r="B904" s="21">
        <v>46075</v>
      </c>
      <c r="C904" s="7">
        <v>2943</v>
      </c>
      <c r="D904" s="7">
        <v>12630.000000004657</v>
      </c>
      <c r="E904" s="7">
        <v>0</v>
      </c>
      <c r="F904" s="7">
        <v>0</v>
      </c>
      <c r="G904" s="7">
        <v>11958</v>
      </c>
      <c r="H904" s="7">
        <v>9360</v>
      </c>
      <c r="I904" s="7">
        <v>0</v>
      </c>
      <c r="J904" s="2">
        <v>28.29999923706055</v>
      </c>
      <c r="K904" s="23">
        <f t="shared" si="133"/>
        <v>33525.729000002371</v>
      </c>
      <c r="L904" s="23">
        <f t="shared" si="130"/>
        <v>2.8036234320122406</v>
      </c>
      <c r="M904" s="12" t="s">
        <v>11</v>
      </c>
      <c r="N904" s="7">
        <v>18791</v>
      </c>
      <c r="O904" s="7">
        <v>0</v>
      </c>
      <c r="P904" s="7">
        <f t="shared" si="135"/>
        <v>0</v>
      </c>
      <c r="Q904" s="7">
        <v>54888</v>
      </c>
      <c r="R904" s="7">
        <v>0</v>
      </c>
      <c r="S904" s="7">
        <f t="shared" si="136"/>
        <v>0</v>
      </c>
      <c r="T904" s="2">
        <v>4844</v>
      </c>
      <c r="U904" s="7">
        <f t="shared" si="134"/>
        <v>245601.81</v>
      </c>
      <c r="V904" s="7">
        <f t="shared" si="137"/>
        <v>50.702272914946327</v>
      </c>
      <c r="W904" s="17"/>
      <c r="X904" s="11"/>
      <c r="AA904" s="11"/>
      <c r="AB904" s="11"/>
      <c r="AC904" s="11"/>
      <c r="AD904" s="11"/>
      <c r="AE904" s="11"/>
    </row>
    <row r="905" spans="1:31" x14ac:dyDescent="0.25">
      <c r="A905" s="15" t="s">
        <v>1</v>
      </c>
      <c r="B905" s="21">
        <v>46076</v>
      </c>
      <c r="C905" s="7">
        <v>3680</v>
      </c>
      <c r="D905" s="7">
        <v>7250</v>
      </c>
      <c r="E905" s="7">
        <v>0</v>
      </c>
      <c r="F905" s="7">
        <v>0</v>
      </c>
      <c r="G905" s="7">
        <v>7107</v>
      </c>
      <c r="H905" s="7">
        <v>4909</v>
      </c>
      <c r="I905" s="7">
        <v>0</v>
      </c>
      <c r="J905" s="2">
        <v>27.70000076293945</v>
      </c>
      <c r="K905" s="23">
        <f t="shared" si="133"/>
        <v>37564.54</v>
      </c>
      <c r="L905" s="23">
        <f t="shared" ref="L905:L968" si="138">K905/G905</f>
        <v>5.2855691571689887</v>
      </c>
      <c r="M905" s="12" t="s">
        <v>11</v>
      </c>
      <c r="N905" s="7">
        <v>13832</v>
      </c>
      <c r="O905" s="7">
        <v>0</v>
      </c>
      <c r="P905" s="7">
        <f t="shared" si="135"/>
        <v>0</v>
      </c>
      <c r="Q905" s="7">
        <v>26366</v>
      </c>
      <c r="R905" s="7">
        <v>0</v>
      </c>
      <c r="S905" s="7">
        <f t="shared" si="136"/>
        <v>0</v>
      </c>
      <c r="T905" s="2">
        <v>2220</v>
      </c>
      <c r="U905" s="7">
        <f t="shared" si="134"/>
        <v>120428.12</v>
      </c>
      <c r="V905" s="7">
        <f t="shared" si="137"/>
        <v>54.246900900900897</v>
      </c>
      <c r="W905" s="17"/>
      <c r="X905" s="11"/>
      <c r="AA905" s="11"/>
      <c r="AB905" s="11"/>
      <c r="AC905" s="11"/>
      <c r="AD905" s="11"/>
      <c r="AE905" s="11"/>
    </row>
    <row r="906" spans="1:31" x14ac:dyDescent="0.25">
      <c r="A906" s="15" t="s">
        <v>1</v>
      </c>
      <c r="B906" s="21">
        <v>46077</v>
      </c>
      <c r="C906" s="7">
        <v>3901</v>
      </c>
      <c r="D906" s="7">
        <v>13589.999999996508</v>
      </c>
      <c r="E906" s="7">
        <v>3625</v>
      </c>
      <c r="F906" s="7">
        <v>0</v>
      </c>
      <c r="G906" s="7">
        <v>11665</v>
      </c>
      <c r="H906" s="7">
        <v>10158</v>
      </c>
      <c r="I906" s="7">
        <v>18565</v>
      </c>
      <c r="J906" s="2">
        <v>23.14999961853027</v>
      </c>
      <c r="K906" s="23">
        <f t="shared" si="133"/>
        <v>70019.30299999821</v>
      </c>
      <c r="L906" s="23">
        <f t="shared" si="138"/>
        <v>6.0025120445776432</v>
      </c>
      <c r="M906" s="12" t="s">
        <v>11</v>
      </c>
      <c r="N906" s="7">
        <v>19374</v>
      </c>
      <c r="O906" s="7">
        <v>0</v>
      </c>
      <c r="P906" s="7">
        <f t="shared" si="135"/>
        <v>0</v>
      </c>
      <c r="Q906" s="7">
        <v>56502</v>
      </c>
      <c r="R906" s="7">
        <v>0</v>
      </c>
      <c r="S906" s="7">
        <f t="shared" si="136"/>
        <v>0</v>
      </c>
      <c r="T906" s="2">
        <v>4427</v>
      </c>
      <c r="U906" s="7">
        <f t="shared" si="134"/>
        <v>252839.33999999997</v>
      </c>
      <c r="V906" s="7">
        <f t="shared" si="137"/>
        <v>57.113020103907829</v>
      </c>
      <c r="W906" s="17"/>
      <c r="X906" s="11"/>
      <c r="AA906" s="11"/>
      <c r="AB906" s="11"/>
      <c r="AC906" s="11"/>
      <c r="AD906" s="11"/>
      <c r="AE906" s="11"/>
    </row>
    <row r="907" spans="1:31" x14ac:dyDescent="0.25">
      <c r="A907" s="15" t="s">
        <v>1</v>
      </c>
      <c r="B907" s="21">
        <v>46078</v>
      </c>
      <c r="C907" s="8">
        <v>3831</v>
      </c>
      <c r="D907" s="8">
        <v>2470.0000000011642</v>
      </c>
      <c r="E907" s="8">
        <v>0</v>
      </c>
      <c r="F907" s="7">
        <v>0</v>
      </c>
      <c r="G907" s="8">
        <v>9869</v>
      </c>
      <c r="H907" s="8">
        <v>1142</v>
      </c>
      <c r="I907" s="8">
        <v>0</v>
      </c>
      <c r="J907" s="2">
        <v>23.79999923706055</v>
      </c>
      <c r="K907" s="23">
        <f t="shared" si="133"/>
        <v>36516.393000000593</v>
      </c>
      <c r="L907" s="23">
        <f t="shared" si="138"/>
        <v>3.7001107508360112</v>
      </c>
      <c r="M907" s="12" t="s">
        <v>11</v>
      </c>
      <c r="N907" s="7">
        <v>22222</v>
      </c>
      <c r="O907" s="7">
        <v>0</v>
      </c>
      <c r="P907" s="7">
        <f t="shared" si="135"/>
        <v>0</v>
      </c>
      <c r="Q907" s="7">
        <v>63479</v>
      </c>
      <c r="R907" s="7">
        <v>0</v>
      </c>
      <c r="S907" s="7">
        <f t="shared" si="136"/>
        <v>0</v>
      </c>
      <c r="T907" s="2">
        <v>5474</v>
      </c>
      <c r="U907" s="7">
        <f t="shared" si="134"/>
        <v>284292.92</v>
      </c>
      <c r="V907" s="7">
        <f t="shared" si="137"/>
        <v>51.935133357690901</v>
      </c>
      <c r="W907" s="17"/>
      <c r="X907" s="11"/>
      <c r="AA907" s="11"/>
      <c r="AB907" s="11"/>
      <c r="AC907" s="11"/>
      <c r="AD907" s="11"/>
      <c r="AE907" s="11"/>
    </row>
    <row r="908" spans="1:31" x14ac:dyDescent="0.25">
      <c r="A908" s="15" t="s">
        <v>1</v>
      </c>
      <c r="B908" s="21">
        <v>46079</v>
      </c>
      <c r="C908" s="7">
        <v>4345</v>
      </c>
      <c r="D908" s="7">
        <v>11840.000000003783</v>
      </c>
      <c r="E908" s="7">
        <v>4900</v>
      </c>
      <c r="F908" s="7">
        <v>0</v>
      </c>
      <c r="G908" s="7">
        <v>11240</v>
      </c>
      <c r="H908" s="7">
        <v>8458</v>
      </c>
      <c r="I908" s="7">
        <v>30632</v>
      </c>
      <c r="J908" s="2">
        <v>21.54999923706055</v>
      </c>
      <c r="K908" s="23">
        <f t="shared" si="133"/>
        <v>82775.435000001919</v>
      </c>
      <c r="L908" s="23">
        <f t="shared" si="138"/>
        <v>7.3643625444841563</v>
      </c>
      <c r="M908" s="12" t="s">
        <v>11</v>
      </c>
      <c r="N908" s="7">
        <v>27995</v>
      </c>
      <c r="O908" s="7">
        <v>4642.8999999999833</v>
      </c>
      <c r="P908" s="7">
        <f t="shared" si="135"/>
        <v>5276.0227272727079</v>
      </c>
      <c r="Q908" s="7">
        <v>67461</v>
      </c>
      <c r="R908" s="7">
        <v>3372.6599999999949</v>
      </c>
      <c r="S908" s="7">
        <f t="shared" si="136"/>
        <v>4496.8799999999928</v>
      </c>
      <c r="T908" s="2">
        <v>7281</v>
      </c>
      <c r="U908" s="7">
        <f t="shared" si="134"/>
        <v>374632.66348181799</v>
      </c>
      <c r="V908" s="7">
        <f t="shared" si="137"/>
        <v>51.453462914684522</v>
      </c>
      <c r="W908" s="17"/>
      <c r="X908" s="11"/>
      <c r="AA908" s="11"/>
      <c r="AB908" s="11"/>
      <c r="AC908" s="11"/>
      <c r="AD908" s="11"/>
      <c r="AE908" s="11"/>
    </row>
    <row r="909" spans="1:31" x14ac:dyDescent="0.25">
      <c r="A909" s="15" t="s">
        <v>1</v>
      </c>
      <c r="B909" s="21">
        <v>46080</v>
      </c>
      <c r="C909" s="7">
        <v>4760</v>
      </c>
      <c r="D909" s="7">
        <v>15279.999999998836</v>
      </c>
      <c r="E909" s="7">
        <v>0</v>
      </c>
      <c r="F909" s="7">
        <v>0</v>
      </c>
      <c r="G909" s="7">
        <v>12142</v>
      </c>
      <c r="H909" s="7">
        <v>9901</v>
      </c>
      <c r="I909" s="7">
        <v>0</v>
      </c>
      <c r="J909" s="2">
        <v>18.89999961853027</v>
      </c>
      <c r="K909" s="23">
        <f t="shared" si="133"/>
        <v>51599.079999999405</v>
      </c>
      <c r="L909" s="23">
        <f t="shared" si="138"/>
        <v>4.2496359743040193</v>
      </c>
      <c r="M909" s="12" t="s">
        <v>11</v>
      </c>
      <c r="N909" s="7">
        <v>25802</v>
      </c>
      <c r="O909" s="7">
        <v>8357.2200000000066</v>
      </c>
      <c r="P909" s="7">
        <f t="shared" si="135"/>
        <v>9496.8409090909172</v>
      </c>
      <c r="Q909" s="7">
        <v>60793</v>
      </c>
      <c r="R909" s="7">
        <v>10138.840000000006</v>
      </c>
      <c r="S909" s="7">
        <f t="shared" si="136"/>
        <v>13518.45333333334</v>
      </c>
      <c r="T909" s="2">
        <v>7009</v>
      </c>
      <c r="U909" s="7">
        <f t="shared" si="134"/>
        <v>454270.28442727285</v>
      </c>
      <c r="V909" s="7">
        <f t="shared" si="137"/>
        <v>64.812424657907385</v>
      </c>
      <c r="W909" s="17"/>
      <c r="X909" s="11"/>
      <c r="AA909" s="11"/>
      <c r="AB909" s="11"/>
      <c r="AC909" s="11"/>
      <c r="AD909" s="11"/>
      <c r="AE909" s="11"/>
    </row>
    <row r="910" spans="1:31" x14ac:dyDescent="0.25">
      <c r="A910" s="15" t="s">
        <v>1</v>
      </c>
      <c r="B910" s="21">
        <v>46081</v>
      </c>
      <c r="C910" s="7">
        <v>4130</v>
      </c>
      <c r="D910" s="7">
        <v>16419.999999998254</v>
      </c>
      <c r="E910" s="7">
        <v>0</v>
      </c>
      <c r="F910" s="7">
        <v>0</v>
      </c>
      <c r="G910" s="7">
        <v>13271</v>
      </c>
      <c r="H910" s="7">
        <v>11313</v>
      </c>
      <c r="I910" s="7">
        <v>0</v>
      </c>
      <c r="J910" s="2">
        <v>19.29999923706055</v>
      </c>
      <c r="K910" s="23">
        <f t="shared" si="133"/>
        <v>46382.589999999109</v>
      </c>
      <c r="L910" s="23">
        <f t="shared" si="138"/>
        <v>3.4950335317609156</v>
      </c>
      <c r="M910" s="12" t="s">
        <v>11</v>
      </c>
      <c r="N910" s="7">
        <v>31554</v>
      </c>
      <c r="O910" s="7">
        <v>20893.050000000007</v>
      </c>
      <c r="P910" s="7">
        <f t="shared" si="135"/>
        <v>23742.102272727279</v>
      </c>
      <c r="Q910" s="7">
        <v>58827</v>
      </c>
      <c r="R910" s="7">
        <v>11991.680000000011</v>
      </c>
      <c r="S910" s="7">
        <f t="shared" si="136"/>
        <v>15988.906666666682</v>
      </c>
      <c r="T910" s="2">
        <v>8411</v>
      </c>
      <c r="U910" s="7">
        <f t="shared" si="134"/>
        <v>543613.15746818203</v>
      </c>
      <c r="V910" s="7">
        <f t="shared" si="137"/>
        <v>64.631215963402923</v>
      </c>
      <c r="W910" s="17"/>
      <c r="X910" s="11"/>
      <c r="AA910" s="11"/>
      <c r="AB910" s="11"/>
      <c r="AC910" s="11"/>
      <c r="AD910" s="11"/>
      <c r="AE910" s="11"/>
    </row>
    <row r="911" spans="1:31" x14ac:dyDescent="0.25">
      <c r="A911" s="15" t="s">
        <v>1</v>
      </c>
      <c r="B911" s="21">
        <v>46082</v>
      </c>
      <c r="C911" s="7">
        <v>4740</v>
      </c>
      <c r="D911" s="7">
        <v>11800.00000000291</v>
      </c>
      <c r="E911" s="7">
        <v>0</v>
      </c>
      <c r="F911" s="7">
        <v>0</v>
      </c>
      <c r="G911" s="7">
        <v>11694</v>
      </c>
      <c r="H911" s="7">
        <v>8254</v>
      </c>
      <c r="I911" s="7">
        <v>0</v>
      </c>
      <c r="J911" s="2">
        <v>17.39999961853027</v>
      </c>
      <c r="K911" s="23">
        <f>C911*10.101+D911*0.51+E911*8.1+F911*5</f>
        <v>53896.74000000149</v>
      </c>
      <c r="L911" s="23">
        <f t="shared" si="138"/>
        <v>4.6089225243716001</v>
      </c>
      <c r="M911" s="12" t="s">
        <v>11</v>
      </c>
      <c r="N911" s="7">
        <v>32494</v>
      </c>
      <c r="O911" s="7">
        <v>5107.1899999999941</v>
      </c>
      <c r="P911" s="7">
        <f t="shared" si="135"/>
        <v>5803.6249999999936</v>
      </c>
      <c r="Q911" s="7">
        <v>76290</v>
      </c>
      <c r="R911" s="7">
        <v>10492.720000000008</v>
      </c>
      <c r="S911" s="7">
        <f t="shared" si="136"/>
        <v>13990.293333333344</v>
      </c>
      <c r="T911" s="2">
        <v>8080</v>
      </c>
      <c r="U911" s="7">
        <f>N911*0.51+P911*7.024+Q911*4.25+S911*11.8</f>
        <v>546654.56333333347</v>
      </c>
      <c r="V911" s="7">
        <f t="shared" si="137"/>
        <v>67.655267739273938</v>
      </c>
      <c r="W911" s="17"/>
      <c r="X911" s="11"/>
      <c r="AA911" s="11"/>
      <c r="AB911" s="11"/>
      <c r="AC911" s="11"/>
      <c r="AD911" s="11"/>
      <c r="AE911" s="11"/>
    </row>
    <row r="912" spans="1:31" x14ac:dyDescent="0.25">
      <c r="A912" s="15" t="s">
        <v>1</v>
      </c>
      <c r="B912" s="21">
        <v>46083</v>
      </c>
      <c r="C912" s="7">
        <v>3155</v>
      </c>
      <c r="D912" s="7">
        <v>7540.0000000008731</v>
      </c>
      <c r="E912" s="7">
        <v>0</v>
      </c>
      <c r="F912" s="7">
        <v>0</v>
      </c>
      <c r="G912" s="7">
        <v>7987</v>
      </c>
      <c r="H912" s="7">
        <v>4392</v>
      </c>
      <c r="I912" s="7">
        <v>0</v>
      </c>
      <c r="J912" s="2">
        <v>12.69999980926514</v>
      </c>
      <c r="K912" s="23">
        <f t="shared" ref="K912:K941" si="139">C912*10.101+D912*0.51+E912*8.1+F912*5</f>
        <v>35714.055000000444</v>
      </c>
      <c r="L912" s="23">
        <f t="shared" si="138"/>
        <v>4.4715231000376168</v>
      </c>
      <c r="M912" s="12" t="s">
        <v>11</v>
      </c>
      <c r="N912" s="7">
        <v>36729</v>
      </c>
      <c r="O912" s="7">
        <v>19500.179999999997</v>
      </c>
      <c r="P912" s="7">
        <f t="shared" si="135"/>
        <v>22159.295454545452</v>
      </c>
      <c r="Q912" s="7">
        <v>75390</v>
      </c>
      <c r="R912" s="7">
        <v>11557.800000000007</v>
      </c>
      <c r="S912" s="7">
        <f t="shared" si="136"/>
        <v>15410.400000000009</v>
      </c>
      <c r="T912" s="2">
        <v>9253</v>
      </c>
      <c r="U912" s="7">
        <f t="shared" ref="U912:U941" si="140">N912*0.51+P912*7.024+Q912*4.25+S912*11.8</f>
        <v>676628.90127272741</v>
      </c>
      <c r="V912" s="7">
        <f t="shared" si="137"/>
        <v>73.125354076810481</v>
      </c>
      <c r="W912" s="17"/>
      <c r="X912" s="11"/>
      <c r="AA912" s="11"/>
      <c r="AB912" s="11"/>
      <c r="AC912" s="11"/>
      <c r="AD912" s="11"/>
      <c r="AE912" s="11"/>
    </row>
    <row r="913" spans="1:31" x14ac:dyDescent="0.25">
      <c r="A913" s="15" t="s">
        <v>1</v>
      </c>
      <c r="B913" s="21">
        <v>46084</v>
      </c>
      <c r="C913" s="7">
        <v>3410</v>
      </c>
      <c r="D913" s="7">
        <v>13110.000000000582</v>
      </c>
      <c r="E913" s="7">
        <v>3650</v>
      </c>
      <c r="F913" s="7">
        <v>0</v>
      </c>
      <c r="G913" s="7">
        <v>11546</v>
      </c>
      <c r="H913" s="7">
        <v>9326</v>
      </c>
      <c r="I913" s="7">
        <v>23543</v>
      </c>
      <c r="J913" s="2">
        <v>11.55000019073486</v>
      </c>
      <c r="K913" s="23">
        <f t="shared" si="139"/>
        <v>70695.5100000003</v>
      </c>
      <c r="L913" s="23">
        <f t="shared" si="138"/>
        <v>6.1229438766672697</v>
      </c>
      <c r="M913" s="12" t="s">
        <v>11</v>
      </c>
      <c r="N913" s="7">
        <v>31699</v>
      </c>
      <c r="O913" s="7">
        <v>24440.73000000001</v>
      </c>
      <c r="P913" s="7">
        <f t="shared" si="135"/>
        <v>27773.556818181831</v>
      </c>
      <c r="Q913" s="7">
        <v>50684</v>
      </c>
      <c r="R913" s="7">
        <v>10492.720000000008</v>
      </c>
      <c r="S913" s="7">
        <f t="shared" si="136"/>
        <v>13990.293333333344</v>
      </c>
      <c r="T913" s="2">
        <v>8235</v>
      </c>
      <c r="U913" s="7">
        <f t="shared" si="140"/>
        <v>591740.41442424268</v>
      </c>
      <c r="V913" s="7">
        <f t="shared" si="137"/>
        <v>71.856759492925647</v>
      </c>
      <c r="W913" s="17"/>
      <c r="X913" s="11"/>
      <c r="AA913" s="11"/>
      <c r="AB913" s="11"/>
      <c r="AC913" s="11"/>
      <c r="AD913" s="11"/>
      <c r="AE913" s="11"/>
    </row>
    <row r="914" spans="1:31" x14ac:dyDescent="0.25">
      <c r="A914" s="15" t="s">
        <v>1</v>
      </c>
      <c r="B914" s="21">
        <v>46085</v>
      </c>
      <c r="C914" s="7">
        <v>5247</v>
      </c>
      <c r="D914" s="7">
        <v>14169.999999998254</v>
      </c>
      <c r="E914" s="7">
        <v>0</v>
      </c>
      <c r="F914" s="7">
        <v>0</v>
      </c>
      <c r="G914" s="7">
        <v>8548</v>
      </c>
      <c r="H914" s="7">
        <v>8117</v>
      </c>
      <c r="I914" s="7">
        <v>0</v>
      </c>
      <c r="J914" s="2">
        <v>16.04999923706055</v>
      </c>
      <c r="K914" s="23">
        <f t="shared" si="139"/>
        <v>60226.646999999117</v>
      </c>
      <c r="L914" s="23">
        <f t="shared" si="138"/>
        <v>7.0457003977537571</v>
      </c>
      <c r="M914" s="12" t="s">
        <v>11</v>
      </c>
      <c r="N914" s="7">
        <v>25430</v>
      </c>
      <c r="O914" s="7">
        <v>0</v>
      </c>
      <c r="P914" s="7">
        <f t="shared" si="135"/>
        <v>0</v>
      </c>
      <c r="Q914" s="7">
        <v>68382</v>
      </c>
      <c r="R914" s="7">
        <v>0</v>
      </c>
      <c r="S914" s="7">
        <f t="shared" si="136"/>
        <v>0</v>
      </c>
      <c r="T914" s="2">
        <v>6517</v>
      </c>
      <c r="U914" s="7">
        <f t="shared" si="140"/>
        <v>303592.8</v>
      </c>
      <c r="V914" s="7">
        <f t="shared" si="137"/>
        <v>46.584747583243825</v>
      </c>
      <c r="W914" s="17"/>
      <c r="X914" s="11"/>
      <c r="AA914" s="11"/>
      <c r="AB914" s="11"/>
      <c r="AC914" s="11"/>
      <c r="AD914" s="11"/>
      <c r="AE914" s="11"/>
    </row>
    <row r="915" spans="1:31" x14ac:dyDescent="0.25">
      <c r="A915" s="15" t="s">
        <v>1</v>
      </c>
      <c r="B915" s="21">
        <v>46086</v>
      </c>
      <c r="C915" s="8">
        <v>3130</v>
      </c>
      <c r="D915" s="7">
        <v>12500</v>
      </c>
      <c r="E915" s="8">
        <v>3675</v>
      </c>
      <c r="F915" s="7">
        <v>0</v>
      </c>
      <c r="G915" s="8">
        <v>10701</v>
      </c>
      <c r="H915" s="8">
        <v>7276</v>
      </c>
      <c r="I915" s="8">
        <v>22911</v>
      </c>
      <c r="J915" s="2">
        <v>13.94999980926514</v>
      </c>
      <c r="K915" s="23">
        <f t="shared" si="139"/>
        <v>67758.63</v>
      </c>
      <c r="L915" s="23">
        <f t="shared" si="138"/>
        <v>6.3319904681805443</v>
      </c>
      <c r="M915" s="12" t="s">
        <v>11</v>
      </c>
      <c r="N915" s="7">
        <v>24299</v>
      </c>
      <c r="O915" s="7">
        <v>0</v>
      </c>
      <c r="P915" s="7">
        <f t="shared" si="135"/>
        <v>0</v>
      </c>
      <c r="Q915" s="7">
        <v>66784</v>
      </c>
      <c r="R915" s="7">
        <v>0</v>
      </c>
      <c r="S915" s="7">
        <f t="shared" si="136"/>
        <v>0</v>
      </c>
      <c r="T915" s="2">
        <v>5751</v>
      </c>
      <c r="U915" s="7">
        <f t="shared" si="140"/>
        <v>296224.49</v>
      </c>
      <c r="V915" s="7">
        <f t="shared" si="137"/>
        <v>51.508344635715524</v>
      </c>
      <c r="W915" s="17"/>
      <c r="X915" s="11"/>
      <c r="AA915" s="11"/>
      <c r="AB915" s="11"/>
      <c r="AC915" s="11"/>
      <c r="AD915" s="11"/>
      <c r="AE915" s="11"/>
    </row>
    <row r="916" spans="1:31" x14ac:dyDescent="0.25">
      <c r="A916" s="15" t="s">
        <v>1</v>
      </c>
      <c r="B916" s="21">
        <v>46087</v>
      </c>
      <c r="C916" s="7">
        <v>5606</v>
      </c>
      <c r="D916" s="7">
        <v>11309.999999997672</v>
      </c>
      <c r="E916" s="7">
        <v>3425</v>
      </c>
      <c r="F916" s="7">
        <v>0</v>
      </c>
      <c r="G916" s="7">
        <v>9564</v>
      </c>
      <c r="H916" s="7">
        <v>6032</v>
      </c>
      <c r="I916" s="7">
        <v>18015</v>
      </c>
      <c r="J916" s="2">
        <v>14.60000038146973</v>
      </c>
      <c r="K916" s="23">
        <f t="shared" si="139"/>
        <v>90136.805999998818</v>
      </c>
      <c r="L916" s="23">
        <f t="shared" si="138"/>
        <v>9.4245928481805539</v>
      </c>
      <c r="M916" s="12" t="s">
        <v>11</v>
      </c>
      <c r="N916" s="7">
        <v>20438</v>
      </c>
      <c r="O916" s="7">
        <v>0</v>
      </c>
      <c r="P916" s="7">
        <f t="shared" si="135"/>
        <v>0</v>
      </c>
      <c r="Q916" s="7">
        <v>59881</v>
      </c>
      <c r="R916" s="7">
        <v>0</v>
      </c>
      <c r="S916" s="7">
        <f t="shared" si="136"/>
        <v>0</v>
      </c>
      <c r="T916" s="2">
        <v>5220</v>
      </c>
      <c r="U916" s="7">
        <f t="shared" si="140"/>
        <v>264917.63</v>
      </c>
      <c r="V916" s="7">
        <f t="shared" si="137"/>
        <v>50.750503831417625</v>
      </c>
      <c r="W916" s="17"/>
      <c r="X916" s="11"/>
      <c r="AA916" s="11"/>
      <c r="AB916" s="11"/>
      <c r="AC916" s="11"/>
      <c r="AD916" s="11"/>
      <c r="AE916" s="11"/>
    </row>
    <row r="917" spans="1:31" x14ac:dyDescent="0.25">
      <c r="A917" s="15" t="s">
        <v>1</v>
      </c>
      <c r="B917" s="21">
        <v>46088</v>
      </c>
      <c r="C917" s="7">
        <v>4135</v>
      </c>
      <c r="D917" s="7">
        <v>13250</v>
      </c>
      <c r="E917" s="7">
        <v>0</v>
      </c>
      <c r="F917" s="7">
        <v>0</v>
      </c>
      <c r="G917" s="7">
        <v>10549</v>
      </c>
      <c r="H917" s="7">
        <v>7128</v>
      </c>
      <c r="I917" s="7">
        <v>0</v>
      </c>
      <c r="J917" s="2">
        <v>16.35000038146973</v>
      </c>
      <c r="K917" s="23">
        <f t="shared" si="139"/>
        <v>48525.135000000002</v>
      </c>
      <c r="L917" s="23">
        <f t="shared" si="138"/>
        <v>4.5999748791354635</v>
      </c>
      <c r="M917" s="12" t="s">
        <v>11</v>
      </c>
      <c r="N917" s="7">
        <v>25382</v>
      </c>
      <c r="O917" s="7">
        <v>0</v>
      </c>
      <c r="P917" s="7">
        <f t="shared" si="135"/>
        <v>0</v>
      </c>
      <c r="Q917" s="7">
        <v>82477</v>
      </c>
      <c r="R917" s="7">
        <v>0</v>
      </c>
      <c r="S917" s="7">
        <f t="shared" si="136"/>
        <v>0</v>
      </c>
      <c r="T917" s="2">
        <v>6691</v>
      </c>
      <c r="U917" s="7">
        <f t="shared" si="140"/>
        <v>363472.07</v>
      </c>
      <c r="V917" s="7">
        <f t="shared" si="137"/>
        <v>54.322533253624272</v>
      </c>
      <c r="W917" s="17"/>
      <c r="X917" s="11"/>
      <c r="AA917" s="11"/>
      <c r="AB917" s="11"/>
      <c r="AC917" s="11"/>
      <c r="AD917" s="11"/>
      <c r="AE917" s="11"/>
    </row>
    <row r="918" spans="1:31" x14ac:dyDescent="0.25">
      <c r="A918" s="15" t="s">
        <v>1</v>
      </c>
      <c r="B918" s="21">
        <v>46089</v>
      </c>
      <c r="C918" s="7">
        <v>3310</v>
      </c>
      <c r="D918" s="7">
        <v>13319.999999999709</v>
      </c>
      <c r="E918" s="7">
        <v>0</v>
      </c>
      <c r="F918" s="7">
        <v>0</v>
      </c>
      <c r="G918" s="7">
        <v>8450</v>
      </c>
      <c r="H918" s="7">
        <v>6996</v>
      </c>
      <c r="I918" s="7">
        <v>0</v>
      </c>
      <c r="J918" s="2">
        <v>18</v>
      </c>
      <c r="K918" s="23">
        <f t="shared" si="139"/>
        <v>40227.509999999857</v>
      </c>
      <c r="L918" s="23">
        <f t="shared" si="138"/>
        <v>4.7606520710059002</v>
      </c>
      <c r="M918" s="12" t="s">
        <v>11</v>
      </c>
      <c r="N918" s="7">
        <v>28114</v>
      </c>
      <c r="O918" s="7">
        <v>5571.480000000005</v>
      </c>
      <c r="P918" s="7">
        <f t="shared" si="135"/>
        <v>6331.2272727272784</v>
      </c>
      <c r="Q918" s="7">
        <v>71933</v>
      </c>
      <c r="R918" s="7">
        <v>2997.9199999999696</v>
      </c>
      <c r="S918" s="7">
        <f t="shared" si="136"/>
        <v>3997.226666666626</v>
      </c>
      <c r="T918" s="2">
        <v>7270</v>
      </c>
      <c r="U918" s="7">
        <f t="shared" si="140"/>
        <v>411691.20503030258</v>
      </c>
      <c r="V918" s="7">
        <f t="shared" si="137"/>
        <v>56.62877648284767</v>
      </c>
      <c r="W918" s="17"/>
      <c r="X918" s="11"/>
      <c r="AA918" s="11"/>
      <c r="AB918" s="11"/>
      <c r="AC918" s="11"/>
      <c r="AD918" s="11"/>
      <c r="AE918" s="11"/>
    </row>
    <row r="919" spans="1:31" x14ac:dyDescent="0.25">
      <c r="A919" s="15" t="s">
        <v>1</v>
      </c>
      <c r="B919" s="21">
        <v>46090</v>
      </c>
      <c r="C919" s="7">
        <v>3790</v>
      </c>
      <c r="D919" s="7">
        <v>8339.9999999965075</v>
      </c>
      <c r="E919" s="7">
        <v>0</v>
      </c>
      <c r="F919" s="7">
        <v>0</v>
      </c>
      <c r="G919" s="7">
        <v>6834</v>
      </c>
      <c r="H919" s="7">
        <v>5608</v>
      </c>
      <c r="I919" s="7">
        <v>0</v>
      </c>
      <c r="J919" s="2">
        <v>14.80000019073486</v>
      </c>
      <c r="K919" s="23">
        <f t="shared" si="139"/>
        <v>42536.18999999822</v>
      </c>
      <c r="L919" s="23">
        <f t="shared" si="138"/>
        <v>6.2242010535554906</v>
      </c>
      <c r="M919" s="12" t="s">
        <v>11</v>
      </c>
      <c r="N919" s="7">
        <v>24607</v>
      </c>
      <c r="O919" s="7">
        <v>12591.299999999997</v>
      </c>
      <c r="P919" s="7">
        <f t="shared" si="135"/>
        <v>14308.295454545452</v>
      </c>
      <c r="Q919" s="7">
        <v>51492</v>
      </c>
      <c r="R919" s="7">
        <v>6076.6999999999935</v>
      </c>
      <c r="S919" s="7">
        <f t="shared" si="136"/>
        <v>8102.2666666666582</v>
      </c>
      <c r="T919" s="2">
        <v>5889</v>
      </c>
      <c r="U919" s="7">
        <f t="shared" si="140"/>
        <v>427498.78393939382</v>
      </c>
      <c r="V919" s="7">
        <f t="shared" si="137"/>
        <v>72.592763447001843</v>
      </c>
      <c r="W919" s="17"/>
      <c r="X919" s="11"/>
      <c r="AA919" s="11"/>
      <c r="AB919" s="11"/>
      <c r="AC919" s="11"/>
      <c r="AD919" s="11"/>
      <c r="AE919" s="11"/>
    </row>
    <row r="920" spans="1:31" x14ac:dyDescent="0.25">
      <c r="A920" s="15" t="s">
        <v>1</v>
      </c>
      <c r="B920" s="21">
        <v>46091</v>
      </c>
      <c r="C920" s="8">
        <v>4320</v>
      </c>
      <c r="D920" s="8">
        <v>13319.999999999709</v>
      </c>
      <c r="E920" s="8">
        <v>0</v>
      </c>
      <c r="F920" s="7">
        <v>0</v>
      </c>
      <c r="G920" s="8">
        <v>9269</v>
      </c>
      <c r="H920" s="8">
        <v>7138</v>
      </c>
      <c r="I920" s="8">
        <v>0</v>
      </c>
      <c r="J920" s="2">
        <v>15.89999961853027</v>
      </c>
      <c r="K920" s="23">
        <f t="shared" si="139"/>
        <v>50429.519999999859</v>
      </c>
      <c r="L920" s="23">
        <f t="shared" si="138"/>
        <v>5.4406645808609193</v>
      </c>
      <c r="M920" s="12" t="s">
        <v>11</v>
      </c>
      <c r="N920" s="7">
        <v>23788</v>
      </c>
      <c r="O920" s="7">
        <v>4178.6100000000033</v>
      </c>
      <c r="P920" s="7">
        <f t="shared" si="135"/>
        <v>4748.4204545454586</v>
      </c>
      <c r="Q920" s="7">
        <v>56626</v>
      </c>
      <c r="R920" s="7">
        <v>6745.3199999999897</v>
      </c>
      <c r="S920" s="7">
        <f t="shared" si="136"/>
        <v>8993.7599999999857</v>
      </c>
      <c r="T920" s="2">
        <v>5473</v>
      </c>
      <c r="U920" s="7">
        <f t="shared" si="140"/>
        <v>392271.65327272716</v>
      </c>
      <c r="V920" s="7">
        <f t="shared" si="137"/>
        <v>71.673972825274461</v>
      </c>
      <c r="W920" s="17"/>
      <c r="X920" s="11"/>
      <c r="AA920" s="11"/>
      <c r="AB920" s="11"/>
      <c r="AC920" s="11"/>
      <c r="AD920" s="11"/>
      <c r="AE920" s="11"/>
    </row>
    <row r="921" spans="1:31" x14ac:dyDescent="0.25">
      <c r="A921" s="15" t="s">
        <v>1</v>
      </c>
      <c r="B921" s="21">
        <v>46092</v>
      </c>
      <c r="C921" s="7">
        <v>3770</v>
      </c>
      <c r="D921" s="7">
        <v>13850.000000005821</v>
      </c>
      <c r="E921" s="7">
        <v>0</v>
      </c>
      <c r="F921" s="7">
        <v>0</v>
      </c>
      <c r="G921" s="7">
        <v>8316</v>
      </c>
      <c r="H921" s="7">
        <v>7250</v>
      </c>
      <c r="I921" s="7">
        <v>0</v>
      </c>
      <c r="J921" s="2">
        <v>20.39999961853027</v>
      </c>
      <c r="K921" s="23">
        <f t="shared" si="139"/>
        <v>45144.270000002973</v>
      </c>
      <c r="L921" s="23">
        <f t="shared" si="138"/>
        <v>5.4286038961042538</v>
      </c>
      <c r="M921" s="12" t="s">
        <v>11</v>
      </c>
      <c r="N921" s="7">
        <v>16194</v>
      </c>
      <c r="O921" s="7">
        <v>4642.8999999999942</v>
      </c>
      <c r="P921" s="7">
        <f t="shared" si="135"/>
        <v>5276.0227272727207</v>
      </c>
      <c r="Q921" s="7">
        <v>24290</v>
      </c>
      <c r="R921" s="7">
        <v>4892.4800000000178</v>
      </c>
      <c r="S921" s="7">
        <f t="shared" si="136"/>
        <v>6523.30666666669</v>
      </c>
      <c r="T921" s="2">
        <v>2667</v>
      </c>
      <c r="U921" s="7">
        <f t="shared" si="140"/>
        <v>225525.24230303051</v>
      </c>
      <c r="V921" s="7">
        <f t="shared" si="137"/>
        <v>84.561395689175299</v>
      </c>
      <c r="W921" s="17"/>
      <c r="X921" s="11"/>
      <c r="AA921" s="11"/>
      <c r="AB921" s="11"/>
      <c r="AC921" s="11"/>
      <c r="AD921" s="11"/>
      <c r="AE921" s="11"/>
    </row>
    <row r="922" spans="1:31" x14ac:dyDescent="0.25">
      <c r="A922" s="15" t="s">
        <v>1</v>
      </c>
      <c r="B922" s="21">
        <v>46093</v>
      </c>
      <c r="C922" s="7">
        <v>5558</v>
      </c>
      <c r="D922" s="7">
        <v>11809.999999997672</v>
      </c>
      <c r="E922" s="7">
        <v>3225</v>
      </c>
      <c r="F922" s="7">
        <v>0</v>
      </c>
      <c r="G922" s="7">
        <v>9590</v>
      </c>
      <c r="H922" s="7">
        <v>6664</v>
      </c>
      <c r="I922" s="7">
        <v>20080</v>
      </c>
      <c r="J922" s="2">
        <v>21.04999923706055</v>
      </c>
      <c r="K922" s="23">
        <f t="shared" si="139"/>
        <v>88286.95799999882</v>
      </c>
      <c r="L922" s="23">
        <f t="shared" si="138"/>
        <v>9.2061478623564987</v>
      </c>
      <c r="M922" s="12" t="s">
        <v>11</v>
      </c>
      <c r="N922" s="7">
        <v>26007</v>
      </c>
      <c r="O922" s="7">
        <v>4642.8999999999942</v>
      </c>
      <c r="P922" s="7">
        <f t="shared" si="135"/>
        <v>5276.0227272727207</v>
      </c>
      <c r="Q922" s="7">
        <v>68593</v>
      </c>
      <c r="R922" s="7">
        <v>12179.050000000007</v>
      </c>
      <c r="S922" s="7">
        <f t="shared" si="136"/>
        <v>16238.733333333343</v>
      </c>
      <c r="T922" s="2">
        <v>6386</v>
      </c>
      <c r="U922" s="7">
        <f t="shared" si="140"/>
        <v>533459.65696969698</v>
      </c>
      <c r="V922" s="7">
        <f t="shared" si="137"/>
        <v>83.535805977090035</v>
      </c>
      <c r="W922" s="17"/>
      <c r="X922" s="11"/>
      <c r="AA922" s="11"/>
      <c r="AB922" s="11"/>
      <c r="AC922" s="11"/>
      <c r="AD922" s="11"/>
      <c r="AE922" s="11"/>
    </row>
    <row r="923" spans="1:31" x14ac:dyDescent="0.25">
      <c r="A923" s="15" t="s">
        <v>1</v>
      </c>
      <c r="B923" s="21">
        <v>46094</v>
      </c>
      <c r="C923" s="7">
        <v>3150</v>
      </c>
      <c r="D923" s="7">
        <v>13040.000000000873</v>
      </c>
      <c r="E923" s="7">
        <v>0</v>
      </c>
      <c r="F923" s="7">
        <v>0</v>
      </c>
      <c r="G923" s="7">
        <v>10792</v>
      </c>
      <c r="H923" s="7">
        <v>7055</v>
      </c>
      <c r="I923" s="7">
        <v>0</v>
      </c>
      <c r="J923" s="2">
        <v>18.25</v>
      </c>
      <c r="K923" s="23">
        <f t="shared" si="139"/>
        <v>38468.550000000447</v>
      </c>
      <c r="L923" s="23">
        <f t="shared" si="138"/>
        <v>3.5645431801334735</v>
      </c>
      <c r="M923" s="12" t="s">
        <v>11</v>
      </c>
      <c r="N923" s="7">
        <v>29858</v>
      </c>
      <c r="O923" s="7">
        <v>17643.020000000004</v>
      </c>
      <c r="P923" s="7">
        <f t="shared" si="135"/>
        <v>20048.886363636368</v>
      </c>
      <c r="Q923" s="7">
        <v>60113</v>
      </c>
      <c r="R923" s="7">
        <v>11557.800000000007</v>
      </c>
      <c r="S923" s="7">
        <f t="shared" si="136"/>
        <v>15410.400000000009</v>
      </c>
      <c r="T923" s="2">
        <v>8026</v>
      </c>
      <c r="U923" s="7">
        <f t="shared" si="140"/>
        <v>593373.92781818192</v>
      </c>
      <c r="V923" s="7">
        <f t="shared" si="137"/>
        <v>73.931463720182151</v>
      </c>
      <c r="W923" s="17"/>
      <c r="X923" s="11"/>
      <c r="AA923" s="11"/>
      <c r="AB923" s="11"/>
      <c r="AC923" s="11"/>
      <c r="AD923" s="11"/>
      <c r="AE923" s="11"/>
    </row>
    <row r="924" spans="1:31" x14ac:dyDescent="0.25">
      <c r="A924" s="15" t="s">
        <v>1</v>
      </c>
      <c r="B924" s="21">
        <v>46095</v>
      </c>
      <c r="C924" s="7">
        <v>3522</v>
      </c>
      <c r="D924" s="7">
        <v>13210.000000000036</v>
      </c>
      <c r="E924" s="7">
        <v>3400</v>
      </c>
      <c r="F924" s="7">
        <v>0</v>
      </c>
      <c r="G924" s="7">
        <v>9506</v>
      </c>
      <c r="H924" s="7">
        <v>7214</v>
      </c>
      <c r="I924" s="7">
        <v>17911</v>
      </c>
      <c r="J924" s="2">
        <v>21.29999923706055</v>
      </c>
      <c r="K924" s="23">
        <f t="shared" si="139"/>
        <v>69852.822000000015</v>
      </c>
      <c r="L924" s="23">
        <f t="shared" si="138"/>
        <v>7.348287607826637</v>
      </c>
      <c r="M924" s="12" t="s">
        <v>11</v>
      </c>
      <c r="N924" s="7">
        <v>33882</v>
      </c>
      <c r="O924" s="7">
        <v>29370.029999999992</v>
      </c>
      <c r="P924" s="7">
        <f t="shared" si="135"/>
        <v>33375.034090909081</v>
      </c>
      <c r="Q924" s="7">
        <v>64226</v>
      </c>
      <c r="R924" s="7">
        <v>13865.380000000005</v>
      </c>
      <c r="S924" s="7">
        <f t="shared" si="136"/>
        <v>18487.17333333334</v>
      </c>
      <c r="T924" s="2">
        <v>8131</v>
      </c>
      <c r="U924" s="7">
        <f t="shared" si="140"/>
        <v>742815.20478787879</v>
      </c>
      <c r="V924" s="7">
        <f t="shared" si="137"/>
        <v>91.355946966901826</v>
      </c>
      <c r="W924" s="17"/>
      <c r="X924" s="11"/>
      <c r="AA924" s="11"/>
      <c r="AB924" s="11"/>
      <c r="AC924" s="11"/>
      <c r="AD924" s="11"/>
      <c r="AE924" s="11"/>
    </row>
    <row r="925" spans="1:31" x14ac:dyDescent="0.25">
      <c r="A925" s="15" t="s">
        <v>1</v>
      </c>
      <c r="B925" s="21">
        <v>46096</v>
      </c>
      <c r="C925" s="8">
        <v>4570</v>
      </c>
      <c r="D925" s="8">
        <v>11989.999999997963</v>
      </c>
      <c r="E925" s="8">
        <v>0</v>
      </c>
      <c r="F925" s="7">
        <v>0</v>
      </c>
      <c r="G925" s="8">
        <v>7455</v>
      </c>
      <c r="H925" s="8">
        <v>7222</v>
      </c>
      <c r="I925" s="8">
        <v>0</v>
      </c>
      <c r="J925" s="2">
        <v>23.14999961853027</v>
      </c>
      <c r="K925" s="23">
        <f t="shared" si="139"/>
        <v>52276.469999998968</v>
      </c>
      <c r="L925" s="23">
        <f t="shared" si="138"/>
        <v>7.0122696177060986</v>
      </c>
      <c r="M925" s="12" t="s">
        <v>11</v>
      </c>
      <c r="N925" s="7">
        <v>35601</v>
      </c>
      <c r="O925" s="7">
        <v>31571.720000000008</v>
      </c>
      <c r="P925" s="7">
        <f t="shared" si="135"/>
        <v>35876.954545454551</v>
      </c>
      <c r="Q925" s="7">
        <v>53155</v>
      </c>
      <c r="R925" s="7">
        <v>16863.299999999988</v>
      </c>
      <c r="S925" s="7">
        <f t="shared" si="136"/>
        <v>22484.399999999983</v>
      </c>
      <c r="T925" s="2">
        <v>8009</v>
      </c>
      <c r="U925" s="7">
        <f t="shared" si="140"/>
        <v>761380.90872727265</v>
      </c>
      <c r="V925" s="7">
        <f t="shared" si="137"/>
        <v>95.065664718101218</v>
      </c>
      <c r="W925" s="17"/>
      <c r="X925" s="11"/>
      <c r="AA925" s="11"/>
      <c r="AB925" s="11"/>
      <c r="AC925" s="11"/>
      <c r="AD925" s="11"/>
      <c r="AE925" s="11"/>
    </row>
    <row r="926" spans="1:31" x14ac:dyDescent="0.25">
      <c r="A926" s="15" t="s">
        <v>1</v>
      </c>
      <c r="B926" s="21">
        <v>46097</v>
      </c>
      <c r="C926" s="7">
        <v>3784</v>
      </c>
      <c r="D926" s="7">
        <v>9330.0000000017462</v>
      </c>
      <c r="E926" s="7">
        <v>0</v>
      </c>
      <c r="F926" s="7">
        <v>0</v>
      </c>
      <c r="G926" s="7">
        <v>6809</v>
      </c>
      <c r="H926" s="7">
        <v>5928</v>
      </c>
      <c r="I926" s="7">
        <v>0</v>
      </c>
      <c r="J926" s="2">
        <v>24.29999923706055</v>
      </c>
      <c r="K926" s="23">
        <f t="shared" si="139"/>
        <v>42980.484000000892</v>
      </c>
      <c r="L926" s="23">
        <f t="shared" si="138"/>
        <v>6.3123048905861197</v>
      </c>
      <c r="M926" s="12" t="s">
        <v>11</v>
      </c>
      <c r="N926" s="7">
        <v>33743</v>
      </c>
      <c r="O926" s="7">
        <v>20082.839999999997</v>
      </c>
      <c r="P926" s="7">
        <f t="shared" si="135"/>
        <v>22821.409090909088</v>
      </c>
      <c r="Q926" s="7">
        <v>49039</v>
      </c>
      <c r="R926" s="7">
        <v>20176.820000000007</v>
      </c>
      <c r="S926" s="7">
        <f t="shared" si="136"/>
        <v>26902.426666666677</v>
      </c>
      <c r="T926" s="2">
        <v>6910</v>
      </c>
      <c r="U926" s="7">
        <f t="shared" si="140"/>
        <v>703370.89212121232</v>
      </c>
      <c r="V926" s="7">
        <f t="shared" si="137"/>
        <v>101.79028829539976</v>
      </c>
      <c r="W926" s="17"/>
      <c r="X926" s="11"/>
      <c r="AA926" s="11"/>
      <c r="AB926" s="11"/>
      <c r="AC926" s="11"/>
      <c r="AD926" s="11"/>
      <c r="AE926" s="11"/>
    </row>
    <row r="927" spans="1:31" x14ac:dyDescent="0.25">
      <c r="A927" s="15" t="s">
        <v>1</v>
      </c>
      <c r="B927" s="21">
        <v>46098</v>
      </c>
      <c r="C927" s="7">
        <v>2903</v>
      </c>
      <c r="D927" s="7">
        <v>14349.999999998545</v>
      </c>
      <c r="E927" s="7">
        <v>3350</v>
      </c>
      <c r="F927" s="7">
        <v>0</v>
      </c>
      <c r="G927" s="7">
        <v>7798</v>
      </c>
      <c r="H927" s="7">
        <v>7578</v>
      </c>
      <c r="I927" s="7">
        <v>20845</v>
      </c>
      <c r="J927" s="2">
        <v>23.10000038146973</v>
      </c>
      <c r="K927" s="23">
        <f t="shared" si="139"/>
        <v>63776.702999999259</v>
      </c>
      <c r="L927" s="23">
        <f t="shared" si="138"/>
        <v>8.1785974608873122</v>
      </c>
      <c r="M927" s="12" t="s">
        <v>11</v>
      </c>
      <c r="N927" s="7">
        <v>18023</v>
      </c>
      <c r="O927" s="7">
        <v>0</v>
      </c>
      <c r="P927" s="7">
        <f t="shared" si="135"/>
        <v>0</v>
      </c>
      <c r="Q927" s="7">
        <v>46262</v>
      </c>
      <c r="R927" s="7">
        <v>0</v>
      </c>
      <c r="S927" s="7">
        <f t="shared" si="136"/>
        <v>0</v>
      </c>
      <c r="T927" s="2">
        <v>3887</v>
      </c>
      <c r="U927" s="7">
        <f t="shared" si="140"/>
        <v>205805.23</v>
      </c>
      <c r="V927" s="7">
        <f t="shared" si="137"/>
        <v>52.947062001543607</v>
      </c>
      <c r="W927" s="17"/>
      <c r="X927" s="11"/>
      <c r="AA927" s="11"/>
      <c r="AB927" s="11"/>
      <c r="AC927" s="11"/>
      <c r="AD927" s="11"/>
      <c r="AE927" s="11"/>
    </row>
    <row r="928" spans="1:31" x14ac:dyDescent="0.25">
      <c r="A928" s="15" t="s">
        <v>1</v>
      </c>
      <c r="B928" s="21">
        <v>46099</v>
      </c>
      <c r="C928" s="7">
        <v>3575</v>
      </c>
      <c r="D928" s="7">
        <v>10919.999999998254</v>
      </c>
      <c r="E928" s="7">
        <v>5400</v>
      </c>
      <c r="F928" s="7">
        <v>0</v>
      </c>
      <c r="G928" s="7">
        <v>10028</v>
      </c>
      <c r="H928" s="7">
        <v>6220</v>
      </c>
      <c r="I928" s="7">
        <v>36273</v>
      </c>
      <c r="J928" s="2">
        <v>18.54999923706055</v>
      </c>
      <c r="K928" s="23">
        <f t="shared" si="139"/>
        <v>85420.274999999121</v>
      </c>
      <c r="L928" s="23">
        <f t="shared" si="138"/>
        <v>8.5181766055045003</v>
      </c>
      <c r="M928" s="12" t="s">
        <v>11</v>
      </c>
      <c r="N928" s="7">
        <v>34572</v>
      </c>
      <c r="O928" s="7">
        <v>25071.66</v>
      </c>
      <c r="P928" s="7">
        <f t="shared" si="135"/>
        <v>28490.522727272728</v>
      </c>
      <c r="Q928" s="7">
        <v>55669</v>
      </c>
      <c r="R928" s="7">
        <v>22109.659999999996</v>
      </c>
      <c r="S928" s="7">
        <f t="shared" si="136"/>
        <v>29479.546666666662</v>
      </c>
      <c r="T928" s="2">
        <v>7500</v>
      </c>
      <c r="U928" s="7">
        <f t="shared" si="140"/>
        <v>802201.05230303027</v>
      </c>
      <c r="V928" s="7">
        <f t="shared" si="137"/>
        <v>106.9601403070707</v>
      </c>
      <c r="W928" s="17"/>
      <c r="X928" s="11"/>
      <c r="AA928" s="11"/>
      <c r="AB928" s="11"/>
      <c r="AC928" s="11"/>
      <c r="AD928" s="11"/>
      <c r="AE928" s="11"/>
    </row>
    <row r="929" spans="1:31" x14ac:dyDescent="0.25">
      <c r="A929" s="15" t="s">
        <v>1</v>
      </c>
      <c r="B929" s="21">
        <v>46100</v>
      </c>
      <c r="C929" s="7">
        <v>3997</v>
      </c>
      <c r="D929" s="7">
        <v>7080.0000000017462</v>
      </c>
      <c r="E929" s="7">
        <v>0</v>
      </c>
      <c r="F929" s="7">
        <v>0</v>
      </c>
      <c r="G929" s="7">
        <v>8130</v>
      </c>
      <c r="H929" s="7">
        <v>3285</v>
      </c>
      <c r="I929" s="7">
        <v>0</v>
      </c>
      <c r="J929" s="2">
        <v>19.95000076293945</v>
      </c>
      <c r="K929" s="23">
        <f t="shared" si="139"/>
        <v>43984.497000000891</v>
      </c>
      <c r="L929" s="23">
        <f t="shared" si="138"/>
        <v>5.4101472324724345</v>
      </c>
      <c r="M929" s="12" t="s">
        <v>11</v>
      </c>
      <c r="N929" s="7">
        <v>33008</v>
      </c>
      <c r="O929" s="7">
        <v>19500.180000000008</v>
      </c>
      <c r="P929" s="7">
        <f t="shared" si="135"/>
        <v>22159.295454545463</v>
      </c>
      <c r="Q929" s="7">
        <v>51999</v>
      </c>
      <c r="R929" s="7">
        <v>24358.960000000003</v>
      </c>
      <c r="S929" s="7">
        <f t="shared" si="136"/>
        <v>32478.613333333338</v>
      </c>
      <c r="T929" s="2">
        <v>6755</v>
      </c>
      <c r="U929" s="7">
        <f t="shared" si="140"/>
        <v>776724.35860606073</v>
      </c>
      <c r="V929" s="7">
        <f t="shared" si="137"/>
        <v>114.985101200009</v>
      </c>
      <c r="W929" s="17"/>
      <c r="X929" s="11"/>
      <c r="AA929" s="11"/>
      <c r="AB929" s="11"/>
      <c r="AC929" s="11"/>
      <c r="AD929" s="11"/>
      <c r="AE929" s="11"/>
    </row>
    <row r="930" spans="1:31" x14ac:dyDescent="0.25">
      <c r="A930" s="15" t="s">
        <v>1</v>
      </c>
      <c r="B930" s="21">
        <v>46101</v>
      </c>
      <c r="C930" s="8">
        <v>2010</v>
      </c>
      <c r="D930" s="8">
        <v>1380</v>
      </c>
      <c r="E930" s="8">
        <v>0</v>
      </c>
      <c r="F930" s="7">
        <v>0</v>
      </c>
      <c r="G930" s="8">
        <v>4770</v>
      </c>
      <c r="H930" s="8">
        <v>2100</v>
      </c>
      <c r="I930" s="8">
        <v>0</v>
      </c>
      <c r="J930" s="2">
        <v>19.54999923706055</v>
      </c>
      <c r="K930" s="23">
        <f t="shared" si="139"/>
        <v>21006.81</v>
      </c>
      <c r="L930" s="23">
        <f t="shared" si="138"/>
        <v>4.4039433962264152</v>
      </c>
      <c r="M930" s="12" t="s">
        <v>11</v>
      </c>
      <c r="N930" s="7">
        <v>24197</v>
      </c>
      <c r="O930" s="7">
        <v>3250.0299999999925</v>
      </c>
      <c r="P930" s="7">
        <f t="shared" si="135"/>
        <v>3693.2159090909004</v>
      </c>
      <c r="Q930" s="7">
        <v>56758</v>
      </c>
      <c r="R930" s="7">
        <v>15364.340000000006</v>
      </c>
      <c r="S930" s="7">
        <f t="shared" si="136"/>
        <v>20485.786666666674</v>
      </c>
      <c r="T930" s="2">
        <v>4911</v>
      </c>
      <c r="U930" s="7">
        <f t="shared" si="140"/>
        <v>521235.40121212124</v>
      </c>
      <c r="V930" s="7">
        <f t="shared" si="137"/>
        <v>106.13630649809025</v>
      </c>
      <c r="W930" s="17"/>
      <c r="X930" s="11"/>
      <c r="AA930" s="11"/>
      <c r="AB930" s="11"/>
      <c r="AC930" s="11"/>
      <c r="AD930" s="11"/>
      <c r="AE930" s="11"/>
    </row>
    <row r="931" spans="1:31" x14ac:dyDescent="0.25">
      <c r="A931" s="15" t="s">
        <v>1</v>
      </c>
      <c r="B931" s="21">
        <v>46102</v>
      </c>
      <c r="C931" s="7">
        <v>2486</v>
      </c>
      <c r="D931" s="7">
        <v>11060.000000004948</v>
      </c>
      <c r="E931" s="7">
        <v>0</v>
      </c>
      <c r="F931" s="7">
        <v>0</v>
      </c>
      <c r="G931" s="7">
        <v>1410</v>
      </c>
      <c r="H931" s="7">
        <v>4148</v>
      </c>
      <c r="I931" s="7">
        <v>0</v>
      </c>
      <c r="J931" s="2">
        <v>21.25</v>
      </c>
      <c r="K931" s="23">
        <f t="shared" si="139"/>
        <v>30751.686000002526</v>
      </c>
      <c r="L931" s="23">
        <f t="shared" si="138"/>
        <v>21.809706382980515</v>
      </c>
      <c r="M931" s="12" t="s">
        <v>11</v>
      </c>
      <c r="N931" s="7">
        <v>33736</v>
      </c>
      <c r="O931" s="7">
        <v>23678.78999999999</v>
      </c>
      <c r="P931" s="7">
        <f t="shared" si="135"/>
        <v>26907.715909090897</v>
      </c>
      <c r="Q931" s="7">
        <v>55249</v>
      </c>
      <c r="R931" s="7">
        <v>25068.440000000017</v>
      </c>
      <c r="S931" s="7">
        <f t="shared" si="136"/>
        <v>33424.586666666692</v>
      </c>
      <c r="T931" s="2">
        <v>7269</v>
      </c>
      <c r="U931" s="7">
        <f t="shared" si="140"/>
        <v>835423.52921212139</v>
      </c>
      <c r="V931" s="7">
        <f t="shared" si="137"/>
        <v>114.92963670547825</v>
      </c>
      <c r="W931" s="17"/>
      <c r="X931" s="11"/>
      <c r="AA931" s="11"/>
      <c r="AB931" s="11"/>
      <c r="AC931" s="11"/>
      <c r="AD931" s="11"/>
      <c r="AE931" s="11"/>
    </row>
    <row r="932" spans="1:31" x14ac:dyDescent="0.25">
      <c r="A932" s="15" t="s">
        <v>1</v>
      </c>
      <c r="B932" s="21">
        <v>46103</v>
      </c>
      <c r="C932" s="7">
        <v>2344</v>
      </c>
      <c r="D932" s="7">
        <v>14709.999999999127</v>
      </c>
      <c r="E932" s="7">
        <v>0</v>
      </c>
      <c r="F932" s="7">
        <v>0</v>
      </c>
      <c r="G932" s="7">
        <v>2980</v>
      </c>
      <c r="H932" s="7">
        <v>7568</v>
      </c>
      <c r="I932" s="7">
        <v>0</v>
      </c>
      <c r="J932" s="2">
        <v>20.45000076293945</v>
      </c>
      <c r="K932" s="23">
        <f t="shared" si="139"/>
        <v>31178.843999999557</v>
      </c>
      <c r="L932" s="23">
        <f t="shared" si="138"/>
        <v>10.462699328858912</v>
      </c>
      <c r="M932" s="12" t="s">
        <v>11</v>
      </c>
      <c r="N932" s="7">
        <v>34200</v>
      </c>
      <c r="O932" s="7">
        <v>39928.939999999995</v>
      </c>
      <c r="P932" s="7">
        <f t="shared" si="135"/>
        <v>45373.795454545449</v>
      </c>
      <c r="Q932" s="7">
        <v>40684</v>
      </c>
      <c r="R932" s="7">
        <v>24358.09999999998</v>
      </c>
      <c r="S932" s="7">
        <f t="shared" si="136"/>
        <v>32477.466666666642</v>
      </c>
      <c r="T932" s="2">
        <v>6991</v>
      </c>
      <c r="U932" s="7">
        <f t="shared" si="140"/>
        <v>892288.64593939367</v>
      </c>
      <c r="V932" s="7">
        <f t="shared" si="137"/>
        <v>127.63390730072861</v>
      </c>
      <c r="W932" s="17"/>
      <c r="X932" s="11"/>
      <c r="AA932" s="11"/>
      <c r="AB932" s="11"/>
      <c r="AC932" s="11"/>
      <c r="AD932" s="11"/>
      <c r="AE932" s="11"/>
    </row>
    <row r="933" spans="1:31" x14ac:dyDescent="0.25">
      <c r="A933" s="15" t="s">
        <v>1</v>
      </c>
      <c r="B933" s="21">
        <v>46104</v>
      </c>
      <c r="C933" s="7">
        <v>2710</v>
      </c>
      <c r="D933" s="7">
        <v>8729.9999999959255</v>
      </c>
      <c r="E933" s="7">
        <v>0</v>
      </c>
      <c r="F933" s="7">
        <v>0</v>
      </c>
      <c r="G933" s="7">
        <v>8637</v>
      </c>
      <c r="H933" s="7">
        <v>6774</v>
      </c>
      <c r="I933" s="7">
        <v>0</v>
      </c>
      <c r="J933" s="2">
        <v>23.29999923706055</v>
      </c>
      <c r="K933" s="23">
        <f t="shared" si="139"/>
        <v>31826.009999997925</v>
      </c>
      <c r="L933" s="23">
        <f t="shared" si="138"/>
        <v>3.6848454324415796</v>
      </c>
      <c r="M933" s="12" t="s">
        <v>11</v>
      </c>
      <c r="N933" s="7">
        <v>34564</v>
      </c>
      <c r="O933" s="7">
        <v>37234.380000000005</v>
      </c>
      <c r="P933" s="7">
        <f t="shared" si="135"/>
        <v>42311.795454545463</v>
      </c>
      <c r="Q933" s="7">
        <v>42642</v>
      </c>
      <c r="R933" s="7">
        <v>20611.560000000016</v>
      </c>
      <c r="S933" s="7">
        <f t="shared" si="136"/>
        <v>27482.08000000002</v>
      </c>
      <c r="T933" s="2">
        <v>8527</v>
      </c>
      <c r="U933" s="7">
        <f t="shared" si="140"/>
        <v>820342.73527272756</v>
      </c>
      <c r="V933" s="7">
        <f t="shared" si="137"/>
        <v>96.205316673241185</v>
      </c>
      <c r="W933" s="17"/>
      <c r="X933" s="11"/>
      <c r="AA933" s="11"/>
      <c r="AB933" s="11"/>
      <c r="AC933" s="11"/>
      <c r="AD933" s="11"/>
      <c r="AE933" s="11"/>
    </row>
    <row r="934" spans="1:31" x14ac:dyDescent="0.25">
      <c r="A934" s="15" t="s">
        <v>1</v>
      </c>
      <c r="B934" s="21">
        <v>46105</v>
      </c>
      <c r="C934" s="7">
        <v>2464</v>
      </c>
      <c r="D934" s="7">
        <v>13360.000000000582</v>
      </c>
      <c r="E934" s="7">
        <v>0</v>
      </c>
      <c r="F934" s="7">
        <v>0</v>
      </c>
      <c r="G934" s="7">
        <v>9038</v>
      </c>
      <c r="H934" s="7">
        <v>8556</v>
      </c>
      <c r="I934" s="7">
        <v>0</v>
      </c>
      <c r="J934" s="2">
        <v>25</v>
      </c>
      <c r="K934" s="23">
        <f t="shared" si="139"/>
        <v>31702.464000000298</v>
      </c>
      <c r="L934" s="23">
        <f t="shared" si="138"/>
        <v>3.5076857711883491</v>
      </c>
      <c r="M934" s="12" t="s">
        <v>11</v>
      </c>
      <c r="N934" s="7">
        <v>32428</v>
      </c>
      <c r="O934" s="7">
        <v>21619.039999999994</v>
      </c>
      <c r="P934" s="7">
        <f t="shared" si="135"/>
        <v>24567.090909090901</v>
      </c>
      <c r="Q934" s="7">
        <v>49928</v>
      </c>
      <c r="R934" s="7">
        <v>21360.180000000011</v>
      </c>
      <c r="S934" s="7">
        <f t="shared" si="136"/>
        <v>28480.240000000016</v>
      </c>
      <c r="T934" s="2">
        <v>7433</v>
      </c>
      <c r="U934" s="7">
        <f t="shared" si="140"/>
        <v>737358.35854545468</v>
      </c>
      <c r="V934" s="7">
        <f t="shared" si="137"/>
        <v>99.2006401917738</v>
      </c>
      <c r="W934" s="17"/>
      <c r="X934" s="11"/>
      <c r="AA934" s="11"/>
      <c r="AB934" s="11"/>
      <c r="AC934" s="11"/>
      <c r="AD934" s="11"/>
      <c r="AE934" s="11"/>
    </row>
    <row r="935" spans="1:31" x14ac:dyDescent="0.25">
      <c r="A935" s="15" t="s">
        <v>1</v>
      </c>
      <c r="B935" s="21">
        <v>46106</v>
      </c>
      <c r="C935" s="8">
        <v>5320</v>
      </c>
      <c r="D935" s="8">
        <v>10069.999999999709</v>
      </c>
      <c r="E935" s="8">
        <v>0</v>
      </c>
      <c r="F935" s="7">
        <v>0</v>
      </c>
      <c r="G935" s="8">
        <v>9255</v>
      </c>
      <c r="H935" s="8">
        <v>7082</v>
      </c>
      <c r="I935" s="8">
        <v>0</v>
      </c>
      <c r="J935" s="2">
        <v>20.04999923706055</v>
      </c>
      <c r="K935" s="23">
        <f t="shared" si="139"/>
        <v>58873.019999999859</v>
      </c>
      <c r="L935" s="23">
        <f t="shared" si="138"/>
        <v>6.3612123176661113</v>
      </c>
      <c r="M935" s="12" t="s">
        <v>11</v>
      </c>
      <c r="N935" s="7">
        <v>34453</v>
      </c>
      <c r="O935" s="7">
        <v>32291.48</v>
      </c>
      <c r="P935" s="7">
        <f t="shared" si="135"/>
        <v>36694.863636363632</v>
      </c>
      <c r="Q935" s="7">
        <v>46637</v>
      </c>
      <c r="R935" s="7">
        <v>23569.480000000018</v>
      </c>
      <c r="S935" s="7">
        <f t="shared" si="136"/>
        <v>31425.973333333357</v>
      </c>
      <c r="T935" s="2">
        <v>8383</v>
      </c>
      <c r="U935" s="7">
        <f t="shared" si="140"/>
        <v>844349.48751515173</v>
      </c>
      <c r="V935" s="7">
        <f t="shared" si="137"/>
        <v>100.72163754206748</v>
      </c>
      <c r="W935" s="17"/>
      <c r="X935" s="11"/>
      <c r="AA935" s="11"/>
      <c r="AB935" s="11"/>
      <c r="AC935" s="11"/>
      <c r="AD935" s="11"/>
      <c r="AE935" s="11"/>
    </row>
    <row r="936" spans="1:31" x14ac:dyDescent="0.25">
      <c r="A936" s="15" t="s">
        <v>1</v>
      </c>
      <c r="B936" s="21">
        <v>46107</v>
      </c>
      <c r="C936" s="7">
        <v>2790</v>
      </c>
      <c r="D936" s="7">
        <v>14300.00000000291</v>
      </c>
      <c r="E936" s="7">
        <v>7600</v>
      </c>
      <c r="F936" s="7">
        <v>0</v>
      </c>
      <c r="G936" s="7">
        <v>13324.438130841123</v>
      </c>
      <c r="H936" s="7">
        <v>10831</v>
      </c>
      <c r="I936" s="7">
        <v>65497</v>
      </c>
      <c r="J936" s="2">
        <v>20.95000076293945</v>
      </c>
      <c r="K936" s="23">
        <f t="shared" si="139"/>
        <v>97034.790000001492</v>
      </c>
      <c r="L936" s="23">
        <f t="shared" si="138"/>
        <v>7.2824676768472516</v>
      </c>
      <c r="M936" s="12" t="s">
        <v>11</v>
      </c>
      <c r="N936" s="7">
        <v>35918</v>
      </c>
      <c r="O936" s="7">
        <v>39928.94</v>
      </c>
      <c r="P936" s="7">
        <f t="shared" si="135"/>
        <v>45373.795454545456</v>
      </c>
      <c r="Q936" s="7">
        <v>44359</v>
      </c>
      <c r="R936" s="7">
        <v>19861.220000000008</v>
      </c>
      <c r="S936" s="7">
        <f t="shared" si="136"/>
        <v>26481.626666666678</v>
      </c>
      <c r="T936" s="2">
        <v>8695</v>
      </c>
      <c r="U936" s="7">
        <f t="shared" si="140"/>
        <v>838032.66393939406</v>
      </c>
      <c r="V936" s="7">
        <f t="shared" si="137"/>
        <v>96.380984926899828</v>
      </c>
      <c r="W936" s="17"/>
      <c r="X936" s="11"/>
      <c r="AA936" s="11"/>
      <c r="AB936" s="11"/>
      <c r="AC936" s="11"/>
      <c r="AD936" s="11"/>
      <c r="AE936" s="11"/>
    </row>
    <row r="937" spans="1:31" x14ac:dyDescent="0.25">
      <c r="A937" s="15" t="s">
        <v>1</v>
      </c>
      <c r="B937" s="21">
        <v>46108</v>
      </c>
      <c r="C937" s="7">
        <v>5786</v>
      </c>
      <c r="D937" s="7">
        <v>14669.999999998254</v>
      </c>
      <c r="E937" s="7">
        <v>0</v>
      </c>
      <c r="F937" s="7">
        <v>0</v>
      </c>
      <c r="G937" s="7">
        <v>13730</v>
      </c>
      <c r="H937" s="7">
        <v>10744</v>
      </c>
      <c r="I937" s="7">
        <v>0</v>
      </c>
      <c r="J937" s="2">
        <v>20.10000038146973</v>
      </c>
      <c r="K937" s="23">
        <f t="shared" si="139"/>
        <v>65926.085999999108</v>
      </c>
      <c r="L937" s="23">
        <f t="shared" si="138"/>
        <v>4.8016085943189442</v>
      </c>
      <c r="M937" s="12" t="s">
        <v>11</v>
      </c>
      <c r="N937" s="7">
        <v>35823</v>
      </c>
      <c r="O937" s="7">
        <v>40459.880000000005</v>
      </c>
      <c r="P937" s="7">
        <f t="shared" si="135"/>
        <v>45977.136363636368</v>
      </c>
      <c r="Q937" s="7">
        <v>50741</v>
      </c>
      <c r="R937" s="7">
        <v>15325.199999999993</v>
      </c>
      <c r="S937" s="7">
        <f t="shared" si="136"/>
        <v>20433.599999999991</v>
      </c>
      <c r="T937" s="2">
        <v>8071</v>
      </c>
      <c r="U937" s="7">
        <f t="shared" si="140"/>
        <v>797978.86581818177</v>
      </c>
      <c r="V937" s="7">
        <f t="shared" si="137"/>
        <v>98.869887971525429</v>
      </c>
      <c r="W937" s="17"/>
      <c r="X937" s="11"/>
      <c r="AA937" s="11"/>
      <c r="AB937" s="11"/>
      <c r="AC937" s="11"/>
      <c r="AD937" s="11"/>
      <c r="AE937" s="11"/>
    </row>
    <row r="938" spans="1:31" x14ac:dyDescent="0.25">
      <c r="A938" s="15" t="s">
        <v>1</v>
      </c>
      <c r="B938" s="21">
        <v>46109</v>
      </c>
      <c r="C938" s="7">
        <v>3534</v>
      </c>
      <c r="D938" s="7">
        <v>16500</v>
      </c>
      <c r="E938" s="7">
        <v>0</v>
      </c>
      <c r="F938" s="7">
        <v>0</v>
      </c>
      <c r="G938" s="7">
        <v>12226</v>
      </c>
      <c r="H938" s="7">
        <v>12191</v>
      </c>
      <c r="I938" s="7">
        <v>0</v>
      </c>
      <c r="J938" s="2">
        <v>21.29999923706055</v>
      </c>
      <c r="K938" s="23">
        <f t="shared" si="139"/>
        <v>44111.934000000001</v>
      </c>
      <c r="L938" s="23">
        <f t="shared" si="138"/>
        <v>3.6080430230655982</v>
      </c>
      <c r="M938" s="12" t="s">
        <v>11</v>
      </c>
      <c r="N938" s="7">
        <v>36114</v>
      </c>
      <c r="O938" s="7">
        <v>30178.849999999995</v>
      </c>
      <c r="P938" s="7">
        <f t="shared" si="135"/>
        <v>34294.147727272721</v>
      </c>
      <c r="Q938" s="7">
        <v>47144</v>
      </c>
      <c r="R938" s="7">
        <v>18737</v>
      </c>
      <c r="S938" s="7">
        <f t="shared" si="136"/>
        <v>24982.666666666668</v>
      </c>
      <c r="T938" s="2">
        <v>7350</v>
      </c>
      <c r="U938" s="7">
        <f t="shared" si="140"/>
        <v>754457.7003030302</v>
      </c>
      <c r="V938" s="7">
        <f t="shared" si="137"/>
        <v>102.64730616367758</v>
      </c>
      <c r="W938" s="17"/>
      <c r="X938" s="11"/>
      <c r="AA938" s="11"/>
      <c r="AB938" s="11"/>
      <c r="AC938" s="11"/>
      <c r="AD938" s="11"/>
      <c r="AE938" s="11"/>
    </row>
    <row r="939" spans="1:31" x14ac:dyDescent="0.25">
      <c r="A939" s="15" t="s">
        <v>1</v>
      </c>
      <c r="B939" s="21">
        <v>46110</v>
      </c>
      <c r="C939" s="7">
        <v>3760</v>
      </c>
      <c r="D939" s="7">
        <v>0</v>
      </c>
      <c r="E939" s="7">
        <v>0</v>
      </c>
      <c r="F939" s="7">
        <v>0</v>
      </c>
      <c r="G939" s="7">
        <v>6075</v>
      </c>
      <c r="H939" s="7">
        <v>3432</v>
      </c>
      <c r="I939" s="7">
        <v>0</v>
      </c>
      <c r="J939" s="2">
        <v>21.70000076293945</v>
      </c>
      <c r="K939" s="23">
        <f t="shared" si="139"/>
        <v>37979.760000000002</v>
      </c>
      <c r="L939" s="23">
        <f t="shared" si="138"/>
        <v>6.2518123456790127</v>
      </c>
      <c r="M939" s="12" t="s">
        <v>11</v>
      </c>
      <c r="N939" s="7">
        <v>36267</v>
      </c>
      <c r="O939" s="7">
        <v>39464.65</v>
      </c>
      <c r="P939" s="7">
        <f t="shared" si="135"/>
        <v>44846.193181818184</v>
      </c>
      <c r="Q939" s="7">
        <v>49608</v>
      </c>
      <c r="R939" s="7">
        <v>15739.079999999998</v>
      </c>
      <c r="S939" s="7">
        <f t="shared" si="136"/>
        <v>20985.439999999999</v>
      </c>
      <c r="T939" s="2">
        <v>8042</v>
      </c>
      <c r="U939" s="7">
        <f t="shared" si="140"/>
        <v>791958.02290909097</v>
      </c>
      <c r="V939" s="7">
        <f t="shared" si="137"/>
        <v>98.477744703940687</v>
      </c>
      <c r="W939" s="17"/>
      <c r="X939" s="11"/>
      <c r="AA939" s="11"/>
      <c r="AB939" s="11"/>
      <c r="AC939" s="11"/>
      <c r="AD939" s="11"/>
      <c r="AE939" s="11"/>
    </row>
    <row r="940" spans="1:31" x14ac:dyDescent="0.25">
      <c r="A940" s="15" t="s">
        <v>1</v>
      </c>
      <c r="B940" s="21">
        <v>46111</v>
      </c>
      <c r="C940" s="7">
        <v>3438</v>
      </c>
      <c r="D940" s="7">
        <v>11419.999999998254</v>
      </c>
      <c r="E940" s="7">
        <v>0</v>
      </c>
      <c r="F940" s="7">
        <v>0</v>
      </c>
      <c r="G940" s="7">
        <v>10904</v>
      </c>
      <c r="H940" s="7">
        <v>7628</v>
      </c>
      <c r="I940" s="7">
        <v>0</v>
      </c>
      <c r="J940" s="2">
        <v>22.20000076293945</v>
      </c>
      <c r="K940" s="23">
        <f t="shared" si="139"/>
        <v>40551.437999999114</v>
      </c>
      <c r="L940" s="23">
        <f t="shared" si="138"/>
        <v>3.7189506603080624</v>
      </c>
      <c r="M940" s="12" t="s">
        <v>11</v>
      </c>
      <c r="N940" s="7">
        <v>34549</v>
      </c>
      <c r="O940" s="7">
        <v>32118.369999999992</v>
      </c>
      <c r="P940" s="7">
        <f t="shared" si="135"/>
        <v>36498.147727272721</v>
      </c>
      <c r="Q940" s="7">
        <v>47339</v>
      </c>
      <c r="R940" s="7">
        <v>21086.300000000007</v>
      </c>
      <c r="S940" s="7">
        <f t="shared" si="136"/>
        <v>28115.066666666677</v>
      </c>
      <c r="T940" s="2">
        <v>8489</v>
      </c>
      <c r="U940" s="7">
        <f t="shared" si="140"/>
        <v>806931.51630303031</v>
      </c>
      <c r="V940" s="7">
        <f t="shared" si="137"/>
        <v>95.056133384736754</v>
      </c>
      <c r="W940" s="17"/>
      <c r="X940" s="11"/>
      <c r="AA940" s="11"/>
      <c r="AB940" s="11"/>
      <c r="AC940" s="11"/>
      <c r="AD940" s="11"/>
      <c r="AE940" s="11"/>
    </row>
    <row r="941" spans="1:31" x14ac:dyDescent="0.25">
      <c r="A941" s="15" t="s">
        <v>1</v>
      </c>
      <c r="B941" s="21">
        <v>46112</v>
      </c>
      <c r="C941" s="7">
        <v>5447</v>
      </c>
      <c r="D941" s="7">
        <v>16160.000000003492</v>
      </c>
      <c r="E941" s="7">
        <v>5150</v>
      </c>
      <c r="F941" s="7">
        <v>0</v>
      </c>
      <c r="G941" s="7">
        <v>11010</v>
      </c>
      <c r="H941" s="7">
        <v>11512</v>
      </c>
      <c r="I941" s="7">
        <v>34586</v>
      </c>
      <c r="J941" s="2">
        <v>23.20000076293945</v>
      </c>
      <c r="K941" s="23">
        <f t="shared" si="139"/>
        <v>104976.74700000178</v>
      </c>
      <c r="L941" s="23">
        <f t="shared" si="138"/>
        <v>9.5346727520437575</v>
      </c>
      <c r="M941" s="12" t="s">
        <v>11</v>
      </c>
      <c r="N941" s="7">
        <v>34834</v>
      </c>
      <c r="O941" s="7">
        <v>28418.37000000001</v>
      </c>
      <c r="P941" s="7">
        <f t="shared" si="135"/>
        <v>32293.602272727283</v>
      </c>
      <c r="Q941" s="7">
        <v>48181</v>
      </c>
      <c r="R941" s="7">
        <v>24732.840000000004</v>
      </c>
      <c r="S941" s="7">
        <f t="shared" si="136"/>
        <v>32977.120000000003</v>
      </c>
      <c r="T941" s="2">
        <v>8505</v>
      </c>
      <c r="U941" s="7">
        <f t="shared" si="140"/>
        <v>838494.86836363655</v>
      </c>
      <c r="V941" s="7">
        <f t="shared" si="137"/>
        <v>98.588461888728574</v>
      </c>
      <c r="W941" s="17"/>
      <c r="X941" s="11"/>
      <c r="AA941" s="11"/>
      <c r="AB941" s="11"/>
      <c r="AC941" s="11"/>
      <c r="AD941" s="11"/>
      <c r="AE941" s="11"/>
    </row>
    <row r="942" spans="1:31" x14ac:dyDescent="0.25">
      <c r="A942" s="15" t="s">
        <v>1</v>
      </c>
      <c r="B942" s="21">
        <v>46113</v>
      </c>
      <c r="C942" s="7">
        <v>3414</v>
      </c>
      <c r="D942" s="7">
        <v>16020</v>
      </c>
      <c r="E942" s="7">
        <v>0</v>
      </c>
      <c r="F942" s="7">
        <v>0</v>
      </c>
      <c r="G942" s="7">
        <v>10551</v>
      </c>
      <c r="H942" s="7">
        <v>10740</v>
      </c>
      <c r="I942" s="7">
        <v>0</v>
      </c>
      <c r="J942" s="2">
        <v>23.75</v>
      </c>
      <c r="K942" s="23">
        <f>C942*11.203+D942*0.51+E942*8+F942*5</f>
        <v>46417.241999999998</v>
      </c>
      <c r="L942" s="23">
        <f t="shared" si="138"/>
        <v>4.3993215808928063</v>
      </c>
      <c r="M942" s="12" t="s">
        <v>11</v>
      </c>
      <c r="N942" s="7">
        <v>35412</v>
      </c>
      <c r="O942" s="7">
        <v>36620</v>
      </c>
      <c r="P942" s="7">
        <f t="shared" si="135"/>
        <v>41613.63636363636</v>
      </c>
      <c r="Q942" s="7">
        <v>44834</v>
      </c>
      <c r="R942" s="7">
        <v>19527.340000000004</v>
      </c>
      <c r="S942" s="7">
        <f t="shared" si="136"/>
        <v>26036.453333333338</v>
      </c>
      <c r="T942" s="2">
        <v>8797</v>
      </c>
      <c r="U942" s="7">
        <f>N942*0.51+P942*7.711+Q942*4.6+S942*12.15</f>
        <v>861522.17800000007</v>
      </c>
      <c r="V942" s="7">
        <f t="shared" si="137"/>
        <v>97.93363396612483</v>
      </c>
      <c r="W942" s="17"/>
      <c r="X942" s="11"/>
      <c r="AA942" s="11"/>
      <c r="AB942" s="11"/>
      <c r="AC942" s="11"/>
      <c r="AD942" s="11"/>
      <c r="AE942" s="11"/>
    </row>
    <row r="943" spans="1:31" x14ac:dyDescent="0.25">
      <c r="A943" s="15" t="s">
        <v>1</v>
      </c>
      <c r="B943" s="21">
        <v>46114</v>
      </c>
      <c r="C943" s="7">
        <v>4283</v>
      </c>
      <c r="D943" s="7">
        <v>14430</v>
      </c>
      <c r="E943" s="7">
        <v>6500</v>
      </c>
      <c r="F943" s="7">
        <v>0</v>
      </c>
      <c r="G943" s="7">
        <v>11165</v>
      </c>
      <c r="H943" s="7">
        <v>11699</v>
      </c>
      <c r="I943" s="7">
        <v>55793</v>
      </c>
      <c r="J943" s="2">
        <v>26.04999923706055</v>
      </c>
      <c r="K943" s="23">
        <f t="shared" ref="K943:K971" si="141">C943*11.203+D943*0.51+E943*8+F943*5</f>
        <v>107341.74900000001</v>
      </c>
      <c r="L943" s="23">
        <f t="shared" si="138"/>
        <v>9.6141288849081956</v>
      </c>
      <c r="M943" s="12" t="s">
        <v>11</v>
      </c>
      <c r="N943" s="7">
        <v>35269</v>
      </c>
      <c r="O943" s="7">
        <v>29332.630000000008</v>
      </c>
      <c r="P943" s="7">
        <f t="shared" si="135"/>
        <v>33332.534090909103</v>
      </c>
      <c r="Q943" s="7">
        <v>66194</v>
      </c>
      <c r="R943" s="7">
        <v>9743.2399999999925</v>
      </c>
      <c r="S943" s="7">
        <f t="shared" si="136"/>
        <v>12990.986666666657</v>
      </c>
      <c r="T943" s="2">
        <v>9353</v>
      </c>
      <c r="U943" s="7">
        <f t="shared" ref="U943:U971" si="142">N943*0.51+P943*7.711+Q943*4.6+S943*12.15</f>
        <v>737347.24837499997</v>
      </c>
      <c r="V943" s="7">
        <f t="shared" si="137"/>
        <v>78.835373503154059</v>
      </c>
      <c r="W943" s="17"/>
      <c r="X943" s="11"/>
      <c r="AA943" s="11"/>
      <c r="AB943" s="11"/>
      <c r="AC943" s="11"/>
      <c r="AD943" s="11"/>
      <c r="AE943" s="11"/>
    </row>
    <row r="944" spans="1:31" x14ac:dyDescent="0.25">
      <c r="A944" s="15" t="s">
        <v>1</v>
      </c>
      <c r="B944" s="21">
        <v>46115</v>
      </c>
      <c r="C944" s="7">
        <v>5116</v>
      </c>
      <c r="D944" s="7">
        <v>16160.000000000004</v>
      </c>
      <c r="E944" s="7">
        <v>3700</v>
      </c>
      <c r="F944" s="7">
        <v>0</v>
      </c>
      <c r="G944" s="7">
        <v>12655</v>
      </c>
      <c r="H944" s="7">
        <v>13206</v>
      </c>
      <c r="I944" s="7">
        <v>20576</v>
      </c>
      <c r="J944" s="2">
        <v>29</v>
      </c>
      <c r="K944" s="23">
        <f t="shared" si="141"/>
        <v>95156.148000000001</v>
      </c>
      <c r="L944" s="23">
        <f t="shared" si="138"/>
        <v>7.519253101540893</v>
      </c>
      <c r="M944" s="12" t="s">
        <v>11</v>
      </c>
      <c r="N944" s="7">
        <v>34607</v>
      </c>
      <c r="O944" s="7">
        <v>39351.12000000001</v>
      </c>
      <c r="P944" s="7">
        <f t="shared" si="135"/>
        <v>44717.181818181831</v>
      </c>
      <c r="Q944" s="7">
        <v>53707</v>
      </c>
      <c r="R944" s="7">
        <v>12052.539999999999</v>
      </c>
      <c r="S944" s="7">
        <f t="shared" si="136"/>
        <v>16070.053333333331</v>
      </c>
      <c r="T944" s="2">
        <v>9019</v>
      </c>
      <c r="U944" s="7">
        <f t="shared" si="142"/>
        <v>804767.10700000008</v>
      </c>
      <c r="V944" s="7">
        <f t="shared" si="137"/>
        <v>89.230192593413918</v>
      </c>
      <c r="W944" s="17"/>
      <c r="X944" s="11"/>
      <c r="AA944" s="11"/>
      <c r="AB944" s="11"/>
      <c r="AC944" s="11"/>
      <c r="AD944" s="11"/>
      <c r="AE944" s="11"/>
    </row>
    <row r="945" spans="1:31" x14ac:dyDescent="0.25">
      <c r="A945" s="15" t="s">
        <v>1</v>
      </c>
      <c r="B945" s="21">
        <v>46116</v>
      </c>
      <c r="C945" s="7">
        <v>3737</v>
      </c>
      <c r="D945" s="7">
        <v>16000</v>
      </c>
      <c r="E945" s="7">
        <v>0</v>
      </c>
      <c r="F945" s="7">
        <v>0</v>
      </c>
      <c r="G945" s="7">
        <v>13064</v>
      </c>
      <c r="H945" s="7">
        <v>12862</v>
      </c>
      <c r="I945" s="7">
        <v>0</v>
      </c>
      <c r="J945" s="2">
        <v>31.14999961853027</v>
      </c>
      <c r="K945" s="23">
        <f t="shared" si="141"/>
        <v>50025.610999999997</v>
      </c>
      <c r="L945" s="23">
        <f t="shared" si="138"/>
        <v>3.8292721218616044</v>
      </c>
      <c r="M945" s="12" t="s">
        <v>11</v>
      </c>
      <c r="N945" s="7">
        <v>34710</v>
      </c>
      <c r="O945" s="7">
        <v>40857.519999999997</v>
      </c>
      <c r="P945" s="7">
        <f t="shared" si="135"/>
        <v>46428.999999999993</v>
      </c>
      <c r="Q945" s="7">
        <v>52620</v>
      </c>
      <c r="R945" s="7">
        <v>10117.980000000018</v>
      </c>
      <c r="S945" s="7">
        <f t="shared" si="136"/>
        <v>13490.640000000023</v>
      </c>
      <c r="T945" s="2">
        <v>7180</v>
      </c>
      <c r="U945" s="7">
        <f t="shared" si="142"/>
        <v>781679.39500000025</v>
      </c>
      <c r="V945" s="7">
        <f t="shared" si="137"/>
        <v>108.86899651810589</v>
      </c>
      <c r="W945" s="17"/>
      <c r="X945" s="11"/>
      <c r="AA945" s="11"/>
      <c r="AB945" s="11"/>
      <c r="AC945" s="11"/>
      <c r="AD945" s="11"/>
      <c r="AE945" s="11"/>
    </row>
    <row r="946" spans="1:31" x14ac:dyDescent="0.25">
      <c r="A946" s="15" t="s">
        <v>1</v>
      </c>
      <c r="B946" s="21">
        <v>46117</v>
      </c>
      <c r="C946" s="8">
        <v>4250</v>
      </c>
      <c r="D946" s="7">
        <v>14079.999999999998</v>
      </c>
      <c r="E946" s="8">
        <v>0</v>
      </c>
      <c r="F946" s="7">
        <v>0</v>
      </c>
      <c r="G946" s="8">
        <v>11549</v>
      </c>
      <c r="H946" s="8">
        <v>10261</v>
      </c>
      <c r="I946" s="8">
        <v>0</v>
      </c>
      <c r="J946" s="2">
        <v>26.25</v>
      </c>
      <c r="K946" s="23">
        <f t="shared" si="141"/>
        <v>54793.55</v>
      </c>
      <c r="L946" s="23">
        <f t="shared" si="138"/>
        <v>4.7444410771495367</v>
      </c>
      <c r="M946" s="12" t="s">
        <v>11</v>
      </c>
      <c r="N946" s="7">
        <v>35681</v>
      </c>
      <c r="O946" s="7">
        <v>41786.1</v>
      </c>
      <c r="P946" s="7">
        <f t="shared" si="135"/>
        <v>47484.204545454544</v>
      </c>
      <c r="Q946" s="7">
        <v>54002</v>
      </c>
      <c r="R946" s="7">
        <v>12366.419999999969</v>
      </c>
      <c r="S946" s="7">
        <f t="shared" si="136"/>
        <v>16488.559999999958</v>
      </c>
      <c r="T946" s="2">
        <v>7731</v>
      </c>
      <c r="U946" s="7">
        <f t="shared" si="142"/>
        <v>833093.21524999943</v>
      </c>
      <c r="V946" s="7">
        <f t="shared" si="137"/>
        <v>107.76008475617635</v>
      </c>
      <c r="W946" s="17"/>
      <c r="X946" s="11"/>
      <c r="AA946" s="11"/>
      <c r="AB946" s="11"/>
      <c r="AC946" s="11"/>
      <c r="AD946" s="11"/>
      <c r="AE946" s="11"/>
    </row>
    <row r="947" spans="1:31" x14ac:dyDescent="0.25">
      <c r="A947" s="15" t="s">
        <v>1</v>
      </c>
      <c r="B947" s="21">
        <v>46118</v>
      </c>
      <c r="C947" s="7">
        <v>5350</v>
      </c>
      <c r="D947" s="7">
        <v>11170.000000000002</v>
      </c>
      <c r="E947" s="7">
        <v>0</v>
      </c>
      <c r="F947" s="7">
        <v>0</v>
      </c>
      <c r="G947" s="7">
        <v>10902</v>
      </c>
      <c r="H947" s="7">
        <v>9358</v>
      </c>
      <c r="I947" s="7">
        <v>0</v>
      </c>
      <c r="J947" s="2">
        <v>20.20000076293945</v>
      </c>
      <c r="K947" s="23">
        <f t="shared" si="141"/>
        <v>65632.75</v>
      </c>
      <c r="L947" s="23">
        <f t="shared" si="138"/>
        <v>6.0202485782425246</v>
      </c>
      <c r="M947" s="12" t="s">
        <v>11</v>
      </c>
      <c r="N947" s="7">
        <v>33427</v>
      </c>
      <c r="O947" s="7">
        <v>31060.970000000008</v>
      </c>
      <c r="P947" s="7">
        <f t="shared" si="135"/>
        <v>35296.556818181831</v>
      </c>
      <c r="Q947" s="7">
        <v>65331</v>
      </c>
      <c r="R947" s="7">
        <v>0</v>
      </c>
      <c r="S947" s="7">
        <f t="shared" si="136"/>
        <v>0</v>
      </c>
      <c r="T947" s="2">
        <v>8109</v>
      </c>
      <c r="U947" s="7">
        <f t="shared" si="142"/>
        <v>589742.11962500005</v>
      </c>
      <c r="V947" s="7">
        <f t="shared" si="137"/>
        <v>72.726861465655446</v>
      </c>
      <c r="W947" s="17"/>
      <c r="X947" s="11"/>
      <c r="AA947" s="11"/>
      <c r="AB947" s="11"/>
      <c r="AC947" s="11"/>
      <c r="AD947" s="11"/>
      <c r="AE947" s="11"/>
    </row>
    <row r="948" spans="1:31" x14ac:dyDescent="0.25">
      <c r="A948" s="15" t="s">
        <v>1</v>
      </c>
      <c r="B948" s="21">
        <v>46119</v>
      </c>
      <c r="C948" s="7">
        <v>5135</v>
      </c>
      <c r="D948" s="7">
        <v>12009.999999999991</v>
      </c>
      <c r="E948" s="7">
        <v>4250</v>
      </c>
      <c r="F948" s="7">
        <v>0</v>
      </c>
      <c r="G948" s="7">
        <v>13988</v>
      </c>
      <c r="H948" s="7">
        <v>8612</v>
      </c>
      <c r="I948" s="7">
        <v>25085</v>
      </c>
      <c r="J948" s="2">
        <v>16.14999961853027</v>
      </c>
      <c r="K948" s="23">
        <f t="shared" si="141"/>
        <v>97652.505000000005</v>
      </c>
      <c r="L948" s="23">
        <f t="shared" si="138"/>
        <v>6.9811627823849021</v>
      </c>
      <c r="M948" s="12" t="s">
        <v>11</v>
      </c>
      <c r="N948" s="7">
        <v>23186</v>
      </c>
      <c r="O948" s="7">
        <v>23165.679999999997</v>
      </c>
      <c r="P948" s="7">
        <f t="shared" si="135"/>
        <v>26324.63636363636</v>
      </c>
      <c r="Q948" s="7">
        <v>45411</v>
      </c>
      <c r="R948" s="7">
        <v>0</v>
      </c>
      <c r="S948" s="7">
        <f t="shared" si="136"/>
        <v>0</v>
      </c>
      <c r="T948" s="2">
        <v>5007</v>
      </c>
      <c r="U948" s="7">
        <f t="shared" si="142"/>
        <v>423704.73099999997</v>
      </c>
      <c r="V948" s="7">
        <f t="shared" si="137"/>
        <v>84.622474735370474</v>
      </c>
      <c r="W948" s="17"/>
      <c r="X948" s="11"/>
      <c r="AA948" s="11"/>
      <c r="AB948" s="11"/>
      <c r="AC948" s="11"/>
      <c r="AD948" s="11"/>
      <c r="AE948" s="11"/>
    </row>
    <row r="949" spans="1:31" x14ac:dyDescent="0.25">
      <c r="A949" s="15" t="s">
        <v>1</v>
      </c>
      <c r="B949" s="21">
        <v>46120</v>
      </c>
      <c r="C949" s="7">
        <v>4642</v>
      </c>
      <c r="D949" s="7">
        <v>16300.000000000011</v>
      </c>
      <c r="E949" s="7">
        <v>0</v>
      </c>
      <c r="F949" s="7">
        <v>0</v>
      </c>
      <c r="G949" s="7">
        <v>14230</v>
      </c>
      <c r="H949" s="7">
        <v>12255</v>
      </c>
      <c r="I949" s="7">
        <v>0</v>
      </c>
      <c r="J949" s="2">
        <v>17.95000076293945</v>
      </c>
      <c r="K949" s="23">
        <f t="shared" si="141"/>
        <v>60317.326000000001</v>
      </c>
      <c r="L949" s="23">
        <f t="shared" si="138"/>
        <v>4.2387439212930431</v>
      </c>
      <c r="M949" s="12" t="s">
        <v>11</v>
      </c>
      <c r="N949" s="7">
        <v>31555</v>
      </c>
      <c r="O949" s="7">
        <v>32702.66</v>
      </c>
      <c r="P949" s="7">
        <f t="shared" si="135"/>
        <v>37162.113636363632</v>
      </c>
      <c r="Q949" s="7">
        <v>59191</v>
      </c>
      <c r="R949" s="7">
        <v>0</v>
      </c>
      <c r="S949" s="7">
        <f t="shared" si="136"/>
        <v>0</v>
      </c>
      <c r="T949" s="2">
        <v>7814</v>
      </c>
      <c r="U949" s="7">
        <f t="shared" si="142"/>
        <v>574928.70824999991</v>
      </c>
      <c r="V949" s="7">
        <f t="shared" si="137"/>
        <v>73.576747920399271</v>
      </c>
      <c r="W949" s="17"/>
      <c r="X949" s="11"/>
      <c r="AA949" s="11"/>
      <c r="AB949" s="11"/>
      <c r="AC949" s="11"/>
      <c r="AD949" s="11"/>
      <c r="AE949" s="11"/>
    </row>
    <row r="950" spans="1:31" x14ac:dyDescent="0.25">
      <c r="A950" s="15" t="s">
        <v>1</v>
      </c>
      <c r="B950" s="21">
        <v>46121</v>
      </c>
      <c r="C950" s="7">
        <v>6064</v>
      </c>
      <c r="D950" s="7">
        <v>15449.999999999989</v>
      </c>
      <c r="E950" s="7">
        <v>6250</v>
      </c>
      <c r="F950" s="7">
        <v>0</v>
      </c>
      <c r="G950" s="7">
        <v>14321</v>
      </c>
      <c r="H950" s="7">
        <v>11632</v>
      </c>
      <c r="I950" s="7">
        <v>49240</v>
      </c>
      <c r="J950" s="2">
        <v>17.29999923706055</v>
      </c>
      <c r="K950" s="23">
        <f t="shared" si="141"/>
        <v>125814.492</v>
      </c>
      <c r="L950" s="23">
        <f t="shared" si="138"/>
        <v>8.78531471265973</v>
      </c>
      <c r="M950" s="12" t="s">
        <v>11</v>
      </c>
      <c r="N950" s="7">
        <v>30363</v>
      </c>
      <c r="O950" s="7">
        <v>28295.769999999997</v>
      </c>
      <c r="P950" s="7">
        <f t="shared" si="135"/>
        <v>32154.284090909088</v>
      </c>
      <c r="Q950" s="7">
        <v>53503</v>
      </c>
      <c r="R950" s="7">
        <v>12347.279999999992</v>
      </c>
      <c r="S950" s="7">
        <f t="shared" si="136"/>
        <v>16463.03999999999</v>
      </c>
      <c r="T950" s="2">
        <v>7448</v>
      </c>
      <c r="U950" s="7">
        <f t="shared" si="142"/>
        <v>709566.55062499992</v>
      </c>
      <c r="V950" s="7">
        <f t="shared" si="137"/>
        <v>95.269407978651969</v>
      </c>
      <c r="W950" s="17"/>
      <c r="X950" s="11"/>
      <c r="AA950" s="11"/>
      <c r="AB950" s="11"/>
      <c r="AC950" s="11"/>
      <c r="AD950" s="11"/>
      <c r="AE950" s="11"/>
    </row>
    <row r="951" spans="1:31" x14ac:dyDescent="0.25">
      <c r="A951" s="15" t="s">
        <v>1</v>
      </c>
      <c r="B951" s="21">
        <v>46122</v>
      </c>
      <c r="C951" s="8">
        <v>4400</v>
      </c>
      <c r="D951" s="8">
        <v>15420.000000000002</v>
      </c>
      <c r="E951" s="8">
        <v>0</v>
      </c>
      <c r="F951" s="7">
        <v>0</v>
      </c>
      <c r="G951" s="8">
        <v>11796</v>
      </c>
      <c r="H951" s="8">
        <v>11053</v>
      </c>
      <c r="I951" s="8">
        <v>0</v>
      </c>
      <c r="J951" s="2">
        <v>17.70000076293945</v>
      </c>
      <c r="K951" s="23">
        <f t="shared" si="141"/>
        <v>57157.399999999994</v>
      </c>
      <c r="L951" s="23">
        <f t="shared" si="138"/>
        <v>4.8454899966090199</v>
      </c>
      <c r="M951" s="12" t="s">
        <v>11</v>
      </c>
      <c r="N951" s="7">
        <v>28622</v>
      </c>
      <c r="O951" s="7">
        <v>27808.160000000003</v>
      </c>
      <c r="P951" s="7">
        <f t="shared" si="135"/>
        <v>31600.181818181823</v>
      </c>
      <c r="Q951" s="7">
        <v>58116</v>
      </c>
      <c r="R951" s="7">
        <v>4852.4800000000178</v>
      </c>
      <c r="S951" s="7">
        <f t="shared" si="136"/>
        <v>6469.973333333357</v>
      </c>
      <c r="T951" s="2">
        <v>6533</v>
      </c>
      <c r="U951" s="7">
        <f t="shared" si="142"/>
        <v>604209.99800000037</v>
      </c>
      <c r="V951" s="7">
        <f t="shared" si="137"/>
        <v>92.485840808204557</v>
      </c>
      <c r="W951" s="17"/>
      <c r="X951" s="11"/>
      <c r="AA951" s="11"/>
      <c r="AB951" s="11"/>
      <c r="AC951" s="11"/>
      <c r="AD951" s="11"/>
      <c r="AE951" s="11"/>
    </row>
    <row r="952" spans="1:31" x14ac:dyDescent="0.25">
      <c r="A952" s="15" t="s">
        <v>1</v>
      </c>
      <c r="B952" s="21">
        <v>46123</v>
      </c>
      <c r="C952" s="7">
        <v>5037</v>
      </c>
      <c r="D952" s="7">
        <v>15330.000000000013</v>
      </c>
      <c r="E952" s="7">
        <v>0</v>
      </c>
      <c r="F952" s="7">
        <v>0</v>
      </c>
      <c r="G952" s="7">
        <v>12614</v>
      </c>
      <c r="H952" s="7">
        <v>11492</v>
      </c>
      <c r="I952" s="7">
        <v>0</v>
      </c>
      <c r="J952" s="2">
        <v>15.39999961853027</v>
      </c>
      <c r="K952" s="23">
        <f t="shared" si="141"/>
        <v>64247.811000000002</v>
      </c>
      <c r="L952" s="23">
        <f t="shared" si="138"/>
        <v>5.0933733153638814</v>
      </c>
      <c r="M952" s="12" t="s">
        <v>11</v>
      </c>
      <c r="N952" s="7">
        <v>29278</v>
      </c>
      <c r="O952" s="7">
        <v>29250.269999999997</v>
      </c>
      <c r="P952" s="7">
        <f t="shared" si="135"/>
        <v>33238.943181818177</v>
      </c>
      <c r="Q952" s="7">
        <v>64283</v>
      </c>
      <c r="R952" s="7">
        <v>3372.6599999999949</v>
      </c>
      <c r="S952" s="7">
        <f t="shared" si="136"/>
        <v>4496.8799999999928</v>
      </c>
      <c r="T952" s="2">
        <v>6324</v>
      </c>
      <c r="U952" s="7">
        <f t="shared" si="142"/>
        <v>621576.16287499992</v>
      </c>
      <c r="V952" s="7">
        <f t="shared" si="137"/>
        <v>98.288450802498403</v>
      </c>
      <c r="W952" s="17"/>
      <c r="X952" s="11"/>
      <c r="AA952" s="11"/>
      <c r="AB952" s="11"/>
      <c r="AC952" s="11"/>
      <c r="AD952" s="11"/>
      <c r="AE952" s="11"/>
    </row>
    <row r="953" spans="1:31" x14ac:dyDescent="0.25">
      <c r="A953" s="15" t="s">
        <v>1</v>
      </c>
      <c r="B953" s="21">
        <v>46124</v>
      </c>
      <c r="C953" s="7">
        <v>3340</v>
      </c>
      <c r="D953" s="7">
        <v>15400.000000000005</v>
      </c>
      <c r="E953" s="7">
        <v>0</v>
      </c>
      <c r="F953" s="7">
        <v>0</v>
      </c>
      <c r="G953" s="7">
        <v>10946</v>
      </c>
      <c r="H953" s="7">
        <v>10805.6</v>
      </c>
      <c r="I953" s="7">
        <v>0</v>
      </c>
      <c r="J953" s="2">
        <v>18.39999961853027</v>
      </c>
      <c r="K953" s="23">
        <f t="shared" si="141"/>
        <v>45272.02</v>
      </c>
      <c r="L953" s="23">
        <f t="shared" si="138"/>
        <v>4.1359418965832262</v>
      </c>
      <c r="M953" s="12" t="s">
        <v>11</v>
      </c>
      <c r="N953" s="7">
        <v>28869</v>
      </c>
      <c r="O953" s="7">
        <v>29714.560000000005</v>
      </c>
      <c r="P953" s="7">
        <f t="shared" si="135"/>
        <v>33766.545454545463</v>
      </c>
      <c r="Q953" s="7">
        <v>60027</v>
      </c>
      <c r="R953" s="7">
        <v>8244.2799999999916</v>
      </c>
      <c r="S953" s="7">
        <f t="shared" si="136"/>
        <v>10992.373333333322</v>
      </c>
      <c r="T953" s="2">
        <v>7384</v>
      </c>
      <c r="U953" s="7">
        <f t="shared" si="142"/>
        <v>684778.55799999996</v>
      </c>
      <c r="V953" s="7">
        <f t="shared" si="137"/>
        <v>92.738157908992406</v>
      </c>
      <c r="W953" s="17"/>
      <c r="X953" s="11"/>
      <c r="AA953" s="11"/>
      <c r="AB953" s="11"/>
      <c r="AC953" s="11"/>
      <c r="AD953" s="11"/>
      <c r="AE953" s="11"/>
    </row>
    <row r="954" spans="1:31" x14ac:dyDescent="0.25">
      <c r="A954" s="15" t="s">
        <v>1</v>
      </c>
      <c r="B954" s="21">
        <v>46125</v>
      </c>
      <c r="C954" s="7">
        <v>4593</v>
      </c>
      <c r="D954" s="7">
        <v>9059.9999999999745</v>
      </c>
      <c r="E954" s="7">
        <v>0</v>
      </c>
      <c r="F954" s="7">
        <v>0</v>
      </c>
      <c r="G954" s="7">
        <v>11124</v>
      </c>
      <c r="H954" s="7">
        <v>8124</v>
      </c>
      <c r="I954" s="7">
        <v>0</v>
      </c>
      <c r="J954" s="2">
        <v>21.35000038146973</v>
      </c>
      <c r="K954" s="23">
        <f t="shared" si="141"/>
        <v>56075.978999999985</v>
      </c>
      <c r="L954" s="23">
        <f t="shared" si="138"/>
        <v>5.0409905609492975</v>
      </c>
      <c r="M954" s="12" t="s">
        <v>11</v>
      </c>
      <c r="N954" s="7">
        <v>28395</v>
      </c>
      <c r="O954" s="7">
        <v>24098.369999999992</v>
      </c>
      <c r="P954" s="7">
        <f t="shared" si="135"/>
        <v>27384.511363636353</v>
      </c>
      <c r="Q954" s="7">
        <v>69548</v>
      </c>
      <c r="R954" s="7">
        <v>80.86000000002241</v>
      </c>
      <c r="S954" s="7">
        <f t="shared" si="136"/>
        <v>107.81333333336322</v>
      </c>
      <c r="T954" s="2">
        <v>8354</v>
      </c>
      <c r="U954" s="7">
        <f t="shared" si="142"/>
        <v>546874.14912500035</v>
      </c>
      <c r="V954" s="7">
        <f t="shared" si="137"/>
        <v>65.462550769092687</v>
      </c>
      <c r="W954" s="17"/>
      <c r="X954" s="11"/>
      <c r="AA954" s="11"/>
      <c r="AB954" s="11"/>
      <c r="AC954" s="11"/>
      <c r="AD954" s="11"/>
      <c r="AE954" s="11"/>
    </row>
    <row r="955" spans="1:31" x14ac:dyDescent="0.25">
      <c r="A955" s="15" t="s">
        <v>1</v>
      </c>
      <c r="B955" s="21">
        <v>46126</v>
      </c>
      <c r="C955" s="7">
        <v>4284</v>
      </c>
      <c r="D955" s="7">
        <v>13430.000000000007</v>
      </c>
      <c r="E955" s="7">
        <v>5300</v>
      </c>
      <c r="F955" s="7">
        <v>0</v>
      </c>
      <c r="G955" s="7">
        <v>11683</v>
      </c>
      <c r="H955" s="7">
        <v>9915</v>
      </c>
      <c r="I955" s="7">
        <v>37404</v>
      </c>
      <c r="J955" s="2">
        <v>24.75</v>
      </c>
      <c r="K955" s="23">
        <f t="shared" si="141"/>
        <v>97242.95199999999</v>
      </c>
      <c r="L955" s="23">
        <f t="shared" si="138"/>
        <v>8.3234573311649402</v>
      </c>
      <c r="M955" s="12" t="s">
        <v>11</v>
      </c>
      <c r="N955" s="7">
        <v>29477</v>
      </c>
      <c r="O955" s="7">
        <v>20428.759999999998</v>
      </c>
      <c r="P955" s="7">
        <f t="shared" si="135"/>
        <v>23214.499999999996</v>
      </c>
      <c r="Q955" s="7">
        <v>70240</v>
      </c>
      <c r="R955" s="7">
        <v>60.859999999989668</v>
      </c>
      <c r="S955" s="7">
        <f t="shared" si="136"/>
        <v>81.146666666652891</v>
      </c>
      <c r="T955" s="2">
        <v>7848</v>
      </c>
      <c r="U955" s="7">
        <f t="shared" si="142"/>
        <v>518130.2114999998</v>
      </c>
      <c r="V955" s="7">
        <f t="shared" si="137"/>
        <v>66.020669151376126</v>
      </c>
      <c r="W955" s="17"/>
      <c r="X955" s="11"/>
      <c r="AA955" s="11"/>
      <c r="AB955" s="11"/>
      <c r="AC955" s="11"/>
      <c r="AD955" s="11"/>
      <c r="AE955" s="11"/>
    </row>
    <row r="956" spans="1:31" x14ac:dyDescent="0.25">
      <c r="A956" s="15" t="s">
        <v>1</v>
      </c>
      <c r="B956" s="21">
        <v>46127</v>
      </c>
      <c r="C956" s="8">
        <v>5125</v>
      </c>
      <c r="D956" s="8">
        <v>15930.000000000007</v>
      </c>
      <c r="E956" s="8">
        <v>0</v>
      </c>
      <c r="F956" s="7">
        <v>0</v>
      </c>
      <c r="G956" s="8">
        <v>12780</v>
      </c>
      <c r="H956" s="8">
        <v>12653</v>
      </c>
      <c r="I956" s="8">
        <v>0</v>
      </c>
      <c r="J956" s="2">
        <v>30</v>
      </c>
      <c r="K956" s="23">
        <f t="shared" si="141"/>
        <v>65539.675000000003</v>
      </c>
      <c r="L956" s="23">
        <f t="shared" si="138"/>
        <v>5.1283000782472614</v>
      </c>
      <c r="M956" s="12" t="s">
        <v>11</v>
      </c>
      <c r="N956" s="7">
        <v>30532</v>
      </c>
      <c r="O956" s="7">
        <v>27128.34</v>
      </c>
      <c r="P956" s="7">
        <f t="shared" si="135"/>
        <v>30827.659090909092</v>
      </c>
      <c r="Q956" s="7">
        <v>58471</v>
      </c>
      <c r="R956" s="7">
        <v>8244.2799999999916</v>
      </c>
      <c r="S956" s="7">
        <f t="shared" si="136"/>
        <v>10992.373333333322</v>
      </c>
      <c r="T956" s="2">
        <v>8415</v>
      </c>
      <c r="U956" s="7">
        <f t="shared" si="142"/>
        <v>655807.33524999989</v>
      </c>
      <c r="V956" s="7">
        <f t="shared" si="137"/>
        <v>77.933135502079608</v>
      </c>
      <c r="W956" s="17"/>
      <c r="X956" s="11"/>
      <c r="AA956" s="11"/>
      <c r="AB956" s="11"/>
      <c r="AC956" s="11"/>
      <c r="AD956" s="11"/>
      <c r="AE956" s="11"/>
    </row>
    <row r="957" spans="1:31" x14ac:dyDescent="0.25">
      <c r="A957" s="15" t="s">
        <v>1</v>
      </c>
      <c r="B957" s="21">
        <v>46128</v>
      </c>
      <c r="C957" s="7">
        <v>4029</v>
      </c>
      <c r="D957" s="7">
        <v>15409.999999999996</v>
      </c>
      <c r="E957" s="7">
        <v>5000</v>
      </c>
      <c r="F957" s="7">
        <v>0</v>
      </c>
      <c r="G957" s="7">
        <v>14928</v>
      </c>
      <c r="H957" s="7">
        <v>10768</v>
      </c>
      <c r="I957" s="7">
        <v>37404</v>
      </c>
      <c r="J957" s="2">
        <v>32.299999237060547</v>
      </c>
      <c r="K957" s="23">
        <f t="shared" si="141"/>
        <v>92995.986999999994</v>
      </c>
      <c r="L957" s="23">
        <f t="shared" si="138"/>
        <v>6.2296347132904604</v>
      </c>
      <c r="M957" s="12" t="s">
        <v>11</v>
      </c>
      <c r="N957" s="7">
        <v>30397</v>
      </c>
      <c r="O957" s="7">
        <v>30178.849999999995</v>
      </c>
      <c r="P957" s="7">
        <f t="shared" si="135"/>
        <v>34294.147727272721</v>
      </c>
      <c r="Q957" s="7">
        <v>52168</v>
      </c>
      <c r="R957" s="7">
        <v>9449.3600000000206</v>
      </c>
      <c r="S957" s="7">
        <f t="shared" si="136"/>
        <v>12599.146666666695</v>
      </c>
      <c r="T957" s="2">
        <v>7823</v>
      </c>
      <c r="U957" s="7">
        <f t="shared" si="142"/>
        <v>672997.07512500021</v>
      </c>
      <c r="V957" s="7">
        <f t="shared" si="137"/>
        <v>86.02800397865272</v>
      </c>
      <c r="W957" s="17"/>
      <c r="X957" s="11"/>
      <c r="AA957" s="11"/>
      <c r="AB957" s="11"/>
      <c r="AC957" s="11"/>
      <c r="AD957" s="11"/>
      <c r="AE957" s="11"/>
    </row>
    <row r="958" spans="1:31" x14ac:dyDescent="0.25">
      <c r="A958" s="15" t="s">
        <v>1</v>
      </c>
      <c r="B958" s="21">
        <v>46129</v>
      </c>
      <c r="C958" s="7">
        <v>4183</v>
      </c>
      <c r="D958" s="7">
        <v>14780.000000000002</v>
      </c>
      <c r="E958" s="7">
        <v>4800</v>
      </c>
      <c r="F958" s="7">
        <v>0</v>
      </c>
      <c r="G958" s="7">
        <v>14858</v>
      </c>
      <c r="H958" s="7">
        <v>10490</v>
      </c>
      <c r="I958" s="7">
        <v>41011</v>
      </c>
      <c r="J958" s="2">
        <v>32.450000762939453</v>
      </c>
      <c r="K958" s="23">
        <f t="shared" si="141"/>
        <v>92799.948999999993</v>
      </c>
      <c r="L958" s="23">
        <f t="shared" si="138"/>
        <v>6.2457900794184944</v>
      </c>
      <c r="M958" s="12" t="s">
        <v>11</v>
      </c>
      <c r="N958" s="7">
        <v>31151</v>
      </c>
      <c r="O958" s="7">
        <v>35926.47</v>
      </c>
      <c r="P958" s="7">
        <f t="shared" si="135"/>
        <v>40825.534090909096</v>
      </c>
      <c r="Q958" s="7">
        <v>49081</v>
      </c>
      <c r="R958" s="7">
        <v>12012.539999999999</v>
      </c>
      <c r="S958" s="7">
        <f t="shared" si="136"/>
        <v>16016.72</v>
      </c>
      <c r="T958" s="2">
        <v>8847</v>
      </c>
      <c r="U958" s="7">
        <f t="shared" si="142"/>
        <v>751068.45137499995</v>
      </c>
      <c r="V958" s="7">
        <f t="shared" si="137"/>
        <v>84.895269738329375</v>
      </c>
      <c r="W958" s="17"/>
      <c r="X958" s="11"/>
      <c r="AA958" s="11"/>
      <c r="AB958" s="11"/>
      <c r="AC958" s="11"/>
      <c r="AD958" s="11"/>
      <c r="AE958" s="11"/>
    </row>
    <row r="959" spans="1:31" x14ac:dyDescent="0.25">
      <c r="A959" s="15" t="s">
        <v>1</v>
      </c>
      <c r="B959" s="21">
        <v>46130</v>
      </c>
      <c r="C959" s="7">
        <v>4524</v>
      </c>
      <c r="D959" s="7">
        <v>16390.000000000015</v>
      </c>
      <c r="E959" s="7">
        <v>0</v>
      </c>
      <c r="F959" s="7">
        <v>0</v>
      </c>
      <c r="G959" s="7">
        <v>12397</v>
      </c>
      <c r="H959" s="7">
        <v>11432</v>
      </c>
      <c r="I959" s="7">
        <v>0</v>
      </c>
      <c r="J959" s="2">
        <v>32.75</v>
      </c>
      <c r="K959" s="23">
        <f t="shared" si="141"/>
        <v>59041.272000000004</v>
      </c>
      <c r="L959" s="23">
        <f t="shared" si="138"/>
        <v>4.7625451318867471</v>
      </c>
      <c r="M959" s="12" t="s">
        <v>11</v>
      </c>
      <c r="N959" s="7">
        <v>32363</v>
      </c>
      <c r="O959" s="7">
        <v>44571.840000000011</v>
      </c>
      <c r="P959" s="7">
        <f t="shared" si="135"/>
        <v>50649.818181818191</v>
      </c>
      <c r="Q959" s="7">
        <v>40339</v>
      </c>
      <c r="R959" s="7">
        <v>14614.859999999988</v>
      </c>
      <c r="S959" s="7">
        <f t="shared" si="136"/>
        <v>19486.479999999985</v>
      </c>
      <c r="T959" s="2">
        <v>9279</v>
      </c>
      <c r="U959" s="7">
        <f t="shared" si="142"/>
        <v>829386.00999999989</v>
      </c>
      <c r="V959" s="7">
        <f t="shared" si="137"/>
        <v>89.383124259079636</v>
      </c>
      <c r="W959" s="17"/>
      <c r="X959" s="11"/>
      <c r="AA959" s="11"/>
      <c r="AB959" s="11"/>
      <c r="AC959" s="11"/>
      <c r="AD959" s="11"/>
      <c r="AE959" s="11"/>
    </row>
    <row r="960" spans="1:31" x14ac:dyDescent="0.25">
      <c r="A960" s="15" t="s">
        <v>1</v>
      </c>
      <c r="B960" s="21">
        <v>46131</v>
      </c>
      <c r="C960" s="7">
        <v>5152</v>
      </c>
      <c r="D960" s="7">
        <v>7050.0000000000109</v>
      </c>
      <c r="E960" s="7">
        <v>0</v>
      </c>
      <c r="F960" s="7">
        <v>0</v>
      </c>
      <c r="G960" s="7">
        <v>5282</v>
      </c>
      <c r="H960" s="7">
        <v>4732</v>
      </c>
      <c r="I960" s="7">
        <v>0</v>
      </c>
      <c r="J960" s="2">
        <v>34.599998474121087</v>
      </c>
      <c r="K960" s="23">
        <f t="shared" si="141"/>
        <v>61313.356000000007</v>
      </c>
      <c r="L960" s="23">
        <f t="shared" si="138"/>
        <v>11.607981067777358</v>
      </c>
      <c r="M960" s="12" t="s">
        <v>11</v>
      </c>
      <c r="N960" s="7">
        <v>26483</v>
      </c>
      <c r="O960" s="7">
        <v>13928.699999999992</v>
      </c>
      <c r="P960" s="7">
        <f t="shared" si="135"/>
        <v>15828.068181818173</v>
      </c>
      <c r="Q960" s="7">
        <v>60691</v>
      </c>
      <c r="R960" s="7">
        <v>2997.9200000000028</v>
      </c>
      <c r="S960" s="7">
        <f t="shared" si="136"/>
        <v>3997.2266666666706</v>
      </c>
      <c r="T960" s="2">
        <v>6560</v>
      </c>
      <c r="U960" s="7">
        <f t="shared" si="142"/>
        <v>463301.46775000001</v>
      </c>
      <c r="V960" s="7">
        <f t="shared" si="137"/>
        <v>70.625223742378054</v>
      </c>
      <c r="W960" s="17"/>
      <c r="X960" s="11"/>
      <c r="AA960" s="11"/>
      <c r="AB960" s="11"/>
      <c r="AC960" s="11"/>
      <c r="AD960" s="11"/>
      <c r="AE960" s="11"/>
    </row>
    <row r="961" spans="1:31" x14ac:dyDescent="0.25">
      <c r="A961" s="15" t="s">
        <v>1</v>
      </c>
      <c r="B961" s="21">
        <v>46132</v>
      </c>
      <c r="C961" s="8">
        <v>3150</v>
      </c>
      <c r="D961" s="8">
        <v>13529.999999999973</v>
      </c>
      <c r="E961" s="8">
        <v>0</v>
      </c>
      <c r="F961" s="7">
        <v>0</v>
      </c>
      <c r="G961" s="8">
        <v>11203</v>
      </c>
      <c r="H961" s="8">
        <v>8746</v>
      </c>
      <c r="I961" s="8">
        <v>0</v>
      </c>
      <c r="J961" s="2">
        <v>22.20000076293945</v>
      </c>
      <c r="K961" s="23">
        <f t="shared" si="141"/>
        <v>42189.749999999985</v>
      </c>
      <c r="L961" s="23">
        <f t="shared" si="138"/>
        <v>3.765933232169953</v>
      </c>
      <c r="M961" s="12" t="s">
        <v>11</v>
      </c>
      <c r="N961" s="7">
        <v>29925</v>
      </c>
      <c r="O961" s="7">
        <v>24423.730000000003</v>
      </c>
      <c r="P961" s="7">
        <f t="shared" si="135"/>
        <v>27754.23863636364</v>
      </c>
      <c r="Q961" s="7">
        <v>64999</v>
      </c>
      <c r="R961" s="7">
        <v>8619.0199999999822</v>
      </c>
      <c r="S961" s="7">
        <f t="shared" si="136"/>
        <v>11492.026666666643</v>
      </c>
      <c r="T961" s="2">
        <v>9194</v>
      </c>
      <c r="U961" s="7">
        <f t="shared" si="142"/>
        <v>667898.20812499977</v>
      </c>
      <c r="V961" s="7">
        <f t="shared" si="137"/>
        <v>72.645008497389583</v>
      </c>
      <c r="W961" s="17"/>
      <c r="X961" s="11"/>
      <c r="AA961" s="11"/>
      <c r="AB961" s="11"/>
      <c r="AC961" s="11"/>
      <c r="AD961" s="11"/>
      <c r="AE961" s="11"/>
    </row>
    <row r="962" spans="1:31" x14ac:dyDescent="0.25">
      <c r="A962" s="15" t="s">
        <v>1</v>
      </c>
      <c r="B962" s="21">
        <v>46133</v>
      </c>
      <c r="C962" s="7">
        <v>4060</v>
      </c>
      <c r="D962" s="7">
        <v>14389.999999999985</v>
      </c>
      <c r="E962" s="7">
        <v>4150</v>
      </c>
      <c r="F962" s="7">
        <v>0</v>
      </c>
      <c r="G962" s="7">
        <v>12806</v>
      </c>
      <c r="H962" s="7">
        <v>11193</v>
      </c>
      <c r="I962" s="7">
        <v>25207</v>
      </c>
      <c r="J962" s="2">
        <v>26.04999923706055</v>
      </c>
      <c r="K962" s="23">
        <f t="shared" si="141"/>
        <v>86023.079999999987</v>
      </c>
      <c r="L962" s="23">
        <f t="shared" si="138"/>
        <v>6.7174043417148201</v>
      </c>
      <c r="M962" s="12" t="s">
        <v>11</v>
      </c>
      <c r="N962" s="7">
        <v>31068</v>
      </c>
      <c r="O962" s="7">
        <v>29870.029999999992</v>
      </c>
      <c r="P962" s="7">
        <f t="shared" ref="P962:P971" si="143">O962/0.88</f>
        <v>33943.215909090897</v>
      </c>
      <c r="Q962" s="7">
        <v>64364</v>
      </c>
      <c r="R962" s="7">
        <v>5561.9600000000028</v>
      </c>
      <c r="S962" s="7">
        <f t="shared" si="136"/>
        <v>7415.9466666666704</v>
      </c>
      <c r="T962" s="2">
        <v>8456</v>
      </c>
      <c r="U962" s="7">
        <f t="shared" si="142"/>
        <v>663758.96987499995</v>
      </c>
      <c r="V962" s="7">
        <f t="shared" si="137"/>
        <v>78.495620846144746</v>
      </c>
      <c r="W962" s="17"/>
      <c r="X962" s="11"/>
      <c r="AA962" s="11"/>
      <c r="AB962" s="11"/>
      <c r="AC962" s="11"/>
      <c r="AD962" s="11"/>
      <c r="AE962" s="11"/>
    </row>
    <row r="963" spans="1:31" x14ac:dyDescent="0.25">
      <c r="A963" s="15" t="s">
        <v>1</v>
      </c>
      <c r="B963" s="21">
        <v>46134</v>
      </c>
      <c r="C963" s="7">
        <v>4300</v>
      </c>
      <c r="D963" s="7">
        <v>17799.999999999956</v>
      </c>
      <c r="E963" s="7">
        <v>0</v>
      </c>
      <c r="F963" s="7">
        <v>0</v>
      </c>
      <c r="G963" s="7">
        <v>13289</v>
      </c>
      <c r="H963" s="7">
        <v>13160</v>
      </c>
      <c r="I963" s="7">
        <v>0</v>
      </c>
      <c r="J963" s="2">
        <v>22.25</v>
      </c>
      <c r="K963" s="23">
        <f t="shared" si="141"/>
        <v>57250.899999999972</v>
      </c>
      <c r="L963" s="23">
        <f t="shared" si="138"/>
        <v>4.3081420723906971</v>
      </c>
      <c r="M963" s="12" t="s">
        <v>11</v>
      </c>
      <c r="N963" s="7">
        <v>29954</v>
      </c>
      <c r="O963" s="7">
        <v>11939.640000000007</v>
      </c>
      <c r="P963" s="7">
        <f t="shared" si="143"/>
        <v>13567.772727272735</v>
      </c>
      <c r="Q963" s="7">
        <v>85000</v>
      </c>
      <c r="R963" s="7">
        <v>20.86000000002241</v>
      </c>
      <c r="S963" s="7">
        <f t="shared" ref="S963:S971" si="144">R963/0.75</f>
        <v>27.813333333363214</v>
      </c>
      <c r="T963" s="2">
        <v>8510</v>
      </c>
      <c r="U963" s="7">
        <f t="shared" si="142"/>
        <v>511235.56750000035</v>
      </c>
      <c r="V963" s="7">
        <f t="shared" ref="V963:V971" si="145">U963/T963</f>
        <v>60.074684782608735</v>
      </c>
      <c r="W963" s="17"/>
      <c r="X963" s="11"/>
      <c r="AA963" s="11"/>
      <c r="AB963" s="11"/>
      <c r="AC963" s="11"/>
      <c r="AD963" s="11"/>
      <c r="AE963" s="11"/>
    </row>
    <row r="964" spans="1:31" x14ac:dyDescent="0.25">
      <c r="A964" s="15" t="s">
        <v>1</v>
      </c>
      <c r="B964" s="21">
        <v>46135</v>
      </c>
      <c r="C964" s="7">
        <v>7300</v>
      </c>
      <c r="D964" s="7">
        <v>15070.000000000051</v>
      </c>
      <c r="E964" s="7">
        <v>5275</v>
      </c>
      <c r="F964" s="7">
        <v>0</v>
      </c>
      <c r="G964" s="7">
        <v>12802</v>
      </c>
      <c r="H964" s="7">
        <v>11326</v>
      </c>
      <c r="I964" s="7">
        <v>25207</v>
      </c>
      <c r="J964" s="2">
        <v>22.70000076293945</v>
      </c>
      <c r="K964" s="23">
        <f t="shared" si="141"/>
        <v>131667.60000000003</v>
      </c>
      <c r="L964" s="23">
        <f t="shared" si="138"/>
        <v>10.284924230588974</v>
      </c>
      <c r="M964" s="12" t="s">
        <v>11</v>
      </c>
      <c r="N964" s="7">
        <v>27123</v>
      </c>
      <c r="O964" s="7">
        <v>6500.0599999999959</v>
      </c>
      <c r="P964" s="7">
        <f t="shared" si="143"/>
        <v>7386.4318181818135</v>
      </c>
      <c r="Q964" s="7">
        <v>73000</v>
      </c>
      <c r="R964" s="7">
        <v>6331.4399999999841</v>
      </c>
      <c r="S964" s="7">
        <f t="shared" si="144"/>
        <v>8441.9199999999782</v>
      </c>
      <c r="T964" s="2">
        <v>7230</v>
      </c>
      <c r="U964" s="7">
        <f t="shared" si="142"/>
        <v>509158.8337499997</v>
      </c>
      <c r="V964" s="7">
        <f t="shared" si="145"/>
        <v>70.423075207468841</v>
      </c>
      <c r="W964" s="17"/>
      <c r="X964" s="11"/>
      <c r="AA964" s="11"/>
      <c r="AB964" s="11"/>
      <c r="AC964" s="11"/>
      <c r="AD964" s="11"/>
      <c r="AE964" s="11"/>
    </row>
    <row r="965" spans="1:31" x14ac:dyDescent="0.25">
      <c r="A965" s="15" t="s">
        <v>1</v>
      </c>
      <c r="B965" s="21">
        <v>46136</v>
      </c>
      <c r="C965" s="7">
        <v>5164</v>
      </c>
      <c r="D965" s="7">
        <v>15469.999999999971</v>
      </c>
      <c r="E965" s="7">
        <v>0</v>
      </c>
      <c r="F965" s="7">
        <v>0</v>
      </c>
      <c r="G965" s="7">
        <v>12601</v>
      </c>
      <c r="H965" s="7">
        <v>10576</v>
      </c>
      <c r="I965" s="7">
        <v>0</v>
      </c>
      <c r="J965" s="2">
        <v>26</v>
      </c>
      <c r="K965" s="23">
        <f t="shared" si="141"/>
        <v>65741.991999999984</v>
      </c>
      <c r="L965" s="23">
        <f t="shared" si="138"/>
        <v>5.2172043488612001</v>
      </c>
      <c r="M965" s="12" t="s">
        <v>11</v>
      </c>
      <c r="N965" s="7">
        <v>29695</v>
      </c>
      <c r="O965" s="7">
        <v>19964.470000000008</v>
      </c>
      <c r="P965" s="7">
        <f t="shared" si="143"/>
        <v>22686.897727272735</v>
      </c>
      <c r="Q965" s="7">
        <v>78812</v>
      </c>
      <c r="R965" s="7">
        <v>0.86000000000422006</v>
      </c>
      <c r="S965" s="7">
        <f t="shared" si="144"/>
        <v>1.1466666666722933</v>
      </c>
      <c r="T965" s="2">
        <v>7934</v>
      </c>
      <c r="U965" s="7">
        <f t="shared" si="142"/>
        <v>552632.25037500006</v>
      </c>
      <c r="V965" s="7">
        <f t="shared" si="145"/>
        <v>69.65367410826822</v>
      </c>
      <c r="W965" s="17"/>
      <c r="X965" s="11"/>
      <c r="AA965" s="11"/>
      <c r="AB965" s="11"/>
      <c r="AC965" s="11"/>
      <c r="AD965" s="11"/>
      <c r="AE965" s="11"/>
    </row>
    <row r="966" spans="1:31" x14ac:dyDescent="0.25">
      <c r="A966" s="15" t="s">
        <v>1</v>
      </c>
      <c r="B966" s="21">
        <v>46137</v>
      </c>
      <c r="C966" s="8">
        <v>5830</v>
      </c>
      <c r="D966" s="8">
        <v>16560.000000000004</v>
      </c>
      <c r="E966" s="8">
        <v>0</v>
      </c>
      <c r="F966" s="7">
        <v>0</v>
      </c>
      <c r="G966" s="8">
        <v>14157</v>
      </c>
      <c r="H966" s="8">
        <v>11194</v>
      </c>
      <c r="I966" s="8">
        <v>0</v>
      </c>
      <c r="J966" s="2">
        <v>27.89999961853027</v>
      </c>
      <c r="K966" s="23">
        <f t="shared" si="141"/>
        <v>73759.09</v>
      </c>
      <c r="L966" s="23">
        <f t="shared" si="138"/>
        <v>5.210079112806385</v>
      </c>
      <c r="M966" s="12" t="s">
        <v>11</v>
      </c>
      <c r="N966" s="7">
        <v>32187</v>
      </c>
      <c r="O966" s="7">
        <v>26928.819999999992</v>
      </c>
      <c r="P966" s="7">
        <f t="shared" si="143"/>
        <v>30600.931818181809</v>
      </c>
      <c r="Q966" s="7">
        <v>80336</v>
      </c>
      <c r="R966" s="7">
        <v>0</v>
      </c>
      <c r="S966" s="7">
        <f t="shared" si="144"/>
        <v>0</v>
      </c>
      <c r="T966" s="2">
        <v>8995</v>
      </c>
      <c r="U966" s="7">
        <f t="shared" si="142"/>
        <v>621924.75524999993</v>
      </c>
      <c r="V966" s="7">
        <f t="shared" si="145"/>
        <v>69.141162340188984</v>
      </c>
      <c r="W966" s="17"/>
      <c r="X966" s="11"/>
      <c r="AA966" s="11"/>
      <c r="AB966" s="11"/>
      <c r="AC966" s="11"/>
      <c r="AD966" s="11"/>
      <c r="AE966" s="11"/>
    </row>
    <row r="967" spans="1:31" x14ac:dyDescent="0.25">
      <c r="A967" s="15" t="s">
        <v>1</v>
      </c>
      <c r="B967" s="21">
        <v>46138</v>
      </c>
      <c r="C967" s="7">
        <v>5110</v>
      </c>
      <c r="D967" s="7">
        <v>15170.000000000016</v>
      </c>
      <c r="E967" s="7">
        <v>0</v>
      </c>
      <c r="F967" s="7">
        <v>0</v>
      </c>
      <c r="G967" s="7">
        <v>11868</v>
      </c>
      <c r="H967" s="7">
        <v>10323</v>
      </c>
      <c r="I967" s="7">
        <v>0</v>
      </c>
      <c r="J967" s="2">
        <v>26.35000038146973</v>
      </c>
      <c r="K967" s="23">
        <f t="shared" si="141"/>
        <v>64984.030000000006</v>
      </c>
      <c r="L967" s="23">
        <f t="shared" si="138"/>
        <v>5.4755670711156057</v>
      </c>
      <c r="M967" s="12" t="s">
        <v>11</v>
      </c>
      <c r="N967" s="7">
        <v>31843</v>
      </c>
      <c r="O967" s="7">
        <v>19035.890000000007</v>
      </c>
      <c r="P967" s="7">
        <f t="shared" si="143"/>
        <v>21631.693181818191</v>
      </c>
      <c r="Q967" s="7">
        <v>91982</v>
      </c>
      <c r="R967" s="7">
        <v>3372.6599999999949</v>
      </c>
      <c r="S967" s="7">
        <f t="shared" si="144"/>
        <v>4496.8799999999928</v>
      </c>
      <c r="T967" s="2">
        <v>9591</v>
      </c>
      <c r="U967" s="7">
        <f t="shared" si="142"/>
        <v>660796.208125</v>
      </c>
      <c r="V967" s="7">
        <f t="shared" si="145"/>
        <v>68.897529780523413</v>
      </c>
      <c r="W967" s="17"/>
      <c r="X967" s="11"/>
      <c r="AA967" s="11"/>
      <c r="AB967" s="11"/>
      <c r="AC967" s="11"/>
      <c r="AD967" s="11"/>
      <c r="AE967" s="11"/>
    </row>
    <row r="968" spans="1:31" x14ac:dyDescent="0.25">
      <c r="A968" s="15" t="s">
        <v>1</v>
      </c>
      <c r="B968" s="21">
        <v>46139</v>
      </c>
      <c r="C968" s="7">
        <v>3940</v>
      </c>
      <c r="D968" s="7">
        <v>9120.0000000000036</v>
      </c>
      <c r="E968" s="7">
        <v>0</v>
      </c>
      <c r="F968" s="7">
        <v>0</v>
      </c>
      <c r="G968" s="7">
        <v>10339</v>
      </c>
      <c r="H968" s="7">
        <v>8168</v>
      </c>
      <c r="I968" s="7">
        <v>0</v>
      </c>
      <c r="J968" s="2">
        <v>21.29999923706055</v>
      </c>
      <c r="K968" s="23">
        <f t="shared" si="141"/>
        <v>48791.020000000004</v>
      </c>
      <c r="L968" s="23">
        <f t="shared" si="138"/>
        <v>4.7191237063545799</v>
      </c>
      <c r="M968" s="12" t="s">
        <v>11</v>
      </c>
      <c r="N968" s="7">
        <v>14880</v>
      </c>
      <c r="O968" s="7">
        <v>1063.6299999999901</v>
      </c>
      <c r="P968" s="7">
        <f t="shared" si="143"/>
        <v>1208.6704545454434</v>
      </c>
      <c r="Q968" s="7">
        <v>35621</v>
      </c>
      <c r="R968" s="7">
        <v>4496.8800000000037</v>
      </c>
      <c r="S968" s="7">
        <f t="shared" si="144"/>
        <v>5995.8400000000047</v>
      </c>
      <c r="T968" s="2">
        <v>3590</v>
      </c>
      <c r="U968" s="7">
        <f t="shared" si="142"/>
        <v>253614.91387499997</v>
      </c>
      <c r="V968" s="7">
        <f t="shared" si="145"/>
        <v>70.64482280640668</v>
      </c>
      <c r="W968" s="17"/>
      <c r="X968" s="11"/>
      <c r="AA968" s="11"/>
      <c r="AB968" s="11"/>
      <c r="AC968" s="11"/>
      <c r="AD968" s="11"/>
      <c r="AE968" s="11"/>
    </row>
    <row r="969" spans="1:31" x14ac:dyDescent="0.25">
      <c r="A969" s="15" t="s">
        <v>1</v>
      </c>
      <c r="B969" s="21">
        <v>46140</v>
      </c>
      <c r="C969" s="7">
        <v>4355</v>
      </c>
      <c r="D969" s="7">
        <v>13269.999999999982</v>
      </c>
      <c r="E969" s="7">
        <v>2675</v>
      </c>
      <c r="F969" s="7">
        <v>0</v>
      </c>
      <c r="G969" s="7">
        <v>14095</v>
      </c>
      <c r="H969" s="7">
        <v>10492</v>
      </c>
      <c r="I969" s="7">
        <v>25066</v>
      </c>
      <c r="J969" s="2">
        <v>22.04999923706055</v>
      </c>
      <c r="K969" s="23">
        <f t="shared" si="141"/>
        <v>76956.764999999985</v>
      </c>
      <c r="L969" s="23">
        <f t="shared" ref="L969:L1032" si="146">K969/G969</f>
        <v>5.4598627172756284</v>
      </c>
      <c r="M969" s="12" t="s">
        <v>11</v>
      </c>
      <c r="N969" s="7">
        <v>11280</v>
      </c>
      <c r="O969" s="7">
        <v>0</v>
      </c>
      <c r="P969" s="7">
        <f t="shared" si="143"/>
        <v>0</v>
      </c>
      <c r="Q969" s="7">
        <v>31589</v>
      </c>
      <c r="R969" s="7">
        <v>19.139999999995801</v>
      </c>
      <c r="S969" s="7">
        <f t="shared" si="144"/>
        <v>25.5199999999944</v>
      </c>
      <c r="T969" s="2">
        <v>2851</v>
      </c>
      <c r="U969" s="7">
        <f t="shared" si="142"/>
        <v>151372.26799999992</v>
      </c>
      <c r="V969" s="7">
        <f t="shared" si="145"/>
        <v>53.094446860750587</v>
      </c>
      <c r="W969" s="17"/>
      <c r="X969" s="11"/>
      <c r="AA969" s="11"/>
      <c r="AB969" s="11"/>
      <c r="AC969" s="11"/>
      <c r="AD969" s="11"/>
      <c r="AE969" s="11"/>
    </row>
    <row r="970" spans="1:31" x14ac:dyDescent="0.25">
      <c r="A970" s="15" t="s">
        <v>1</v>
      </c>
      <c r="B970" s="21">
        <v>46141</v>
      </c>
      <c r="C970" s="7">
        <v>7058</v>
      </c>
      <c r="D970" s="7">
        <v>10180.000000000007</v>
      </c>
      <c r="E970" s="7">
        <v>0</v>
      </c>
      <c r="F970" s="7">
        <v>0</v>
      </c>
      <c r="G970" s="7">
        <v>14043</v>
      </c>
      <c r="H970" s="7">
        <v>7865</v>
      </c>
      <c r="I970" s="7">
        <v>0</v>
      </c>
      <c r="J970" s="2">
        <v>24.20000076293945</v>
      </c>
      <c r="K970" s="23">
        <f t="shared" si="141"/>
        <v>84262.573999999993</v>
      </c>
      <c r="L970" s="23">
        <f t="shared" si="146"/>
        <v>6.0003257138788006</v>
      </c>
      <c r="M970" s="12" t="s">
        <v>11</v>
      </c>
      <c r="N970" s="7">
        <v>22357</v>
      </c>
      <c r="O970" s="7">
        <v>0</v>
      </c>
      <c r="P970" s="7">
        <f t="shared" si="143"/>
        <v>0</v>
      </c>
      <c r="Q970" s="7">
        <v>70723</v>
      </c>
      <c r="R970" s="7">
        <v>7910.4000000000033</v>
      </c>
      <c r="S970" s="7">
        <f t="shared" si="144"/>
        <v>10547.200000000004</v>
      </c>
      <c r="T970" s="2">
        <v>6987</v>
      </c>
      <c r="U970" s="7">
        <f t="shared" si="142"/>
        <v>464876.35000000003</v>
      </c>
      <c r="V970" s="7">
        <f t="shared" si="145"/>
        <v>66.534471160727065</v>
      </c>
      <c r="W970" s="17"/>
      <c r="X970" s="11"/>
      <c r="AA970" s="11"/>
      <c r="AB970" s="11"/>
      <c r="AC970" s="11"/>
      <c r="AD970" s="11"/>
      <c r="AE970" s="11"/>
    </row>
    <row r="971" spans="1:31" x14ac:dyDescent="0.25">
      <c r="A971" s="15" t="s">
        <v>1</v>
      </c>
      <c r="B971" s="21">
        <v>46142</v>
      </c>
      <c r="C971" s="7">
        <v>4070</v>
      </c>
      <c r="D971" s="7">
        <v>7810.0000000000018</v>
      </c>
      <c r="E971" s="7">
        <v>4325</v>
      </c>
      <c r="F971" s="7">
        <v>0</v>
      </c>
      <c r="G971" s="7">
        <v>14781</v>
      </c>
      <c r="H971" s="7">
        <v>5547</v>
      </c>
      <c r="I971" s="7">
        <v>26319</v>
      </c>
      <c r="J971" s="2">
        <v>24.300000780000001</v>
      </c>
      <c r="K971" s="23">
        <f t="shared" si="141"/>
        <v>84179.31</v>
      </c>
      <c r="L971" s="23">
        <f t="shared" si="146"/>
        <v>5.6951024964481425</v>
      </c>
      <c r="M971" s="12" t="s">
        <v>11</v>
      </c>
      <c r="N971" s="7">
        <v>12834</v>
      </c>
      <c r="O971" s="7">
        <v>0</v>
      </c>
      <c r="P971" s="7">
        <f t="shared" si="143"/>
        <v>0</v>
      </c>
      <c r="Q971" s="7">
        <v>33625</v>
      </c>
      <c r="R971" s="7">
        <v>2248.4399999999855</v>
      </c>
      <c r="S971" s="7">
        <f t="shared" si="144"/>
        <v>2997.9199999999805</v>
      </c>
      <c r="T971" s="2">
        <v>3241</v>
      </c>
      <c r="U971" s="7">
        <f t="shared" si="142"/>
        <v>197645.06799999977</v>
      </c>
      <c r="V971" s="7">
        <f t="shared" si="145"/>
        <v>60.982742363467992</v>
      </c>
      <c r="W971" s="17"/>
      <c r="X971" s="11"/>
      <c r="AA971" s="11"/>
      <c r="AB971" s="11"/>
      <c r="AC971" s="11"/>
      <c r="AD971" s="11"/>
      <c r="AE971" s="11"/>
    </row>
    <row r="972" spans="1:31" x14ac:dyDescent="0.25">
      <c r="A972" s="18" t="s">
        <v>2</v>
      </c>
      <c r="B972" s="20">
        <v>45658</v>
      </c>
      <c r="C972" s="7">
        <v>4120</v>
      </c>
      <c r="D972" s="7">
        <v>900</v>
      </c>
      <c r="E972" s="7">
        <v>0</v>
      </c>
      <c r="F972" s="7"/>
      <c r="G972" s="7">
        <v>5620.47</v>
      </c>
      <c r="H972" s="7">
        <v>295.47000000000003</v>
      </c>
      <c r="I972" s="7">
        <v>0</v>
      </c>
      <c r="J972" s="2">
        <v>18.20000076293945</v>
      </c>
      <c r="K972" s="23">
        <f>C972*8.012+D972*0.58+E972*6.7+F972*5</f>
        <v>33531.440000000002</v>
      </c>
      <c r="L972" s="23">
        <f t="shared" si="146"/>
        <v>5.9659494668595334</v>
      </c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AA972" s="11"/>
      <c r="AB972" s="11"/>
      <c r="AC972" s="11"/>
      <c r="AD972" s="11"/>
      <c r="AE972" s="11"/>
    </row>
    <row r="973" spans="1:31" x14ac:dyDescent="0.25">
      <c r="A973" s="18" t="s">
        <v>2</v>
      </c>
      <c r="B973" s="21">
        <v>45659</v>
      </c>
      <c r="C973" s="7">
        <v>3271</v>
      </c>
      <c r="D973" s="7">
        <v>2461</v>
      </c>
      <c r="E973" s="7">
        <v>1700</v>
      </c>
      <c r="F973" s="7"/>
      <c r="G973" s="7">
        <v>6589.8</v>
      </c>
      <c r="H973" s="7">
        <v>1268.0000000000002</v>
      </c>
      <c r="I973" s="7">
        <v>9184</v>
      </c>
      <c r="J973" s="2">
        <v>20.04999923706055</v>
      </c>
      <c r="K973" s="23">
        <f>C973*8.012+D973*0.58+E973*6.7+F973*5</f>
        <v>39024.631999999998</v>
      </c>
      <c r="L973" s="23">
        <f t="shared" si="146"/>
        <v>5.9219751737533759</v>
      </c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AA973" s="11"/>
      <c r="AB973" s="11"/>
      <c r="AC973" s="11"/>
      <c r="AD973" s="11"/>
      <c r="AE973" s="11"/>
    </row>
    <row r="974" spans="1:31" x14ac:dyDescent="0.25">
      <c r="A974" s="18" t="s">
        <v>2</v>
      </c>
      <c r="B974" s="21">
        <v>45660</v>
      </c>
      <c r="C974" s="7">
        <v>2970</v>
      </c>
      <c r="D974" s="7">
        <v>1785</v>
      </c>
      <c r="E974" s="7">
        <v>0</v>
      </c>
      <c r="F974" s="7"/>
      <c r="G974" s="7">
        <v>5647.1030985915495</v>
      </c>
      <c r="H974" s="7">
        <v>1154</v>
      </c>
      <c r="I974" s="7">
        <v>0</v>
      </c>
      <c r="J974" s="2">
        <v>19.29999923706055</v>
      </c>
      <c r="K974" s="23">
        <f t="shared" ref="K974:K1002" si="147">C974*8.012+D974*0.58+E974*6.7+F974*5</f>
        <v>24830.940000000002</v>
      </c>
      <c r="L974" s="23">
        <f t="shared" si="146"/>
        <v>4.3971111499970874</v>
      </c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AA974" s="11"/>
      <c r="AB974" s="11"/>
      <c r="AC974" s="11"/>
      <c r="AD974" s="11"/>
      <c r="AE974" s="11"/>
    </row>
    <row r="975" spans="1:31" x14ac:dyDescent="0.25">
      <c r="A975" s="18" t="s">
        <v>2</v>
      </c>
      <c r="B975" s="21">
        <v>45661</v>
      </c>
      <c r="C975" s="7">
        <v>3068</v>
      </c>
      <c r="D975" s="7">
        <v>2413</v>
      </c>
      <c r="E975" s="7">
        <v>0</v>
      </c>
      <c r="F975" s="7"/>
      <c r="G975" s="7">
        <v>5641.59</v>
      </c>
      <c r="H975" s="7">
        <v>1307.0000000000002</v>
      </c>
      <c r="I975" s="7">
        <v>0</v>
      </c>
      <c r="J975" s="2">
        <v>20.20000076293945</v>
      </c>
      <c r="K975" s="23">
        <f t="shared" si="147"/>
        <v>25980.356000000003</v>
      </c>
      <c r="L975" s="23">
        <f t="shared" si="146"/>
        <v>4.6051478395275094</v>
      </c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AA975" s="11"/>
      <c r="AB975" s="11"/>
      <c r="AC975" s="11"/>
      <c r="AD975" s="11"/>
      <c r="AE975" s="11"/>
    </row>
    <row r="976" spans="1:31" x14ac:dyDescent="0.25">
      <c r="A976" s="18" t="s">
        <v>2</v>
      </c>
      <c r="B976" s="21">
        <v>45662</v>
      </c>
      <c r="C976" s="8">
        <v>2861</v>
      </c>
      <c r="D976" s="8">
        <v>950</v>
      </c>
      <c r="E976" s="8">
        <v>0</v>
      </c>
      <c r="F976" s="8"/>
      <c r="G976" s="8">
        <v>4865.8999999999996</v>
      </c>
      <c r="H976" s="8">
        <v>0</v>
      </c>
      <c r="I976" s="8">
        <v>0</v>
      </c>
      <c r="J976" s="2">
        <v>18.25</v>
      </c>
      <c r="K976" s="23">
        <f t="shared" si="147"/>
        <v>23473.332000000002</v>
      </c>
      <c r="L976" s="23">
        <f t="shared" si="146"/>
        <v>4.8240473499249887</v>
      </c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AA976" s="11"/>
      <c r="AB976" s="11"/>
      <c r="AC976" s="11"/>
      <c r="AD976" s="11"/>
      <c r="AE976" s="11"/>
    </row>
    <row r="977" spans="1:31" x14ac:dyDescent="0.25">
      <c r="A977" s="18" t="s">
        <v>2</v>
      </c>
      <c r="B977" s="21">
        <v>45663</v>
      </c>
      <c r="C977" s="7">
        <v>2676</v>
      </c>
      <c r="D977" s="7">
        <v>2638</v>
      </c>
      <c r="E977" s="7">
        <v>1000</v>
      </c>
      <c r="F977" s="7"/>
      <c r="G977" s="7">
        <v>5630</v>
      </c>
      <c r="H977" s="7">
        <v>1630</v>
      </c>
      <c r="I977" s="7">
        <v>5460</v>
      </c>
      <c r="J977" s="2">
        <v>19</v>
      </c>
      <c r="K977" s="23">
        <f t="shared" si="147"/>
        <v>29670.152000000002</v>
      </c>
      <c r="L977" s="23">
        <f t="shared" si="146"/>
        <v>5.2700092362344586</v>
      </c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AA977" s="11"/>
      <c r="AB977" s="11"/>
      <c r="AC977" s="11"/>
      <c r="AD977" s="11"/>
      <c r="AE977" s="11"/>
    </row>
    <row r="978" spans="1:31" x14ac:dyDescent="0.25">
      <c r="A978" s="18" t="s">
        <v>2</v>
      </c>
      <c r="B978" s="21">
        <v>45664</v>
      </c>
      <c r="C978" s="7">
        <v>3252</v>
      </c>
      <c r="D978" s="7">
        <v>2636</v>
      </c>
      <c r="E978" s="7">
        <v>0</v>
      </c>
      <c r="F978" s="7"/>
      <c r="G978" s="7">
        <v>6549.2</v>
      </c>
      <c r="H978" s="7">
        <v>1729</v>
      </c>
      <c r="I978" s="7">
        <v>0</v>
      </c>
      <c r="J978" s="2">
        <v>21.04999923706055</v>
      </c>
      <c r="K978" s="23">
        <f t="shared" si="147"/>
        <v>27583.904000000002</v>
      </c>
      <c r="L978" s="23">
        <f t="shared" si="146"/>
        <v>4.2117974714468946</v>
      </c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AA978" s="11"/>
      <c r="AB978" s="11"/>
      <c r="AC978" s="11"/>
      <c r="AD978" s="11"/>
      <c r="AE978" s="11"/>
    </row>
    <row r="979" spans="1:31" x14ac:dyDescent="0.25">
      <c r="A979" s="18" t="s">
        <v>2</v>
      </c>
      <c r="B979" s="21">
        <v>45665</v>
      </c>
      <c r="C979" s="7">
        <v>4560</v>
      </c>
      <c r="D979" s="7">
        <v>2288</v>
      </c>
      <c r="E979" s="7">
        <v>1000</v>
      </c>
      <c r="F979" s="7"/>
      <c r="G979" s="7">
        <v>5555.88</v>
      </c>
      <c r="H979" s="7">
        <v>1158</v>
      </c>
      <c r="I979" s="7">
        <v>5187</v>
      </c>
      <c r="J979" s="2">
        <v>21.45000076293945</v>
      </c>
      <c r="K979" s="23">
        <f t="shared" si="147"/>
        <v>44561.760000000002</v>
      </c>
      <c r="L979" s="23">
        <f t="shared" si="146"/>
        <v>8.0206483941337829</v>
      </c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AA979" s="11"/>
      <c r="AB979" s="11"/>
      <c r="AC979" s="11"/>
      <c r="AD979" s="11"/>
      <c r="AE979" s="11"/>
    </row>
    <row r="980" spans="1:31" x14ac:dyDescent="0.25">
      <c r="A980" s="18" t="s">
        <v>2</v>
      </c>
      <c r="B980" s="21">
        <v>45666</v>
      </c>
      <c r="C980" s="7">
        <v>4186</v>
      </c>
      <c r="D980" s="7">
        <v>2293</v>
      </c>
      <c r="E980" s="7">
        <v>0</v>
      </c>
      <c r="F980" s="7"/>
      <c r="G980" s="7">
        <v>5297</v>
      </c>
      <c r="H980" s="7">
        <v>2168</v>
      </c>
      <c r="I980" s="7">
        <v>0</v>
      </c>
      <c r="J980" s="2">
        <v>23.5</v>
      </c>
      <c r="K980" s="23">
        <f t="shared" si="147"/>
        <v>34868.172000000006</v>
      </c>
      <c r="L980" s="23">
        <f t="shared" si="146"/>
        <v>6.5826263922975281</v>
      </c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AA980" s="11"/>
      <c r="AB980" s="11"/>
      <c r="AC980" s="11"/>
      <c r="AD980" s="11"/>
      <c r="AE980" s="11"/>
    </row>
    <row r="981" spans="1:31" x14ac:dyDescent="0.25">
      <c r="A981" s="18" t="s">
        <v>2</v>
      </c>
      <c r="B981" s="21">
        <v>45667</v>
      </c>
      <c r="C981" s="8">
        <v>3844</v>
      </c>
      <c r="D981" s="8">
        <v>2203</v>
      </c>
      <c r="E981" s="8">
        <v>0</v>
      </c>
      <c r="F981" s="8"/>
      <c r="G981" s="8">
        <v>5640</v>
      </c>
      <c r="H981" s="8">
        <v>1936</v>
      </c>
      <c r="I981" s="8">
        <v>0</v>
      </c>
      <c r="J981" s="2">
        <v>23.10000038146973</v>
      </c>
      <c r="K981" s="23">
        <f t="shared" si="147"/>
        <v>32075.868000000002</v>
      </c>
      <c r="L981" s="23">
        <f t="shared" si="146"/>
        <v>5.6872106382978727</v>
      </c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AA981" s="11"/>
      <c r="AB981" s="11"/>
      <c r="AC981" s="11"/>
      <c r="AD981" s="11"/>
      <c r="AE981" s="11"/>
    </row>
    <row r="982" spans="1:31" x14ac:dyDescent="0.25">
      <c r="A982" s="18" t="s">
        <v>2</v>
      </c>
      <c r="B982" s="21">
        <v>45668</v>
      </c>
      <c r="C982" s="7">
        <v>4899</v>
      </c>
      <c r="D982" s="7">
        <v>2229</v>
      </c>
      <c r="E982" s="7">
        <v>0</v>
      </c>
      <c r="F982" s="7"/>
      <c r="G982" s="7">
        <v>4500</v>
      </c>
      <c r="H982" s="7">
        <v>2542.5500000000002</v>
      </c>
      <c r="I982" s="7">
        <v>0</v>
      </c>
      <c r="J982" s="2">
        <v>20.75</v>
      </c>
      <c r="K982" s="23">
        <f t="shared" si="147"/>
        <v>40543.608</v>
      </c>
      <c r="L982" s="23">
        <f t="shared" si="146"/>
        <v>9.0096906666666658</v>
      </c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AA982" s="11"/>
      <c r="AB982" s="11"/>
      <c r="AC982" s="11"/>
      <c r="AD982" s="11"/>
      <c r="AE982" s="11"/>
    </row>
    <row r="983" spans="1:31" x14ac:dyDescent="0.25">
      <c r="A983" s="18" t="s">
        <v>2</v>
      </c>
      <c r="B983" s="21">
        <v>45669</v>
      </c>
      <c r="C983" s="7">
        <v>3535</v>
      </c>
      <c r="D983" s="7">
        <v>900</v>
      </c>
      <c r="E983" s="7">
        <v>0</v>
      </c>
      <c r="F983" s="7"/>
      <c r="G983" s="7">
        <v>2625</v>
      </c>
      <c r="H983" s="7">
        <v>0</v>
      </c>
      <c r="I983" s="7">
        <v>0</v>
      </c>
      <c r="J983" s="2">
        <v>20.29999923706055</v>
      </c>
      <c r="K983" s="23">
        <f t="shared" si="147"/>
        <v>28844.420000000002</v>
      </c>
      <c r="L983" s="23">
        <f t="shared" si="146"/>
        <v>10.988350476190478</v>
      </c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AA983" s="11"/>
      <c r="AB983" s="11"/>
      <c r="AC983" s="11"/>
      <c r="AD983" s="11"/>
      <c r="AE983" s="11"/>
    </row>
    <row r="984" spans="1:31" x14ac:dyDescent="0.25">
      <c r="A984" s="18" t="s">
        <v>2</v>
      </c>
      <c r="B984" s="21">
        <v>45670</v>
      </c>
      <c r="C984" s="7">
        <v>2486</v>
      </c>
      <c r="D984" s="7">
        <v>1843</v>
      </c>
      <c r="E984" s="7">
        <v>0</v>
      </c>
      <c r="F984" s="7"/>
      <c r="G984" s="7">
        <v>5025</v>
      </c>
      <c r="H984" s="7">
        <v>1667.0000000000002</v>
      </c>
      <c r="I984" s="7">
        <v>0</v>
      </c>
      <c r="J984" s="2">
        <v>18.5</v>
      </c>
      <c r="K984" s="23">
        <f t="shared" si="147"/>
        <v>20986.772000000001</v>
      </c>
      <c r="L984" s="23">
        <f t="shared" si="146"/>
        <v>4.1764720398009949</v>
      </c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AA984" s="11"/>
      <c r="AB984" s="11"/>
      <c r="AC984" s="11"/>
      <c r="AD984" s="11"/>
      <c r="AE984" s="11"/>
    </row>
    <row r="985" spans="1:31" x14ac:dyDescent="0.25">
      <c r="A985" s="18" t="s">
        <v>2</v>
      </c>
      <c r="B985" s="21">
        <v>45671</v>
      </c>
      <c r="C985" s="7">
        <v>3939</v>
      </c>
      <c r="D985" s="7">
        <v>2114</v>
      </c>
      <c r="E985" s="7">
        <v>0</v>
      </c>
      <c r="F985" s="7"/>
      <c r="G985" s="7">
        <v>6495</v>
      </c>
      <c r="H985" s="7">
        <v>1954.8000000000006</v>
      </c>
      <c r="I985" s="7">
        <v>0</v>
      </c>
      <c r="J985" s="2">
        <v>18.45000076293945</v>
      </c>
      <c r="K985" s="23">
        <f t="shared" si="147"/>
        <v>32785.387999999999</v>
      </c>
      <c r="L985" s="23">
        <f t="shared" si="146"/>
        <v>5.0477887605850649</v>
      </c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AA985" s="11"/>
      <c r="AB985" s="11"/>
      <c r="AC985" s="11"/>
      <c r="AD985" s="11"/>
      <c r="AE985" s="11"/>
    </row>
    <row r="986" spans="1:31" x14ac:dyDescent="0.25">
      <c r="A986" s="18" t="s">
        <v>2</v>
      </c>
      <c r="B986" s="21">
        <v>45672</v>
      </c>
      <c r="C986" s="8">
        <v>3190</v>
      </c>
      <c r="D986" s="8">
        <v>1934</v>
      </c>
      <c r="E986" s="8">
        <v>700</v>
      </c>
      <c r="F986" s="8"/>
      <c r="G986" s="8">
        <v>6615</v>
      </c>
      <c r="H986" s="8">
        <v>1632</v>
      </c>
      <c r="I986" s="8">
        <v>4807</v>
      </c>
      <c r="J986" s="2">
        <v>17.75</v>
      </c>
      <c r="K986" s="23">
        <f t="shared" si="147"/>
        <v>31370.000000000004</v>
      </c>
      <c r="L986" s="23">
        <f t="shared" si="146"/>
        <v>4.7422524565381714</v>
      </c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AA986" s="11"/>
      <c r="AB986" s="11"/>
      <c r="AC986" s="11"/>
      <c r="AD986" s="11"/>
      <c r="AE986" s="11"/>
    </row>
    <row r="987" spans="1:31" x14ac:dyDescent="0.25">
      <c r="A987" s="18" t="s">
        <v>2</v>
      </c>
      <c r="B987" s="21">
        <v>45673</v>
      </c>
      <c r="C987" s="7">
        <v>2569</v>
      </c>
      <c r="D987" s="7">
        <v>1854</v>
      </c>
      <c r="E987" s="7">
        <v>0</v>
      </c>
      <c r="F987" s="7"/>
      <c r="G987" s="7">
        <v>6675</v>
      </c>
      <c r="H987" s="7">
        <v>1342</v>
      </c>
      <c r="I987" s="7">
        <v>0</v>
      </c>
      <c r="J987" s="2">
        <v>15.69999980926514</v>
      </c>
      <c r="K987" s="23">
        <f t="shared" si="147"/>
        <v>21658.148000000001</v>
      </c>
      <c r="L987" s="23">
        <f t="shared" si="146"/>
        <v>3.2446663670411988</v>
      </c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AA987" s="11"/>
      <c r="AB987" s="11"/>
      <c r="AC987" s="11"/>
      <c r="AD987" s="11"/>
      <c r="AE987" s="11"/>
    </row>
    <row r="988" spans="1:31" x14ac:dyDescent="0.25">
      <c r="A988" s="18" t="s">
        <v>2</v>
      </c>
      <c r="B988" s="21">
        <v>45674</v>
      </c>
      <c r="C988" s="7">
        <v>4212</v>
      </c>
      <c r="D988" s="7">
        <v>1764</v>
      </c>
      <c r="E988" s="7">
        <v>6400</v>
      </c>
      <c r="F988" s="7"/>
      <c r="G988" s="7">
        <v>7185</v>
      </c>
      <c r="H988" s="7">
        <v>1111</v>
      </c>
      <c r="I988" s="7">
        <v>32880</v>
      </c>
      <c r="J988" s="2">
        <v>17.64999961853027</v>
      </c>
      <c r="K988" s="23">
        <f t="shared" si="147"/>
        <v>77649.664000000004</v>
      </c>
      <c r="L988" s="23">
        <f t="shared" si="146"/>
        <v>10.807190535838552</v>
      </c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AA988" s="11"/>
      <c r="AB988" s="11"/>
      <c r="AC988" s="11"/>
      <c r="AD988" s="11"/>
      <c r="AE988" s="11"/>
    </row>
    <row r="989" spans="1:31" x14ac:dyDescent="0.25">
      <c r="A989" s="18" t="s">
        <v>2</v>
      </c>
      <c r="B989" s="21">
        <v>45675</v>
      </c>
      <c r="C989" s="7">
        <v>2830</v>
      </c>
      <c r="D989" s="7">
        <v>1952</v>
      </c>
      <c r="E989" s="7">
        <v>0</v>
      </c>
      <c r="F989" s="7"/>
      <c r="G989" s="7">
        <v>6811</v>
      </c>
      <c r="H989" s="7">
        <v>1757</v>
      </c>
      <c r="I989" s="7">
        <v>0</v>
      </c>
      <c r="J989" s="2">
        <v>18.5</v>
      </c>
      <c r="K989" s="23">
        <f t="shared" si="147"/>
        <v>23806.120000000003</v>
      </c>
      <c r="L989" s="23">
        <f t="shared" si="146"/>
        <v>3.4952459257084132</v>
      </c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AA989" s="11"/>
      <c r="AB989" s="11"/>
      <c r="AC989" s="11"/>
      <c r="AD989" s="11"/>
      <c r="AE989" s="11"/>
    </row>
    <row r="990" spans="1:31" x14ac:dyDescent="0.25">
      <c r="A990" s="18" t="s">
        <v>2</v>
      </c>
      <c r="B990" s="21">
        <v>45676</v>
      </c>
      <c r="C990" s="7">
        <v>2987</v>
      </c>
      <c r="D990" s="7">
        <v>900</v>
      </c>
      <c r="E990" s="7">
        <v>0</v>
      </c>
      <c r="F990" s="7"/>
      <c r="G990" s="7">
        <v>5628</v>
      </c>
      <c r="H990" s="7">
        <v>0</v>
      </c>
      <c r="I990" s="7">
        <v>0</v>
      </c>
      <c r="J990" s="2">
        <v>20.89999961853027</v>
      </c>
      <c r="K990" s="23">
        <f t="shared" si="147"/>
        <v>24453.844000000001</v>
      </c>
      <c r="L990" s="23">
        <f t="shared" si="146"/>
        <v>4.3450326936744847</v>
      </c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AA990" s="11"/>
      <c r="AB990" s="11"/>
      <c r="AC990" s="11"/>
      <c r="AD990" s="11"/>
      <c r="AE990" s="11"/>
    </row>
    <row r="991" spans="1:31" x14ac:dyDescent="0.25">
      <c r="A991" s="18" t="s">
        <v>2</v>
      </c>
      <c r="B991" s="21">
        <v>45677</v>
      </c>
      <c r="C991" s="8">
        <v>2370</v>
      </c>
      <c r="D991" s="8">
        <v>2337</v>
      </c>
      <c r="E991" s="8">
        <v>4900</v>
      </c>
      <c r="F991" s="8"/>
      <c r="G991" s="8">
        <v>6015</v>
      </c>
      <c r="H991" s="8">
        <v>1715</v>
      </c>
      <c r="I991" s="8">
        <v>26250</v>
      </c>
      <c r="J991" s="2">
        <v>25.54999923706055</v>
      </c>
      <c r="K991" s="23">
        <f t="shared" si="147"/>
        <v>53173.9</v>
      </c>
      <c r="L991" s="23">
        <f t="shared" si="146"/>
        <v>8.8402161263507892</v>
      </c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AA991" s="11"/>
      <c r="AB991" s="11"/>
      <c r="AC991" s="11"/>
      <c r="AD991" s="11"/>
      <c r="AE991" s="11"/>
    </row>
    <row r="992" spans="1:31" x14ac:dyDescent="0.25">
      <c r="A992" s="18" t="s">
        <v>2</v>
      </c>
      <c r="B992" s="21">
        <v>45678</v>
      </c>
      <c r="C992" s="7">
        <v>4373</v>
      </c>
      <c r="D992" s="7">
        <v>2151</v>
      </c>
      <c r="E992" s="7">
        <v>0</v>
      </c>
      <c r="F992" s="7"/>
      <c r="G992" s="7">
        <v>7080</v>
      </c>
      <c r="H992" s="7">
        <v>1476</v>
      </c>
      <c r="I992" s="7">
        <v>0</v>
      </c>
      <c r="J992" s="2">
        <v>24.54999923706055</v>
      </c>
      <c r="K992" s="23">
        <f t="shared" si="147"/>
        <v>36284.056000000004</v>
      </c>
      <c r="L992" s="23">
        <f t="shared" si="146"/>
        <v>5.1248666666666676</v>
      </c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AA992" s="11"/>
      <c r="AB992" s="11"/>
      <c r="AC992" s="11"/>
      <c r="AD992" s="11"/>
      <c r="AE992" s="11"/>
    </row>
    <row r="993" spans="1:31" x14ac:dyDescent="0.25">
      <c r="A993" s="18" t="s">
        <v>2</v>
      </c>
      <c r="B993" s="21">
        <v>45679</v>
      </c>
      <c r="C993" s="7">
        <v>3055</v>
      </c>
      <c r="D993" s="7">
        <v>2159</v>
      </c>
      <c r="E993" s="7">
        <v>5500</v>
      </c>
      <c r="F993" s="7"/>
      <c r="G993" s="7">
        <v>6015</v>
      </c>
      <c r="H993" s="7">
        <v>1412</v>
      </c>
      <c r="I993" s="7">
        <v>31590</v>
      </c>
      <c r="J993" s="2">
        <v>21.25</v>
      </c>
      <c r="K993" s="23">
        <f t="shared" si="147"/>
        <v>62578.880000000005</v>
      </c>
      <c r="L993" s="23">
        <f t="shared" si="146"/>
        <v>10.403803823773899</v>
      </c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AA993" s="11"/>
      <c r="AB993" s="11"/>
      <c r="AC993" s="11"/>
      <c r="AD993" s="11"/>
      <c r="AE993" s="11"/>
    </row>
    <row r="994" spans="1:31" x14ac:dyDescent="0.25">
      <c r="A994" s="18" t="s">
        <v>2</v>
      </c>
      <c r="B994" s="21">
        <v>45680</v>
      </c>
      <c r="C994" s="7">
        <v>2536</v>
      </c>
      <c r="D994" s="7">
        <v>2163</v>
      </c>
      <c r="E994" s="7">
        <v>0</v>
      </c>
      <c r="F994" s="7"/>
      <c r="G994" s="7">
        <v>5640</v>
      </c>
      <c r="H994" s="7">
        <v>1680</v>
      </c>
      <c r="I994" s="7">
        <v>0</v>
      </c>
      <c r="J994" s="2">
        <v>22.89999961853027</v>
      </c>
      <c r="K994" s="23">
        <f t="shared" si="147"/>
        <v>21572.972000000002</v>
      </c>
      <c r="L994" s="23">
        <f t="shared" si="146"/>
        <v>3.8249950354609932</v>
      </c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AA994" s="11"/>
      <c r="AB994" s="11"/>
      <c r="AC994" s="11"/>
      <c r="AD994" s="11"/>
      <c r="AE994" s="11"/>
    </row>
    <row r="995" spans="1:31" x14ac:dyDescent="0.25">
      <c r="A995" s="18" t="s">
        <v>2</v>
      </c>
      <c r="B995" s="21">
        <v>45681</v>
      </c>
      <c r="C995" s="7">
        <v>3520</v>
      </c>
      <c r="D995" s="7">
        <v>2204</v>
      </c>
      <c r="E995" s="7">
        <v>0</v>
      </c>
      <c r="F995" s="7"/>
      <c r="G995" s="7">
        <v>5640</v>
      </c>
      <c r="H995" s="7">
        <v>1369</v>
      </c>
      <c r="I995" s="7">
        <v>0</v>
      </c>
      <c r="J995" s="2">
        <v>20.70000076293945</v>
      </c>
      <c r="K995" s="23">
        <f t="shared" si="147"/>
        <v>29480.560000000001</v>
      </c>
      <c r="L995" s="23">
        <f t="shared" si="146"/>
        <v>5.2270496453900712</v>
      </c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AA995" s="11"/>
      <c r="AB995" s="11"/>
      <c r="AC995" s="11"/>
      <c r="AD995" s="11"/>
      <c r="AE995" s="11"/>
    </row>
    <row r="996" spans="1:31" x14ac:dyDescent="0.25">
      <c r="A996" s="18" t="s">
        <v>2</v>
      </c>
      <c r="B996" s="21">
        <v>45682</v>
      </c>
      <c r="C996" s="8">
        <v>2639</v>
      </c>
      <c r="D996" s="8">
        <v>2035</v>
      </c>
      <c r="E996" s="8">
        <v>0</v>
      </c>
      <c r="F996" s="8"/>
      <c r="G996" s="8">
        <v>5670</v>
      </c>
      <c r="H996" s="8">
        <v>1266</v>
      </c>
      <c r="I996" s="8">
        <v>0</v>
      </c>
      <c r="J996" s="2">
        <v>23.14999961853027</v>
      </c>
      <c r="K996" s="23">
        <f t="shared" si="147"/>
        <v>22323.968000000001</v>
      </c>
      <c r="L996" s="23">
        <f t="shared" si="146"/>
        <v>3.9372077601410935</v>
      </c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AA996" s="11"/>
      <c r="AB996" s="11"/>
      <c r="AC996" s="11"/>
      <c r="AD996" s="11"/>
      <c r="AE996" s="11"/>
    </row>
    <row r="997" spans="1:31" x14ac:dyDescent="0.25">
      <c r="A997" s="18" t="s">
        <v>2</v>
      </c>
      <c r="B997" s="21">
        <v>45683</v>
      </c>
      <c r="C997" s="7">
        <v>3520</v>
      </c>
      <c r="D997" s="7">
        <v>1100</v>
      </c>
      <c r="E997" s="7">
        <v>0</v>
      </c>
      <c r="F997" s="7"/>
      <c r="G997" s="7">
        <v>5640</v>
      </c>
      <c r="H997" s="7">
        <v>0</v>
      </c>
      <c r="I997" s="7">
        <v>0</v>
      </c>
      <c r="J997" s="2">
        <v>21.95000076293945</v>
      </c>
      <c r="K997" s="23">
        <f t="shared" si="147"/>
        <v>28840.240000000002</v>
      </c>
      <c r="L997" s="23">
        <f t="shared" si="146"/>
        <v>5.1135177304964543</v>
      </c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AA997" s="11"/>
      <c r="AB997" s="11"/>
      <c r="AC997" s="11"/>
      <c r="AD997" s="11"/>
      <c r="AE997" s="11"/>
    </row>
    <row r="998" spans="1:31" x14ac:dyDescent="0.25">
      <c r="A998" s="18" t="s">
        <v>2</v>
      </c>
      <c r="B998" s="21">
        <v>45684</v>
      </c>
      <c r="C998" s="7">
        <v>1899</v>
      </c>
      <c r="D998" s="7">
        <v>2013</v>
      </c>
      <c r="E998" s="7">
        <v>0</v>
      </c>
      <c r="F998" s="7"/>
      <c r="G998" s="7">
        <v>6330</v>
      </c>
      <c r="H998" s="7">
        <v>1443</v>
      </c>
      <c r="I998" s="7">
        <v>0</v>
      </c>
      <c r="J998" s="2">
        <v>19.29999923706055</v>
      </c>
      <c r="K998" s="23">
        <f t="shared" si="147"/>
        <v>16382.328000000001</v>
      </c>
      <c r="L998" s="23">
        <f t="shared" si="146"/>
        <v>2.5880454976303318</v>
      </c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AA998" s="11"/>
      <c r="AB998" s="11"/>
      <c r="AC998" s="11"/>
      <c r="AD998" s="11"/>
      <c r="AE998" s="11"/>
    </row>
    <row r="999" spans="1:31" x14ac:dyDescent="0.25">
      <c r="A999" s="18" t="s">
        <v>2</v>
      </c>
      <c r="B999" s="21">
        <v>45685</v>
      </c>
      <c r="C999" s="7">
        <v>2051</v>
      </c>
      <c r="D999" s="7">
        <v>923</v>
      </c>
      <c r="E999" s="7">
        <v>0</v>
      </c>
      <c r="F999" s="7"/>
      <c r="G999" s="7">
        <v>7650</v>
      </c>
      <c r="H999" s="7">
        <v>1524</v>
      </c>
      <c r="I999" s="7">
        <v>0</v>
      </c>
      <c r="J999" s="2">
        <v>21.14999961853027</v>
      </c>
      <c r="K999" s="23">
        <f t="shared" si="147"/>
        <v>16967.952000000001</v>
      </c>
      <c r="L999" s="23">
        <f t="shared" si="146"/>
        <v>2.2180329411764705</v>
      </c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AA999" s="11"/>
      <c r="AB999" s="11"/>
      <c r="AC999" s="11"/>
      <c r="AD999" s="11"/>
      <c r="AE999" s="11"/>
    </row>
    <row r="1000" spans="1:31" x14ac:dyDescent="0.25">
      <c r="A1000" s="18" t="s">
        <v>2</v>
      </c>
      <c r="B1000" s="21">
        <v>45686</v>
      </c>
      <c r="C1000" s="7">
        <v>1549</v>
      </c>
      <c r="D1000" s="7">
        <v>1863</v>
      </c>
      <c r="E1000" s="7">
        <v>0</v>
      </c>
      <c r="F1000" s="7"/>
      <c r="G1000" s="7">
        <v>8700</v>
      </c>
      <c r="H1000" s="7">
        <v>1025</v>
      </c>
      <c r="I1000" s="7">
        <v>0</v>
      </c>
      <c r="J1000" s="2">
        <v>14.39999961853027</v>
      </c>
      <c r="K1000" s="23">
        <f t="shared" si="147"/>
        <v>13491.128000000001</v>
      </c>
      <c r="L1000" s="23">
        <f t="shared" si="146"/>
        <v>1.5507043678160921</v>
      </c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AA1000" s="11"/>
      <c r="AB1000" s="11"/>
      <c r="AC1000" s="11"/>
      <c r="AD1000" s="11"/>
      <c r="AE1000" s="11"/>
    </row>
    <row r="1001" spans="1:31" x14ac:dyDescent="0.25">
      <c r="A1001" s="18" t="s">
        <v>2</v>
      </c>
      <c r="B1001" s="21">
        <v>45687</v>
      </c>
      <c r="C1001" s="8">
        <v>2970</v>
      </c>
      <c r="D1001" s="8">
        <v>530</v>
      </c>
      <c r="E1001" s="8">
        <v>0</v>
      </c>
      <c r="F1001" s="8"/>
      <c r="G1001" s="8">
        <v>8551</v>
      </c>
      <c r="H1001" s="8">
        <v>1252</v>
      </c>
      <c r="I1001" s="8">
        <v>0</v>
      </c>
      <c r="J1001" s="2">
        <v>14</v>
      </c>
      <c r="K1001" s="23">
        <f t="shared" si="147"/>
        <v>24103.040000000005</v>
      </c>
      <c r="L1001" s="23">
        <f t="shared" si="146"/>
        <v>2.8187393287334821</v>
      </c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AA1001" s="11"/>
      <c r="AB1001" s="11"/>
      <c r="AC1001" s="11"/>
      <c r="AD1001" s="11"/>
      <c r="AE1001" s="11"/>
    </row>
    <row r="1002" spans="1:31" x14ac:dyDescent="0.25">
      <c r="A1002" s="18" t="s">
        <v>2</v>
      </c>
      <c r="B1002" s="21">
        <v>45688</v>
      </c>
      <c r="C1002" s="7">
        <v>2945</v>
      </c>
      <c r="D1002" s="7">
        <v>1233</v>
      </c>
      <c r="E1002" s="7">
        <v>0</v>
      </c>
      <c r="F1002" s="7"/>
      <c r="G1002" s="7">
        <v>8072</v>
      </c>
      <c r="H1002" s="7">
        <v>944</v>
      </c>
      <c r="I1002" s="7">
        <v>0</v>
      </c>
      <c r="J1002" s="2">
        <v>16.25</v>
      </c>
      <c r="K1002" s="23">
        <f t="shared" si="147"/>
        <v>24310.48</v>
      </c>
      <c r="L1002" s="23">
        <f t="shared" si="146"/>
        <v>3.0117046580773041</v>
      </c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AA1002" s="11"/>
      <c r="AB1002" s="11"/>
      <c r="AC1002" s="11"/>
      <c r="AD1002" s="11"/>
      <c r="AE1002" s="11"/>
    </row>
    <row r="1003" spans="1:31" x14ac:dyDescent="0.25">
      <c r="A1003" s="18" t="s">
        <v>2</v>
      </c>
      <c r="B1003" s="21">
        <v>45689</v>
      </c>
      <c r="C1003" s="7">
        <v>3150</v>
      </c>
      <c r="D1003" s="7">
        <v>762</v>
      </c>
      <c r="E1003" s="7">
        <v>0</v>
      </c>
      <c r="F1003" s="7"/>
      <c r="G1003" s="7">
        <v>7229</v>
      </c>
      <c r="H1003" s="7">
        <v>502</v>
      </c>
      <c r="I1003" s="7">
        <v>0</v>
      </c>
      <c r="J1003" s="2">
        <v>17.5</v>
      </c>
      <c r="K1003" s="23">
        <f>C1003*8.101+D1003*0.57+E1003*6.85+F1003*5</f>
        <v>25952.49</v>
      </c>
      <c r="L1003" s="23">
        <f t="shared" si="146"/>
        <v>3.5900525660533962</v>
      </c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AA1003" s="11"/>
      <c r="AB1003" s="11"/>
      <c r="AC1003" s="11"/>
      <c r="AD1003" s="11"/>
      <c r="AE1003" s="11"/>
    </row>
    <row r="1004" spans="1:31" x14ac:dyDescent="0.25">
      <c r="A1004" s="18" t="s">
        <v>2</v>
      </c>
      <c r="B1004" s="21">
        <v>45690</v>
      </c>
      <c r="C1004" s="7">
        <v>2629</v>
      </c>
      <c r="D1004" s="7">
        <v>1000</v>
      </c>
      <c r="E1004" s="7">
        <v>0</v>
      </c>
      <c r="F1004" s="7"/>
      <c r="G1004" s="7">
        <v>5625</v>
      </c>
      <c r="H1004" s="7">
        <v>0</v>
      </c>
      <c r="I1004" s="7">
        <v>0</v>
      </c>
      <c r="J1004" s="2">
        <v>16.70000076293945</v>
      </c>
      <c r="K1004" s="23">
        <f t="shared" ref="K1004:K1029" si="148">C1004*8.101+D1004*0.57+E1004*6.85+F1004*5</f>
        <v>21867.529000000002</v>
      </c>
      <c r="L1004" s="23">
        <f t="shared" si="146"/>
        <v>3.8875607111111115</v>
      </c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AA1004" s="11"/>
      <c r="AB1004" s="11"/>
      <c r="AC1004" s="11"/>
      <c r="AD1004" s="11"/>
      <c r="AE1004" s="11"/>
    </row>
    <row r="1005" spans="1:31" x14ac:dyDescent="0.25">
      <c r="A1005" s="18" t="s">
        <v>2</v>
      </c>
      <c r="B1005" s="21">
        <v>45691</v>
      </c>
      <c r="C1005" s="7">
        <v>1650</v>
      </c>
      <c r="D1005" s="7">
        <v>1080</v>
      </c>
      <c r="E1005" s="7">
        <v>5000</v>
      </c>
      <c r="F1005" s="7"/>
      <c r="G1005" s="7">
        <v>5634</v>
      </c>
      <c r="H1005" s="7">
        <v>264</v>
      </c>
      <c r="I1005" s="7">
        <v>27292</v>
      </c>
      <c r="J1005" s="2">
        <v>16.39999961853027</v>
      </c>
      <c r="K1005" s="23">
        <f t="shared" si="148"/>
        <v>48232.25</v>
      </c>
      <c r="L1005" s="23">
        <f t="shared" si="146"/>
        <v>8.5609247426340076</v>
      </c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AA1005" s="11"/>
      <c r="AB1005" s="11"/>
      <c r="AC1005" s="11"/>
      <c r="AD1005" s="11"/>
      <c r="AE1005" s="11"/>
    </row>
    <row r="1006" spans="1:31" x14ac:dyDescent="0.25">
      <c r="A1006" s="18" t="s">
        <v>2</v>
      </c>
      <c r="B1006" s="21">
        <v>45692</v>
      </c>
      <c r="C1006" s="7">
        <v>2340</v>
      </c>
      <c r="D1006" s="7">
        <v>1690</v>
      </c>
      <c r="E1006" s="7">
        <v>0</v>
      </c>
      <c r="F1006" s="7"/>
      <c r="G1006" s="7">
        <v>7650</v>
      </c>
      <c r="H1006" s="7">
        <v>1419</v>
      </c>
      <c r="I1006" s="7">
        <v>0</v>
      </c>
      <c r="J1006" s="2">
        <v>19.70000076293945</v>
      </c>
      <c r="K1006" s="23">
        <f t="shared" si="148"/>
        <v>19919.640000000003</v>
      </c>
      <c r="L1006" s="23">
        <f t="shared" si="146"/>
        <v>2.603874509803922</v>
      </c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AA1006" s="11"/>
      <c r="AB1006" s="11"/>
      <c r="AC1006" s="11"/>
      <c r="AD1006" s="11"/>
      <c r="AE1006" s="11"/>
    </row>
    <row r="1007" spans="1:31" x14ac:dyDescent="0.25">
      <c r="A1007" s="18" t="s">
        <v>2</v>
      </c>
      <c r="B1007" s="21">
        <v>45693</v>
      </c>
      <c r="C1007" s="8">
        <v>2179</v>
      </c>
      <c r="D1007" s="8">
        <v>1000</v>
      </c>
      <c r="E1007" s="8">
        <v>0</v>
      </c>
      <c r="F1007" s="8"/>
      <c r="G1007" s="8">
        <v>5625</v>
      </c>
      <c r="H1007" s="8">
        <v>0</v>
      </c>
      <c r="I1007" s="8">
        <v>0</v>
      </c>
      <c r="J1007" s="2">
        <v>21.5</v>
      </c>
      <c r="K1007" s="23">
        <f t="shared" si="148"/>
        <v>18222.079000000002</v>
      </c>
      <c r="L1007" s="23">
        <f t="shared" si="146"/>
        <v>3.2394807111111112</v>
      </c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AA1007" s="11"/>
      <c r="AB1007" s="11"/>
      <c r="AC1007" s="11"/>
      <c r="AD1007" s="11"/>
      <c r="AE1007" s="11"/>
    </row>
    <row r="1008" spans="1:31" x14ac:dyDescent="0.25">
      <c r="A1008" s="18" t="s">
        <v>2</v>
      </c>
      <c r="B1008" s="21">
        <v>45694</v>
      </c>
      <c r="C1008" s="7">
        <v>3670</v>
      </c>
      <c r="D1008" s="7">
        <v>2255</v>
      </c>
      <c r="E1008" s="7">
        <v>0</v>
      </c>
      <c r="F1008" s="7"/>
      <c r="G1008" s="7">
        <v>5610</v>
      </c>
      <c r="H1008" s="7">
        <v>1229</v>
      </c>
      <c r="I1008" s="7">
        <v>0</v>
      </c>
      <c r="J1008" s="2">
        <v>20.29999923706055</v>
      </c>
      <c r="K1008" s="23">
        <f t="shared" si="148"/>
        <v>31016.02</v>
      </c>
      <c r="L1008" s="23">
        <f t="shared" si="146"/>
        <v>5.5287023172905529</v>
      </c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AA1008" s="11"/>
      <c r="AB1008" s="11"/>
      <c r="AC1008" s="11"/>
      <c r="AD1008" s="11"/>
      <c r="AE1008" s="11"/>
    </row>
    <row r="1009" spans="1:31" x14ac:dyDescent="0.25">
      <c r="A1009" s="18" t="s">
        <v>2</v>
      </c>
      <c r="B1009" s="21">
        <v>45695</v>
      </c>
      <c r="C1009" s="7">
        <v>4247</v>
      </c>
      <c r="D1009" s="7">
        <v>2932</v>
      </c>
      <c r="E1009" s="7">
        <v>5800</v>
      </c>
      <c r="F1009" s="7"/>
      <c r="G1009" s="7">
        <v>5622</v>
      </c>
      <c r="H1009" s="7">
        <v>2263</v>
      </c>
      <c r="I1009" s="7">
        <v>30800</v>
      </c>
      <c r="J1009" s="2">
        <v>20.89999961853027</v>
      </c>
      <c r="K1009" s="23">
        <f t="shared" si="148"/>
        <v>75806.187000000005</v>
      </c>
      <c r="L1009" s="23">
        <f t="shared" si="146"/>
        <v>13.483846851654217</v>
      </c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AA1009" s="11"/>
      <c r="AB1009" s="11"/>
      <c r="AC1009" s="11"/>
      <c r="AD1009" s="11"/>
      <c r="AE1009" s="11"/>
    </row>
    <row r="1010" spans="1:31" x14ac:dyDescent="0.25">
      <c r="A1010" s="18" t="s">
        <v>2</v>
      </c>
      <c r="B1010" s="21">
        <v>45696</v>
      </c>
      <c r="C1010" s="7">
        <v>4424</v>
      </c>
      <c r="D1010" s="7">
        <v>2520</v>
      </c>
      <c r="E1010" s="7">
        <v>0</v>
      </c>
      <c r="F1010" s="7"/>
      <c r="G1010" s="7">
        <v>5652</v>
      </c>
      <c r="H1010" s="7">
        <v>1735</v>
      </c>
      <c r="I1010" s="7">
        <v>0</v>
      </c>
      <c r="J1010" s="2">
        <v>22.29999923706055</v>
      </c>
      <c r="K1010" s="23">
        <f t="shared" si="148"/>
        <v>37275.224000000002</v>
      </c>
      <c r="L1010" s="23">
        <f t="shared" si="146"/>
        <v>6.5950502476999295</v>
      </c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AA1010" s="11"/>
      <c r="AB1010" s="11"/>
      <c r="AC1010" s="11"/>
      <c r="AD1010" s="11"/>
      <c r="AE1010" s="11"/>
    </row>
    <row r="1011" spans="1:31" x14ac:dyDescent="0.25">
      <c r="A1011" s="18" t="s">
        <v>2</v>
      </c>
      <c r="B1011" s="21">
        <v>45697</v>
      </c>
      <c r="C1011" s="7">
        <v>3931</v>
      </c>
      <c r="D1011" s="7">
        <v>749</v>
      </c>
      <c r="E1011" s="7">
        <v>0</v>
      </c>
      <c r="F1011" s="7"/>
      <c r="G1011" s="7">
        <v>5620</v>
      </c>
      <c r="H1011" s="7">
        <v>525</v>
      </c>
      <c r="I1011" s="7">
        <v>0</v>
      </c>
      <c r="J1011" s="2">
        <v>23.10000038146973</v>
      </c>
      <c r="K1011" s="23">
        <f t="shared" si="148"/>
        <v>32271.961000000003</v>
      </c>
      <c r="L1011" s="23">
        <f t="shared" si="146"/>
        <v>5.7423418149466201</v>
      </c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AA1011" s="11"/>
      <c r="AB1011" s="11"/>
      <c r="AC1011" s="11"/>
      <c r="AD1011" s="11"/>
      <c r="AE1011" s="11"/>
    </row>
    <row r="1012" spans="1:31" x14ac:dyDescent="0.25">
      <c r="A1012" s="18" t="s">
        <v>2</v>
      </c>
      <c r="B1012" s="21">
        <v>45698</v>
      </c>
      <c r="C1012" s="8">
        <v>2843</v>
      </c>
      <c r="D1012" s="8">
        <v>2033</v>
      </c>
      <c r="E1012" s="8">
        <v>6500</v>
      </c>
      <c r="F1012" s="8"/>
      <c r="G1012" s="8">
        <v>4036</v>
      </c>
      <c r="H1012" s="8">
        <v>1104</v>
      </c>
      <c r="I1012" s="8">
        <v>33415</v>
      </c>
      <c r="J1012" s="2">
        <v>22.35000038146973</v>
      </c>
      <c r="K1012" s="23">
        <f t="shared" si="148"/>
        <v>68714.953000000009</v>
      </c>
      <c r="L1012" s="23">
        <f t="shared" si="146"/>
        <v>17.02550867195243</v>
      </c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AA1012" s="11"/>
      <c r="AB1012" s="11"/>
      <c r="AC1012" s="11"/>
      <c r="AD1012" s="11"/>
      <c r="AE1012" s="11"/>
    </row>
    <row r="1013" spans="1:31" x14ac:dyDescent="0.25">
      <c r="A1013" s="18" t="s">
        <v>2</v>
      </c>
      <c r="B1013" s="21">
        <v>45699</v>
      </c>
      <c r="C1013" s="7">
        <v>4912</v>
      </c>
      <c r="D1013" s="7">
        <v>2202</v>
      </c>
      <c r="E1013" s="7">
        <v>0</v>
      </c>
      <c r="F1013" s="7"/>
      <c r="G1013" s="7">
        <v>5115</v>
      </c>
      <c r="H1013" s="7">
        <v>1386</v>
      </c>
      <c r="I1013" s="7">
        <v>0</v>
      </c>
      <c r="J1013" s="2">
        <v>21.60000038146973</v>
      </c>
      <c r="K1013" s="23">
        <f t="shared" si="148"/>
        <v>41047.252</v>
      </c>
      <c r="L1013" s="23">
        <f t="shared" si="146"/>
        <v>8.0248782013685247</v>
      </c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AA1013" s="11"/>
      <c r="AB1013" s="11"/>
      <c r="AC1013" s="11"/>
      <c r="AD1013" s="11"/>
      <c r="AE1013" s="11"/>
    </row>
    <row r="1014" spans="1:31" x14ac:dyDescent="0.25">
      <c r="A1014" s="18" t="s">
        <v>2</v>
      </c>
      <c r="B1014" s="21">
        <v>45700</v>
      </c>
      <c r="C1014" s="7">
        <v>5238</v>
      </c>
      <c r="D1014" s="7">
        <v>2677</v>
      </c>
      <c r="E1014" s="7">
        <v>6050</v>
      </c>
      <c r="F1014" s="7"/>
      <c r="G1014" s="7">
        <v>5625</v>
      </c>
      <c r="H1014" s="7">
        <v>1920</v>
      </c>
      <c r="I1014" s="7">
        <v>33040</v>
      </c>
      <c r="J1014" s="2">
        <v>22.29999923706055</v>
      </c>
      <c r="K1014" s="23">
        <f t="shared" si="148"/>
        <v>85401.428000000014</v>
      </c>
      <c r="L1014" s="23">
        <f t="shared" si="146"/>
        <v>15.182476088888892</v>
      </c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AA1014" s="11"/>
      <c r="AB1014" s="11"/>
      <c r="AC1014" s="11"/>
      <c r="AD1014" s="11"/>
      <c r="AE1014" s="11"/>
    </row>
    <row r="1015" spans="1:31" x14ac:dyDescent="0.25">
      <c r="A1015" s="18" t="s">
        <v>2</v>
      </c>
      <c r="B1015" s="21">
        <v>45701</v>
      </c>
      <c r="C1015" s="7">
        <v>4270</v>
      </c>
      <c r="D1015" s="7">
        <v>2401</v>
      </c>
      <c r="E1015" s="7">
        <v>5800</v>
      </c>
      <c r="F1015" s="7"/>
      <c r="G1015" s="7">
        <v>5623</v>
      </c>
      <c r="H1015" s="7">
        <v>1596</v>
      </c>
      <c r="I1015" s="7">
        <v>30856</v>
      </c>
      <c r="J1015" s="2">
        <v>24.29999923706055</v>
      </c>
      <c r="K1015" s="23">
        <f t="shared" si="148"/>
        <v>75689.84</v>
      </c>
      <c r="L1015" s="23">
        <f t="shared" si="146"/>
        <v>13.460757602703183</v>
      </c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AA1015" s="11"/>
      <c r="AB1015" s="11"/>
      <c r="AC1015" s="11"/>
      <c r="AD1015" s="11"/>
      <c r="AE1015" s="11"/>
    </row>
    <row r="1016" spans="1:31" x14ac:dyDescent="0.25">
      <c r="A1016" s="18" t="s">
        <v>2</v>
      </c>
      <c r="B1016" s="21">
        <v>45702</v>
      </c>
      <c r="C1016" s="7">
        <v>4070</v>
      </c>
      <c r="D1016" s="7">
        <v>2632</v>
      </c>
      <c r="E1016" s="7">
        <v>0</v>
      </c>
      <c r="F1016" s="7"/>
      <c r="G1016" s="7">
        <v>5638</v>
      </c>
      <c r="H1016" s="7">
        <v>2100</v>
      </c>
      <c r="I1016" s="7">
        <v>0</v>
      </c>
      <c r="J1016" s="2">
        <v>26.60000038146973</v>
      </c>
      <c r="K1016" s="23">
        <f t="shared" si="148"/>
        <v>34471.310000000005</v>
      </c>
      <c r="L1016" s="23">
        <f t="shared" si="146"/>
        <v>6.1141025186236266</v>
      </c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AA1016" s="11"/>
      <c r="AB1016" s="11"/>
      <c r="AC1016" s="11"/>
      <c r="AD1016" s="11"/>
      <c r="AE1016" s="11"/>
    </row>
    <row r="1017" spans="1:31" x14ac:dyDescent="0.25">
      <c r="A1017" s="18" t="s">
        <v>2</v>
      </c>
      <c r="B1017" s="21">
        <v>45703</v>
      </c>
      <c r="C1017" s="8">
        <v>3910</v>
      </c>
      <c r="D1017" s="8">
        <v>1000</v>
      </c>
      <c r="E1017" s="8">
        <v>0</v>
      </c>
      <c r="F1017" s="8"/>
      <c r="G1017" s="8">
        <v>5691</v>
      </c>
      <c r="H1017" s="8">
        <v>0</v>
      </c>
      <c r="I1017" s="8">
        <v>0</v>
      </c>
      <c r="J1017" s="2">
        <v>15</v>
      </c>
      <c r="K1017" s="23">
        <f t="shared" si="148"/>
        <v>32244.910000000003</v>
      </c>
      <c r="L1017" s="23">
        <f t="shared" si="146"/>
        <v>5.6659479880513093</v>
      </c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AA1017" s="11"/>
      <c r="AB1017" s="11"/>
      <c r="AC1017" s="11"/>
      <c r="AD1017" s="11"/>
      <c r="AE1017" s="11"/>
    </row>
    <row r="1018" spans="1:31" x14ac:dyDescent="0.25">
      <c r="A1018" s="18" t="s">
        <v>2</v>
      </c>
      <c r="B1018" s="21">
        <v>45704</v>
      </c>
      <c r="C1018" s="7">
        <v>4084</v>
      </c>
      <c r="D1018" s="7">
        <v>1000</v>
      </c>
      <c r="E1018" s="7">
        <v>0</v>
      </c>
      <c r="F1018" s="7"/>
      <c r="G1018" s="7">
        <v>3840</v>
      </c>
      <c r="H1018" s="7">
        <v>0</v>
      </c>
      <c r="I1018" s="7">
        <v>0</v>
      </c>
      <c r="J1018" s="2">
        <v>18.89999961853027</v>
      </c>
      <c r="K1018" s="23">
        <f t="shared" si="148"/>
        <v>33654.484000000004</v>
      </c>
      <c r="L1018" s="23">
        <f t="shared" si="146"/>
        <v>8.7641885416666678</v>
      </c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AA1018" s="11"/>
      <c r="AB1018" s="11"/>
      <c r="AC1018" s="11"/>
      <c r="AD1018" s="11"/>
      <c r="AE1018" s="11"/>
    </row>
    <row r="1019" spans="1:31" x14ac:dyDescent="0.25">
      <c r="A1019" s="18" t="s">
        <v>2</v>
      </c>
      <c r="B1019" s="21">
        <v>45705</v>
      </c>
      <c r="C1019" s="7">
        <v>2644</v>
      </c>
      <c r="D1019" s="7">
        <v>1239</v>
      </c>
      <c r="E1019" s="7">
        <v>6100</v>
      </c>
      <c r="F1019" s="7"/>
      <c r="G1019" s="7">
        <v>5655</v>
      </c>
      <c r="H1019" s="7">
        <v>585</v>
      </c>
      <c r="I1019" s="7">
        <v>29960</v>
      </c>
      <c r="J1019" s="2">
        <v>18.39999961853027</v>
      </c>
      <c r="K1019" s="23">
        <f t="shared" si="148"/>
        <v>63910.274000000005</v>
      </c>
      <c r="L1019" s="23">
        <f t="shared" si="146"/>
        <v>11.301551547303273</v>
      </c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AA1019" s="11"/>
      <c r="AB1019" s="11"/>
      <c r="AC1019" s="11"/>
      <c r="AD1019" s="11"/>
      <c r="AE1019" s="11"/>
    </row>
    <row r="1020" spans="1:31" x14ac:dyDescent="0.25">
      <c r="A1020" s="18" t="s">
        <v>2</v>
      </c>
      <c r="B1020" s="21">
        <v>45706</v>
      </c>
      <c r="C1020" s="7">
        <v>4033</v>
      </c>
      <c r="D1020" s="7">
        <v>1699</v>
      </c>
      <c r="E1020" s="7">
        <v>0</v>
      </c>
      <c r="F1020" s="7"/>
      <c r="G1020" s="7">
        <v>5685</v>
      </c>
      <c r="H1020" s="7">
        <v>1338</v>
      </c>
      <c r="I1020" s="7">
        <v>0</v>
      </c>
      <c r="J1020" s="2">
        <v>17</v>
      </c>
      <c r="K1020" s="23">
        <f t="shared" si="148"/>
        <v>33639.762999999999</v>
      </c>
      <c r="L1020" s="23">
        <f t="shared" si="146"/>
        <v>5.9172846086191733</v>
      </c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AA1020" s="11"/>
      <c r="AB1020" s="11"/>
      <c r="AC1020" s="11"/>
      <c r="AD1020" s="11"/>
      <c r="AE1020" s="11"/>
    </row>
    <row r="1021" spans="1:31" x14ac:dyDescent="0.25">
      <c r="A1021" s="18" t="s">
        <v>2</v>
      </c>
      <c r="B1021" s="21">
        <v>45707</v>
      </c>
      <c r="C1021" s="7">
        <v>4830</v>
      </c>
      <c r="D1021" s="7">
        <v>2033</v>
      </c>
      <c r="E1021" s="7">
        <v>2100</v>
      </c>
      <c r="F1021" s="7"/>
      <c r="G1021" s="7">
        <v>5745</v>
      </c>
      <c r="H1021" s="7">
        <v>1265</v>
      </c>
      <c r="I1021" s="7">
        <v>9750</v>
      </c>
      <c r="J1021" s="2">
        <v>20.79999923706055</v>
      </c>
      <c r="K1021" s="23">
        <f t="shared" si="148"/>
        <v>54671.64</v>
      </c>
      <c r="L1021" s="23">
        <f t="shared" si="146"/>
        <v>9.5163864229765007</v>
      </c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AA1021" s="11"/>
      <c r="AB1021" s="11"/>
      <c r="AC1021" s="11"/>
      <c r="AD1021" s="11"/>
      <c r="AE1021" s="11"/>
    </row>
    <row r="1022" spans="1:31" x14ac:dyDescent="0.25">
      <c r="A1022" s="18" t="s">
        <v>2</v>
      </c>
      <c r="B1022" s="21">
        <v>45708</v>
      </c>
      <c r="C1022" s="8">
        <v>5010</v>
      </c>
      <c r="D1022" s="8">
        <v>1000</v>
      </c>
      <c r="E1022" s="8">
        <v>0</v>
      </c>
      <c r="F1022" s="8"/>
      <c r="G1022" s="8">
        <v>6120</v>
      </c>
      <c r="H1022" s="8">
        <v>0</v>
      </c>
      <c r="I1022" s="8">
        <v>0</v>
      </c>
      <c r="J1022" s="2">
        <v>22.70000076293945</v>
      </c>
      <c r="K1022" s="23">
        <f t="shared" si="148"/>
        <v>41156.01</v>
      </c>
      <c r="L1022" s="23">
        <f t="shared" si="146"/>
        <v>6.7248382352941176</v>
      </c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AA1022" s="11"/>
      <c r="AB1022" s="11"/>
      <c r="AC1022" s="11"/>
      <c r="AD1022" s="11"/>
      <c r="AE1022" s="11"/>
    </row>
    <row r="1023" spans="1:31" x14ac:dyDescent="0.25">
      <c r="A1023" s="18" t="s">
        <v>2</v>
      </c>
      <c r="B1023" s="21">
        <v>45709</v>
      </c>
      <c r="C1023" s="7">
        <v>3984</v>
      </c>
      <c r="D1023" s="7">
        <v>1615</v>
      </c>
      <c r="E1023" s="7">
        <v>7300</v>
      </c>
      <c r="F1023" s="7"/>
      <c r="G1023" s="7">
        <v>5630</v>
      </c>
      <c r="H1023" s="7">
        <v>681</v>
      </c>
      <c r="I1023" s="7">
        <v>36450</v>
      </c>
      <c r="J1023" s="2">
        <v>21.04999923706055</v>
      </c>
      <c r="K1023" s="23">
        <f t="shared" si="148"/>
        <v>83199.934000000008</v>
      </c>
      <c r="L1023" s="23">
        <f t="shared" si="146"/>
        <v>14.777963410301956</v>
      </c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AA1023" s="11"/>
      <c r="AB1023" s="11"/>
      <c r="AC1023" s="11"/>
      <c r="AD1023" s="11"/>
      <c r="AE1023" s="11"/>
    </row>
    <row r="1024" spans="1:31" x14ac:dyDescent="0.25">
      <c r="A1024" s="18" t="s">
        <v>2</v>
      </c>
      <c r="B1024" s="21">
        <v>45710</v>
      </c>
      <c r="C1024" s="7">
        <v>3460</v>
      </c>
      <c r="D1024" s="7">
        <v>2200</v>
      </c>
      <c r="E1024" s="7">
        <v>0</v>
      </c>
      <c r="F1024" s="7"/>
      <c r="G1024" s="7">
        <v>6070</v>
      </c>
      <c r="H1024" s="7">
        <v>1396</v>
      </c>
      <c r="I1024" s="7">
        <v>0</v>
      </c>
      <c r="J1024" s="2">
        <v>19.79999923706055</v>
      </c>
      <c r="K1024" s="23">
        <f t="shared" si="148"/>
        <v>29283.460000000003</v>
      </c>
      <c r="L1024" s="23">
        <f t="shared" si="146"/>
        <v>4.8242932454695229</v>
      </c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AA1024" s="11"/>
      <c r="AB1024" s="11"/>
      <c r="AC1024" s="11"/>
      <c r="AD1024" s="11"/>
      <c r="AE1024" s="11"/>
    </row>
    <row r="1025" spans="1:31" x14ac:dyDescent="0.25">
      <c r="A1025" s="18" t="s">
        <v>2</v>
      </c>
      <c r="B1025" s="21">
        <v>45711</v>
      </c>
      <c r="C1025" s="7">
        <v>4009</v>
      </c>
      <c r="D1025" s="7">
        <v>1200</v>
      </c>
      <c r="E1025" s="7">
        <v>0</v>
      </c>
      <c r="F1025" s="7"/>
      <c r="G1025" s="7">
        <v>5625</v>
      </c>
      <c r="H1025" s="7">
        <v>0</v>
      </c>
      <c r="I1025" s="7">
        <v>0</v>
      </c>
      <c r="J1025" s="2">
        <v>22.95000076293945</v>
      </c>
      <c r="K1025" s="23">
        <f t="shared" si="148"/>
        <v>33160.909</v>
      </c>
      <c r="L1025" s="23">
        <f t="shared" si="146"/>
        <v>5.8952727111111107</v>
      </c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AA1025" s="11"/>
      <c r="AB1025" s="11"/>
      <c r="AC1025" s="11"/>
      <c r="AD1025" s="11"/>
      <c r="AE1025" s="11"/>
    </row>
    <row r="1026" spans="1:31" x14ac:dyDescent="0.25">
      <c r="A1026" s="18" t="s">
        <v>2</v>
      </c>
      <c r="B1026" s="21">
        <v>45712</v>
      </c>
      <c r="C1026" s="7">
        <v>2354</v>
      </c>
      <c r="D1026" s="7">
        <v>2000</v>
      </c>
      <c r="E1026" s="7">
        <v>0</v>
      </c>
      <c r="F1026" s="7"/>
      <c r="G1026" s="7">
        <v>5626</v>
      </c>
      <c r="H1026" s="7">
        <v>1655</v>
      </c>
      <c r="I1026" s="7">
        <v>0</v>
      </c>
      <c r="J1026" s="2">
        <v>23</v>
      </c>
      <c r="K1026" s="23">
        <f t="shared" si="148"/>
        <v>20209.754000000001</v>
      </c>
      <c r="L1026" s="23">
        <f t="shared" si="146"/>
        <v>3.5922065410593675</v>
      </c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AA1026" s="11"/>
      <c r="AB1026" s="11"/>
      <c r="AC1026" s="11"/>
      <c r="AD1026" s="11"/>
      <c r="AE1026" s="11"/>
    </row>
    <row r="1027" spans="1:31" x14ac:dyDescent="0.25">
      <c r="A1027" s="18" t="s">
        <v>2</v>
      </c>
      <c r="B1027" s="21">
        <v>45713</v>
      </c>
      <c r="C1027" s="8">
        <v>4280</v>
      </c>
      <c r="D1027" s="8">
        <v>2000</v>
      </c>
      <c r="E1027" s="8">
        <v>0</v>
      </c>
      <c r="F1027" s="8"/>
      <c r="G1027" s="8">
        <v>5632.1066666666666</v>
      </c>
      <c r="H1027" s="8">
        <v>1651.52</v>
      </c>
      <c r="I1027" s="8">
        <v>0</v>
      </c>
      <c r="J1027" s="2">
        <v>21.85000038146973</v>
      </c>
      <c r="K1027" s="23">
        <f t="shared" si="148"/>
        <v>35812.280000000006</v>
      </c>
      <c r="L1027" s="23">
        <f t="shared" si="146"/>
        <v>6.3585940607185485</v>
      </c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AA1027" s="11"/>
      <c r="AB1027" s="11"/>
      <c r="AC1027" s="11"/>
      <c r="AD1027" s="11"/>
      <c r="AE1027" s="11"/>
    </row>
    <row r="1028" spans="1:31" x14ac:dyDescent="0.25">
      <c r="A1028" s="18" t="s">
        <v>2</v>
      </c>
      <c r="B1028" s="21">
        <v>45714</v>
      </c>
      <c r="C1028" s="7">
        <v>4400</v>
      </c>
      <c r="D1028" s="7">
        <v>200</v>
      </c>
      <c r="E1028" s="7">
        <v>7900</v>
      </c>
      <c r="F1028" s="7"/>
      <c r="G1028" s="7">
        <v>7654.3278612716776</v>
      </c>
      <c r="H1028" s="7">
        <v>2470.5200000000004</v>
      </c>
      <c r="I1028" s="7">
        <v>39600</v>
      </c>
      <c r="J1028" s="2">
        <v>20.29999923706055</v>
      </c>
      <c r="K1028" s="23">
        <f t="shared" si="148"/>
        <v>89873.4</v>
      </c>
      <c r="L1028" s="23">
        <f t="shared" si="146"/>
        <v>11.741514294772914</v>
      </c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AA1028" s="11"/>
      <c r="AB1028" s="11"/>
      <c r="AC1028" s="11"/>
      <c r="AD1028" s="11"/>
      <c r="AE1028" s="11"/>
    </row>
    <row r="1029" spans="1:31" x14ac:dyDescent="0.25">
      <c r="A1029" s="18" t="s">
        <v>2</v>
      </c>
      <c r="B1029" s="21">
        <v>45715</v>
      </c>
      <c r="C1029" s="7">
        <v>4149</v>
      </c>
      <c r="D1029" s="7">
        <v>2000</v>
      </c>
      <c r="E1029" s="7">
        <v>0</v>
      </c>
      <c r="F1029" s="7"/>
      <c r="G1029" s="7">
        <v>8157.4952380952382</v>
      </c>
      <c r="H1029" s="7">
        <v>2840.76</v>
      </c>
      <c r="I1029" s="7">
        <v>0</v>
      </c>
      <c r="J1029" s="2">
        <v>14.75</v>
      </c>
      <c r="K1029" s="23">
        <f t="shared" si="148"/>
        <v>34751.049000000006</v>
      </c>
      <c r="L1029" s="23">
        <f t="shared" si="146"/>
        <v>4.2600146228359081</v>
      </c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AA1029" s="11"/>
      <c r="AB1029" s="11"/>
      <c r="AC1029" s="11"/>
      <c r="AD1029" s="11"/>
      <c r="AE1029" s="11"/>
    </row>
    <row r="1030" spans="1:31" x14ac:dyDescent="0.25">
      <c r="A1030" s="18" t="s">
        <v>2</v>
      </c>
      <c r="B1030" s="21">
        <v>45716</v>
      </c>
      <c r="C1030" s="7">
        <v>3758</v>
      </c>
      <c r="D1030" s="7">
        <v>7206</v>
      </c>
      <c r="E1030" s="7">
        <v>5800</v>
      </c>
      <c r="F1030" s="7"/>
      <c r="G1030" s="7">
        <v>1514.2790551181101</v>
      </c>
      <c r="H1030" s="7">
        <v>3929.8672440944879</v>
      </c>
      <c r="I1030" s="7">
        <v>29594</v>
      </c>
      <c r="J1030" s="2">
        <v>16.5</v>
      </c>
      <c r="K1030" s="23">
        <f>C1030*8.101+D1030*0.57+E1030*6.85+F1030*5</f>
        <v>74280.978000000003</v>
      </c>
      <c r="L1030" s="23">
        <f t="shared" si="146"/>
        <v>49.05369175446085</v>
      </c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AA1030" s="11"/>
      <c r="AB1030" s="11"/>
      <c r="AC1030" s="11"/>
      <c r="AD1030" s="11"/>
      <c r="AE1030" s="11"/>
    </row>
    <row r="1031" spans="1:31" x14ac:dyDescent="0.25">
      <c r="A1031" s="18" t="s">
        <v>2</v>
      </c>
      <c r="B1031" s="21">
        <v>45717</v>
      </c>
      <c r="C1031" s="7">
        <v>3480</v>
      </c>
      <c r="D1031" s="7">
        <v>5977</v>
      </c>
      <c r="E1031" s="7">
        <v>0</v>
      </c>
      <c r="F1031" s="7"/>
      <c r="G1031" s="7">
        <v>3872.4087037037038</v>
      </c>
      <c r="H1031" s="7">
        <v>3620.7720370370375</v>
      </c>
      <c r="I1031" s="7">
        <v>0</v>
      </c>
      <c r="J1031" s="2">
        <v>18.10000038146973</v>
      </c>
      <c r="K1031" s="23">
        <f>C1031*8.002+D1031*0.57+E1031*7.1+F1031*5</f>
        <v>31253.850000000002</v>
      </c>
      <c r="L1031" s="23">
        <f t="shared" si="146"/>
        <v>8.0709068673737239</v>
      </c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AA1031" s="11"/>
      <c r="AB1031" s="11"/>
      <c r="AC1031" s="11"/>
      <c r="AD1031" s="11"/>
      <c r="AE1031" s="11"/>
    </row>
    <row r="1032" spans="1:31" x14ac:dyDescent="0.25">
      <c r="A1032" s="18" t="s">
        <v>2</v>
      </c>
      <c r="B1032" s="21">
        <v>45718</v>
      </c>
      <c r="C1032" s="7">
        <v>4540</v>
      </c>
      <c r="D1032" s="7">
        <v>2224</v>
      </c>
      <c r="E1032" s="7">
        <v>0</v>
      </c>
      <c r="F1032" s="7"/>
      <c r="G1032" s="7">
        <v>3434.2015584415585</v>
      </c>
      <c r="H1032" s="7">
        <v>1053.52</v>
      </c>
      <c r="I1032" s="7">
        <v>0</v>
      </c>
      <c r="J1032" s="2">
        <v>19.20000076293945</v>
      </c>
      <c r="K1032" s="23">
        <f t="shared" ref="K1032:K1060" si="149">C1032*8.002+D1032*0.57+E1032*7.1+F1032*5</f>
        <v>37596.76</v>
      </c>
      <c r="L1032" s="23">
        <f t="shared" si="146"/>
        <v>10.947744143783284</v>
      </c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AA1032" s="11"/>
      <c r="AB1032" s="11"/>
      <c r="AC1032" s="11"/>
      <c r="AD1032" s="11"/>
      <c r="AE1032" s="11"/>
    </row>
    <row r="1033" spans="1:31" x14ac:dyDescent="0.25">
      <c r="A1033" s="18" t="s">
        <v>2</v>
      </c>
      <c r="B1033" s="21">
        <v>45719</v>
      </c>
      <c r="C1033" s="7">
        <v>3017</v>
      </c>
      <c r="D1033" s="7">
        <v>2465</v>
      </c>
      <c r="E1033" s="7">
        <v>625</v>
      </c>
      <c r="F1033" s="7"/>
      <c r="G1033" s="7">
        <v>3225</v>
      </c>
      <c r="H1033" s="7">
        <v>1245</v>
      </c>
      <c r="I1033" s="7">
        <v>3255</v>
      </c>
      <c r="J1033" s="2">
        <v>18.04999923706055</v>
      </c>
      <c r="K1033" s="23">
        <f t="shared" si="149"/>
        <v>29984.584000000003</v>
      </c>
      <c r="L1033" s="23">
        <f t="shared" ref="L1033:L1096" si="150">K1033/G1033</f>
        <v>9.2975454263565904</v>
      </c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AA1033" s="11"/>
      <c r="AB1033" s="11"/>
      <c r="AC1033" s="11"/>
      <c r="AD1033" s="11"/>
      <c r="AE1033" s="11"/>
    </row>
    <row r="1034" spans="1:31" x14ac:dyDescent="0.25">
      <c r="A1034" s="18" t="s">
        <v>2</v>
      </c>
      <c r="B1034" s="21">
        <v>45720</v>
      </c>
      <c r="C1034" s="7">
        <v>3902</v>
      </c>
      <c r="D1034" s="7">
        <v>5034</v>
      </c>
      <c r="E1034" s="7">
        <v>650</v>
      </c>
      <c r="F1034" s="7"/>
      <c r="G1034" s="7">
        <v>5355</v>
      </c>
      <c r="H1034" s="7">
        <v>2145</v>
      </c>
      <c r="I1034" s="7">
        <v>3255</v>
      </c>
      <c r="J1034" s="2">
        <v>17.35000038146973</v>
      </c>
      <c r="K1034" s="23">
        <f t="shared" si="149"/>
        <v>38708.184000000001</v>
      </c>
      <c r="L1034" s="23">
        <f t="shared" si="150"/>
        <v>7.228419047619048</v>
      </c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AA1034" s="11"/>
      <c r="AB1034" s="11"/>
      <c r="AC1034" s="11"/>
      <c r="AD1034" s="11"/>
      <c r="AE1034" s="11"/>
    </row>
    <row r="1035" spans="1:31" x14ac:dyDescent="0.25">
      <c r="A1035" s="18" t="s">
        <v>2</v>
      </c>
      <c r="B1035" s="21">
        <v>45721</v>
      </c>
      <c r="C1035" s="8">
        <v>3091</v>
      </c>
      <c r="D1035" s="8">
        <v>3795</v>
      </c>
      <c r="E1035" s="8">
        <v>4000</v>
      </c>
      <c r="F1035" s="8"/>
      <c r="G1035" s="8">
        <v>5901</v>
      </c>
      <c r="H1035" s="8">
        <v>2355</v>
      </c>
      <c r="I1035" s="8">
        <v>25350</v>
      </c>
      <c r="J1035" s="2">
        <v>16.20000076293945</v>
      </c>
      <c r="K1035" s="23">
        <f t="shared" si="149"/>
        <v>55297.332000000002</v>
      </c>
      <c r="L1035" s="23">
        <f t="shared" si="150"/>
        <v>9.3708408744280636</v>
      </c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AA1035" s="11"/>
      <c r="AB1035" s="11"/>
      <c r="AC1035" s="11"/>
      <c r="AD1035" s="11"/>
      <c r="AE1035" s="11"/>
    </row>
    <row r="1036" spans="1:31" x14ac:dyDescent="0.25">
      <c r="A1036" s="18" t="s">
        <v>2</v>
      </c>
      <c r="B1036" s="21">
        <v>45722</v>
      </c>
      <c r="C1036" s="7">
        <v>4196</v>
      </c>
      <c r="D1036" s="7">
        <v>4851</v>
      </c>
      <c r="E1036" s="7">
        <v>0</v>
      </c>
      <c r="F1036" s="7"/>
      <c r="G1036" s="7">
        <v>5565</v>
      </c>
      <c r="H1036" s="7">
        <v>3450</v>
      </c>
      <c r="I1036" s="7">
        <v>0</v>
      </c>
      <c r="J1036" s="2">
        <v>19.39999961853027</v>
      </c>
      <c r="K1036" s="23">
        <f t="shared" si="149"/>
        <v>36341.462</v>
      </c>
      <c r="L1036" s="23">
        <f t="shared" si="150"/>
        <v>6.5303615453728661</v>
      </c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AA1036" s="11"/>
      <c r="AB1036" s="11"/>
      <c r="AC1036" s="11"/>
      <c r="AD1036" s="11"/>
      <c r="AE1036" s="11"/>
    </row>
    <row r="1037" spans="1:31" x14ac:dyDescent="0.25">
      <c r="A1037" s="18" t="s">
        <v>2</v>
      </c>
      <c r="B1037" s="21">
        <v>45723</v>
      </c>
      <c r="C1037" s="7">
        <v>3371</v>
      </c>
      <c r="D1037" s="7">
        <v>3002</v>
      </c>
      <c r="E1037" s="7">
        <v>0</v>
      </c>
      <c r="F1037" s="7"/>
      <c r="G1037" s="7">
        <v>5535</v>
      </c>
      <c r="H1037" s="7">
        <v>900</v>
      </c>
      <c r="I1037" s="7">
        <v>0</v>
      </c>
      <c r="J1037" s="2">
        <v>15.10000038146973</v>
      </c>
      <c r="K1037" s="23">
        <f t="shared" si="149"/>
        <v>28685.882000000001</v>
      </c>
      <c r="L1037" s="23">
        <f t="shared" si="150"/>
        <v>5.1826345076784106</v>
      </c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AA1037" s="11"/>
      <c r="AB1037" s="11"/>
      <c r="AC1037" s="11"/>
      <c r="AD1037" s="11"/>
      <c r="AE1037" s="11"/>
    </row>
    <row r="1038" spans="1:31" x14ac:dyDescent="0.25">
      <c r="A1038" s="18" t="s">
        <v>2</v>
      </c>
      <c r="B1038" s="21">
        <v>45724</v>
      </c>
      <c r="C1038" s="7">
        <v>3653</v>
      </c>
      <c r="D1038" s="7">
        <v>1200</v>
      </c>
      <c r="E1038" s="7">
        <v>0</v>
      </c>
      <c r="F1038" s="7"/>
      <c r="G1038" s="7">
        <v>4710</v>
      </c>
      <c r="H1038" s="7">
        <v>495</v>
      </c>
      <c r="I1038" s="7">
        <v>0</v>
      </c>
      <c r="J1038" s="2">
        <v>15.5</v>
      </c>
      <c r="K1038" s="23">
        <f t="shared" si="149"/>
        <v>29915.306000000004</v>
      </c>
      <c r="L1038" s="23">
        <f t="shared" si="150"/>
        <v>6.3514450106157119</v>
      </c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AA1038" s="11"/>
      <c r="AB1038" s="11"/>
      <c r="AC1038" s="11"/>
      <c r="AD1038" s="11"/>
      <c r="AE1038" s="11"/>
    </row>
    <row r="1039" spans="1:31" x14ac:dyDescent="0.25">
      <c r="A1039" s="18" t="s">
        <v>2</v>
      </c>
      <c r="B1039" s="21">
        <v>45725</v>
      </c>
      <c r="C1039" s="7">
        <v>2829</v>
      </c>
      <c r="D1039" s="7">
        <v>1100</v>
      </c>
      <c r="E1039" s="7">
        <v>0</v>
      </c>
      <c r="F1039" s="7"/>
      <c r="G1039" s="24">
        <v>3622.5</v>
      </c>
      <c r="H1039" s="24">
        <v>1747.5</v>
      </c>
      <c r="I1039" s="7">
        <v>0</v>
      </c>
      <c r="J1039" s="2">
        <v>17.20000076293945</v>
      </c>
      <c r="K1039" s="23">
        <f t="shared" si="149"/>
        <v>23264.658000000003</v>
      </c>
      <c r="L1039" s="23">
        <f t="shared" si="150"/>
        <v>6.4222658385093174</v>
      </c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AA1039" s="11"/>
      <c r="AB1039" s="11"/>
      <c r="AC1039" s="11"/>
      <c r="AD1039" s="11"/>
      <c r="AE1039" s="11"/>
    </row>
    <row r="1040" spans="1:31" x14ac:dyDescent="0.25">
      <c r="A1040" s="18" t="s">
        <v>2</v>
      </c>
      <c r="B1040" s="21">
        <v>45726</v>
      </c>
      <c r="C1040" s="8">
        <v>2959</v>
      </c>
      <c r="D1040" s="8">
        <v>4462</v>
      </c>
      <c r="E1040" s="8">
        <v>3900</v>
      </c>
      <c r="F1040" s="8"/>
      <c r="G1040" s="8">
        <v>2535</v>
      </c>
      <c r="H1040" s="8">
        <v>3000</v>
      </c>
      <c r="I1040" s="8">
        <v>26813</v>
      </c>
      <c r="J1040" s="2">
        <v>17.64999961853027</v>
      </c>
      <c r="K1040" s="23">
        <f t="shared" si="149"/>
        <v>53911.258000000002</v>
      </c>
      <c r="L1040" s="23">
        <f t="shared" si="150"/>
        <v>21.266768441814595</v>
      </c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AA1040" s="11"/>
      <c r="AB1040" s="11"/>
      <c r="AC1040" s="11"/>
      <c r="AD1040" s="11"/>
      <c r="AE1040" s="11"/>
    </row>
    <row r="1041" spans="1:31" x14ac:dyDescent="0.25">
      <c r="A1041" s="18" t="s">
        <v>2</v>
      </c>
      <c r="B1041" s="21">
        <v>45727</v>
      </c>
      <c r="C1041" s="7">
        <v>3806</v>
      </c>
      <c r="D1041" s="7">
        <v>5435</v>
      </c>
      <c r="E1041" s="7">
        <v>0</v>
      </c>
      <c r="F1041" s="7"/>
      <c r="G1041" s="7">
        <v>5026</v>
      </c>
      <c r="H1041" s="7">
        <v>3225</v>
      </c>
      <c r="I1041" s="7">
        <v>0</v>
      </c>
      <c r="J1041" s="2">
        <v>20.39999961853027</v>
      </c>
      <c r="K1041" s="23">
        <f t="shared" si="149"/>
        <v>33553.561999999998</v>
      </c>
      <c r="L1041" s="23">
        <f t="shared" si="150"/>
        <v>6.6759972144846795</v>
      </c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AA1041" s="11"/>
      <c r="AB1041" s="11"/>
      <c r="AC1041" s="11"/>
      <c r="AD1041" s="11"/>
      <c r="AE1041" s="11"/>
    </row>
    <row r="1042" spans="1:31" x14ac:dyDescent="0.25">
      <c r="A1042" s="18" t="s">
        <v>2</v>
      </c>
      <c r="B1042" s="21">
        <v>45728</v>
      </c>
      <c r="C1042" s="7">
        <v>4589</v>
      </c>
      <c r="D1042" s="7">
        <v>6165</v>
      </c>
      <c r="E1042" s="7">
        <v>4450</v>
      </c>
      <c r="F1042" s="7"/>
      <c r="G1042" s="7">
        <v>4947</v>
      </c>
      <c r="H1042" s="7">
        <v>4270</v>
      </c>
      <c r="I1042" s="7">
        <v>27348</v>
      </c>
      <c r="J1042" s="2">
        <v>17.79999923706055</v>
      </c>
      <c r="K1042" s="23">
        <f t="shared" si="149"/>
        <v>71830.228000000003</v>
      </c>
      <c r="L1042" s="23">
        <f t="shared" si="150"/>
        <v>14.519957145744897</v>
      </c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AA1042" s="11"/>
      <c r="AB1042" s="11"/>
      <c r="AC1042" s="11"/>
      <c r="AD1042" s="11"/>
      <c r="AE1042" s="11"/>
    </row>
    <row r="1043" spans="1:31" x14ac:dyDescent="0.25">
      <c r="A1043" s="18" t="s">
        <v>2</v>
      </c>
      <c r="B1043" s="21">
        <v>45729</v>
      </c>
      <c r="C1043" s="7">
        <v>2074</v>
      </c>
      <c r="D1043" s="7">
        <v>6027</v>
      </c>
      <c r="E1043" s="7">
        <v>2000</v>
      </c>
      <c r="F1043" s="7"/>
      <c r="G1043" s="7">
        <v>5435</v>
      </c>
      <c r="H1043" s="7">
        <v>5707</v>
      </c>
      <c r="I1043" s="7">
        <v>9075</v>
      </c>
      <c r="J1043" s="2">
        <v>14.80000019073486</v>
      </c>
      <c r="K1043" s="23">
        <f t="shared" si="149"/>
        <v>34231.538</v>
      </c>
      <c r="L1043" s="23">
        <f t="shared" si="150"/>
        <v>6.2983510579576816</v>
      </c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AA1043" s="11"/>
      <c r="AB1043" s="11"/>
      <c r="AC1043" s="11"/>
      <c r="AD1043" s="11"/>
      <c r="AE1043" s="11"/>
    </row>
    <row r="1044" spans="1:31" x14ac:dyDescent="0.25">
      <c r="A1044" s="18" t="s">
        <v>2</v>
      </c>
      <c r="B1044" s="21">
        <v>45730</v>
      </c>
      <c r="C1044" s="7">
        <v>2771</v>
      </c>
      <c r="D1044" s="7">
        <v>5247</v>
      </c>
      <c r="E1044" s="7">
        <v>0</v>
      </c>
      <c r="F1044" s="7"/>
      <c r="G1044" s="7">
        <v>3096</v>
      </c>
      <c r="H1044" s="7">
        <v>3757</v>
      </c>
      <c r="I1044" s="7">
        <v>0</v>
      </c>
      <c r="J1044" s="2">
        <v>16.79999923706055</v>
      </c>
      <c r="K1044" s="23">
        <f t="shared" si="149"/>
        <v>25164.332000000002</v>
      </c>
      <c r="L1044" s="23">
        <f t="shared" si="150"/>
        <v>8.1280142118863061</v>
      </c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AA1044" s="11"/>
      <c r="AB1044" s="11"/>
      <c r="AC1044" s="11"/>
      <c r="AD1044" s="11"/>
      <c r="AE1044" s="11"/>
    </row>
    <row r="1045" spans="1:31" x14ac:dyDescent="0.25">
      <c r="A1045" s="18" t="s">
        <v>2</v>
      </c>
      <c r="B1045" s="21">
        <v>45731</v>
      </c>
      <c r="C1045" s="8">
        <v>2610</v>
      </c>
      <c r="D1045" s="8">
        <v>4658</v>
      </c>
      <c r="E1045" s="8">
        <v>0</v>
      </c>
      <c r="F1045" s="8"/>
      <c r="G1045" s="8">
        <v>3375</v>
      </c>
      <c r="H1045" s="8">
        <v>2865</v>
      </c>
      <c r="I1045" s="8">
        <v>0</v>
      </c>
      <c r="J1045" s="2">
        <v>18.95000076293945</v>
      </c>
      <c r="K1045" s="23">
        <f t="shared" si="149"/>
        <v>23540.280000000002</v>
      </c>
      <c r="L1045" s="23">
        <f t="shared" si="150"/>
        <v>6.9748977777777785</v>
      </c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AA1045" s="11"/>
      <c r="AB1045" s="11"/>
      <c r="AC1045" s="11"/>
      <c r="AD1045" s="11"/>
      <c r="AE1045" s="11"/>
    </row>
    <row r="1046" spans="1:31" x14ac:dyDescent="0.25">
      <c r="A1046" s="18" t="s">
        <v>2</v>
      </c>
      <c r="B1046" s="21">
        <v>45732</v>
      </c>
      <c r="C1046" s="7">
        <v>2358</v>
      </c>
      <c r="D1046" s="7">
        <v>1000</v>
      </c>
      <c r="E1046" s="7">
        <v>0</v>
      </c>
      <c r="F1046" s="7"/>
      <c r="G1046" s="7">
        <v>3765</v>
      </c>
      <c r="H1046" s="7">
        <v>0</v>
      </c>
      <c r="I1046" s="7">
        <v>0</v>
      </c>
      <c r="J1046" s="2">
        <v>19.35000038146973</v>
      </c>
      <c r="K1046" s="23">
        <f t="shared" si="149"/>
        <v>19438.716</v>
      </c>
      <c r="L1046" s="23">
        <f t="shared" si="150"/>
        <v>5.1630055776892432</v>
      </c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AA1046" s="11"/>
      <c r="AB1046" s="11"/>
      <c r="AC1046" s="11"/>
      <c r="AD1046" s="11"/>
      <c r="AE1046" s="11"/>
    </row>
    <row r="1047" spans="1:31" x14ac:dyDescent="0.25">
      <c r="A1047" s="18" t="s">
        <v>2</v>
      </c>
      <c r="B1047" s="21">
        <v>45733</v>
      </c>
      <c r="C1047" s="7">
        <v>1850</v>
      </c>
      <c r="D1047" s="7">
        <v>2191</v>
      </c>
      <c r="E1047" s="7">
        <v>1350</v>
      </c>
      <c r="F1047" s="7"/>
      <c r="G1047" s="7">
        <v>2910</v>
      </c>
      <c r="H1047" s="7">
        <v>720</v>
      </c>
      <c r="I1047" s="7">
        <v>6187.5</v>
      </c>
      <c r="J1047" s="2">
        <v>19.95000076293945</v>
      </c>
      <c r="K1047" s="23">
        <f t="shared" si="149"/>
        <v>25637.57</v>
      </c>
      <c r="L1047" s="23">
        <f t="shared" si="150"/>
        <v>8.8101615120274914</v>
      </c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AA1047" s="11"/>
      <c r="AB1047" s="11"/>
      <c r="AC1047" s="11"/>
      <c r="AD1047" s="11"/>
      <c r="AE1047" s="11"/>
    </row>
    <row r="1048" spans="1:31" x14ac:dyDescent="0.25">
      <c r="A1048" s="18" t="s">
        <v>2</v>
      </c>
      <c r="B1048" s="21">
        <v>45734</v>
      </c>
      <c r="C1048" s="7">
        <v>2805</v>
      </c>
      <c r="D1048" s="7">
        <v>5469</v>
      </c>
      <c r="E1048" s="7">
        <v>0</v>
      </c>
      <c r="F1048" s="7"/>
      <c r="G1048" s="7">
        <v>4335</v>
      </c>
      <c r="H1048" s="7">
        <v>3634</v>
      </c>
      <c r="I1048" s="7">
        <v>0</v>
      </c>
      <c r="J1048" s="2">
        <v>22.45000076293945</v>
      </c>
      <c r="K1048" s="23">
        <f t="shared" si="149"/>
        <v>25562.940000000002</v>
      </c>
      <c r="L1048" s="23">
        <f t="shared" si="150"/>
        <v>5.8968719723183396</v>
      </c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AA1048" s="11"/>
      <c r="AB1048" s="11"/>
      <c r="AC1048" s="11"/>
      <c r="AD1048" s="11"/>
      <c r="AE1048" s="11"/>
    </row>
    <row r="1049" spans="1:31" x14ac:dyDescent="0.25">
      <c r="A1049" s="18" t="s">
        <v>2</v>
      </c>
      <c r="B1049" s="21">
        <v>45735</v>
      </c>
      <c r="C1049" s="7">
        <v>3190</v>
      </c>
      <c r="D1049" s="7">
        <v>5883</v>
      </c>
      <c r="E1049" s="7">
        <v>1950</v>
      </c>
      <c r="F1049" s="7"/>
      <c r="G1049" s="7">
        <v>4560</v>
      </c>
      <c r="H1049" s="7">
        <v>4387.5</v>
      </c>
      <c r="I1049" s="7">
        <v>8640</v>
      </c>
      <c r="J1049" s="2">
        <v>24.04999923706055</v>
      </c>
      <c r="K1049" s="23">
        <f t="shared" si="149"/>
        <v>42724.69</v>
      </c>
      <c r="L1049" s="23">
        <f t="shared" si="150"/>
        <v>9.3694495614035098</v>
      </c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AA1049" s="11"/>
      <c r="AB1049" s="11"/>
      <c r="AC1049" s="11"/>
      <c r="AD1049" s="11"/>
      <c r="AE1049" s="11"/>
    </row>
    <row r="1050" spans="1:31" x14ac:dyDescent="0.25">
      <c r="A1050" s="18" t="s">
        <v>2</v>
      </c>
      <c r="B1050" s="21">
        <v>45736</v>
      </c>
      <c r="C1050" s="8">
        <v>2976</v>
      </c>
      <c r="D1050" s="8">
        <v>5244</v>
      </c>
      <c r="E1050" s="8">
        <v>0</v>
      </c>
      <c r="F1050" s="8"/>
      <c r="G1050" s="8">
        <v>5925</v>
      </c>
      <c r="H1050" s="8">
        <v>3553</v>
      </c>
      <c r="I1050" s="8">
        <v>0</v>
      </c>
      <c r="J1050" s="2">
        <v>19.39999961853027</v>
      </c>
      <c r="K1050" s="23">
        <f t="shared" si="149"/>
        <v>26803.031999999999</v>
      </c>
      <c r="L1050" s="23">
        <f t="shared" si="150"/>
        <v>4.5237184810126578</v>
      </c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AA1050" s="11"/>
      <c r="AB1050" s="11"/>
      <c r="AC1050" s="11"/>
      <c r="AD1050" s="11"/>
      <c r="AE1050" s="11"/>
    </row>
    <row r="1051" spans="1:31" x14ac:dyDescent="0.25">
      <c r="A1051" s="18" t="s">
        <v>2</v>
      </c>
      <c r="B1051" s="21">
        <v>45737</v>
      </c>
      <c r="C1051" s="7">
        <v>4326</v>
      </c>
      <c r="D1051" s="7">
        <v>3269</v>
      </c>
      <c r="E1051" s="7">
        <v>2025</v>
      </c>
      <c r="F1051" s="7"/>
      <c r="G1051" s="7">
        <v>5790</v>
      </c>
      <c r="H1051" s="7">
        <v>1482</v>
      </c>
      <c r="I1051" s="7">
        <v>8640</v>
      </c>
      <c r="J1051" s="2">
        <v>15.75</v>
      </c>
      <c r="K1051" s="23">
        <f t="shared" si="149"/>
        <v>50857.482000000004</v>
      </c>
      <c r="L1051" s="23">
        <f t="shared" si="150"/>
        <v>8.7836756476683941</v>
      </c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AA1051" s="11"/>
      <c r="AB1051" s="11"/>
      <c r="AC1051" s="11"/>
      <c r="AD1051" s="11"/>
      <c r="AE1051" s="11"/>
    </row>
    <row r="1052" spans="1:31" x14ac:dyDescent="0.25">
      <c r="A1052" s="18" t="s">
        <v>2</v>
      </c>
      <c r="B1052" s="21">
        <v>45738</v>
      </c>
      <c r="C1052" s="7">
        <v>2995</v>
      </c>
      <c r="D1052" s="7">
        <v>5884</v>
      </c>
      <c r="E1052" s="7">
        <v>0</v>
      </c>
      <c r="F1052" s="7"/>
      <c r="G1052" s="7">
        <v>6410.5988381742745</v>
      </c>
      <c r="H1052" s="7">
        <v>3618.1600000000003</v>
      </c>
      <c r="I1052" s="7">
        <v>0</v>
      </c>
      <c r="J1052" s="2">
        <v>16.45000076293945</v>
      </c>
      <c r="K1052" s="23">
        <f t="shared" si="149"/>
        <v>27319.870000000003</v>
      </c>
      <c r="L1052" s="23">
        <f t="shared" si="150"/>
        <v>4.261672066783178</v>
      </c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AA1052" s="11"/>
      <c r="AB1052" s="11"/>
      <c r="AC1052" s="11"/>
      <c r="AD1052" s="11"/>
      <c r="AE1052" s="11"/>
    </row>
    <row r="1053" spans="1:31" x14ac:dyDescent="0.25">
      <c r="A1053" s="18" t="s">
        <v>2</v>
      </c>
      <c r="B1053" s="21">
        <v>45739</v>
      </c>
      <c r="C1053" s="7">
        <v>3524</v>
      </c>
      <c r="D1053" s="7">
        <v>3092</v>
      </c>
      <c r="E1053" s="7">
        <v>0</v>
      </c>
      <c r="F1053" s="7"/>
      <c r="G1053" s="7">
        <v>5559.9043298969073</v>
      </c>
      <c r="H1053" s="7">
        <v>1449.76</v>
      </c>
      <c r="I1053" s="7">
        <v>0</v>
      </c>
      <c r="J1053" s="2">
        <v>16.64999961853027</v>
      </c>
      <c r="K1053" s="23">
        <f t="shared" si="149"/>
        <v>29961.488000000001</v>
      </c>
      <c r="L1053" s="23">
        <f t="shared" si="150"/>
        <v>5.3888495596749868</v>
      </c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AA1053" s="11"/>
      <c r="AB1053" s="11"/>
      <c r="AC1053" s="11"/>
      <c r="AD1053" s="11"/>
      <c r="AE1053" s="11"/>
    </row>
    <row r="1054" spans="1:31" x14ac:dyDescent="0.25">
      <c r="A1054" s="18" t="s">
        <v>2</v>
      </c>
      <c r="B1054" s="21">
        <v>45740</v>
      </c>
      <c r="C1054" s="7">
        <v>1950</v>
      </c>
      <c r="D1054" s="7">
        <v>3745</v>
      </c>
      <c r="E1054" s="7">
        <v>1725</v>
      </c>
      <c r="F1054" s="7"/>
      <c r="G1054" s="7">
        <v>3540</v>
      </c>
      <c r="H1054" s="7">
        <v>2205</v>
      </c>
      <c r="I1054" s="7">
        <v>7776</v>
      </c>
      <c r="J1054" s="2">
        <v>18.20000076293945</v>
      </c>
      <c r="K1054" s="23">
        <f t="shared" si="149"/>
        <v>29986.050000000003</v>
      </c>
      <c r="L1054" s="23">
        <f t="shared" si="150"/>
        <v>8.4706355932203401</v>
      </c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AA1054" s="11"/>
      <c r="AB1054" s="11"/>
      <c r="AC1054" s="11"/>
      <c r="AD1054" s="11"/>
      <c r="AE1054" s="11"/>
    </row>
    <row r="1055" spans="1:31" x14ac:dyDescent="0.25">
      <c r="A1055" s="18" t="s">
        <v>2</v>
      </c>
      <c r="B1055" s="21">
        <v>45741</v>
      </c>
      <c r="C1055" s="8">
        <v>3054</v>
      </c>
      <c r="D1055" s="8">
        <v>5168</v>
      </c>
      <c r="E1055" s="8">
        <v>0</v>
      </c>
      <c r="F1055" s="8"/>
      <c r="G1055" s="8">
        <v>5220</v>
      </c>
      <c r="H1055" s="8">
        <v>2595</v>
      </c>
      <c r="I1055" s="8">
        <v>0</v>
      </c>
      <c r="J1055" s="2">
        <v>21.45000076293945</v>
      </c>
      <c r="K1055" s="23">
        <f t="shared" si="149"/>
        <v>27383.868000000002</v>
      </c>
      <c r="L1055" s="23">
        <f t="shared" si="150"/>
        <v>5.2459517241379316</v>
      </c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AA1055" s="11"/>
      <c r="AB1055" s="11"/>
      <c r="AC1055" s="11"/>
      <c r="AD1055" s="11"/>
      <c r="AE1055" s="11"/>
    </row>
    <row r="1056" spans="1:31" x14ac:dyDescent="0.25">
      <c r="A1056" s="18" t="s">
        <v>2</v>
      </c>
      <c r="B1056" s="21">
        <v>45742</v>
      </c>
      <c r="C1056" s="7">
        <v>2210</v>
      </c>
      <c r="D1056" s="7">
        <v>5632</v>
      </c>
      <c r="E1056" s="7">
        <v>1925</v>
      </c>
      <c r="F1056" s="7"/>
      <c r="G1056" s="7">
        <v>5115</v>
      </c>
      <c r="H1056" s="7">
        <v>3315</v>
      </c>
      <c r="I1056" s="7">
        <v>8480</v>
      </c>
      <c r="J1056" s="2">
        <v>25.5</v>
      </c>
      <c r="K1056" s="23">
        <f t="shared" si="149"/>
        <v>34562.160000000003</v>
      </c>
      <c r="L1056" s="23">
        <f t="shared" si="150"/>
        <v>6.7570205278592379</v>
      </c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AA1056" s="11"/>
      <c r="AB1056" s="11"/>
      <c r="AC1056" s="11"/>
      <c r="AD1056" s="11"/>
      <c r="AE1056" s="11"/>
    </row>
    <row r="1057" spans="1:31" x14ac:dyDescent="0.25">
      <c r="A1057" s="18" t="s">
        <v>2</v>
      </c>
      <c r="B1057" s="21">
        <v>45743</v>
      </c>
      <c r="C1057" s="7">
        <v>3071</v>
      </c>
      <c r="D1057" s="7">
        <v>4899</v>
      </c>
      <c r="E1057" s="7">
        <v>0</v>
      </c>
      <c r="F1057" s="7"/>
      <c r="G1057" s="7">
        <v>5010</v>
      </c>
      <c r="H1057" s="7">
        <v>2370</v>
      </c>
      <c r="I1057" s="7">
        <v>0</v>
      </c>
      <c r="J1057" s="2">
        <v>28.95000076293945</v>
      </c>
      <c r="K1057" s="23">
        <f t="shared" si="149"/>
        <v>27366.572000000004</v>
      </c>
      <c r="L1057" s="23">
        <f t="shared" si="150"/>
        <v>5.4623896207584837</v>
      </c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AA1057" s="11"/>
      <c r="AB1057" s="11"/>
      <c r="AC1057" s="11"/>
      <c r="AD1057" s="11"/>
      <c r="AE1057" s="11"/>
    </row>
    <row r="1058" spans="1:31" x14ac:dyDescent="0.25">
      <c r="A1058" s="18" t="s">
        <v>2</v>
      </c>
      <c r="B1058" s="21">
        <v>45744</v>
      </c>
      <c r="C1058" s="7">
        <v>3575</v>
      </c>
      <c r="D1058" s="7">
        <v>3021</v>
      </c>
      <c r="E1058" s="7">
        <v>0</v>
      </c>
      <c r="F1058" s="7"/>
      <c r="G1058" s="7">
        <v>4965</v>
      </c>
      <c r="H1058" s="7">
        <v>2565</v>
      </c>
      <c r="I1058" s="7">
        <v>0</v>
      </c>
      <c r="J1058" s="2">
        <v>30.70000076293945</v>
      </c>
      <c r="K1058" s="23">
        <f t="shared" si="149"/>
        <v>30329.120000000003</v>
      </c>
      <c r="L1058" s="23">
        <f t="shared" si="150"/>
        <v>6.1085840886203426</v>
      </c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AA1058" s="11"/>
      <c r="AB1058" s="11"/>
      <c r="AC1058" s="11"/>
      <c r="AD1058" s="11"/>
      <c r="AE1058" s="11"/>
    </row>
    <row r="1059" spans="1:31" x14ac:dyDescent="0.25">
      <c r="A1059" s="18" t="s">
        <v>2</v>
      </c>
      <c r="B1059" s="21">
        <v>45745</v>
      </c>
      <c r="C1059" s="7">
        <v>3915</v>
      </c>
      <c r="D1059" s="7">
        <v>2976</v>
      </c>
      <c r="E1059" s="7">
        <v>700</v>
      </c>
      <c r="F1059" s="7"/>
      <c r="G1059" s="7">
        <v>6255</v>
      </c>
      <c r="H1059" s="7">
        <v>870</v>
      </c>
      <c r="I1059" s="7">
        <v>3344</v>
      </c>
      <c r="J1059" s="2">
        <v>32.450000762939453</v>
      </c>
      <c r="K1059" s="23">
        <f t="shared" si="149"/>
        <v>37994.15</v>
      </c>
      <c r="L1059" s="23">
        <f t="shared" si="150"/>
        <v>6.0742046362909674</v>
      </c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AA1059" s="11"/>
      <c r="AB1059" s="11"/>
      <c r="AC1059" s="11"/>
      <c r="AD1059" s="11"/>
      <c r="AE1059" s="11"/>
    </row>
    <row r="1060" spans="1:31" x14ac:dyDescent="0.25">
      <c r="A1060" s="18" t="s">
        <v>2</v>
      </c>
      <c r="B1060" s="21">
        <v>45746</v>
      </c>
      <c r="C1060" s="7">
        <v>3566</v>
      </c>
      <c r="D1060" s="7">
        <v>1200</v>
      </c>
      <c r="E1060" s="7">
        <v>0</v>
      </c>
      <c r="F1060" s="7"/>
      <c r="G1060" s="7">
        <v>5220</v>
      </c>
      <c r="H1060" s="7">
        <v>0</v>
      </c>
      <c r="I1060" s="7">
        <v>0</v>
      </c>
      <c r="J1060" s="2">
        <v>25.04999923706055</v>
      </c>
      <c r="K1060" s="23">
        <f t="shared" si="149"/>
        <v>29219.132000000001</v>
      </c>
      <c r="L1060" s="23">
        <f t="shared" si="150"/>
        <v>5.5975348659003838</v>
      </c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AA1060" s="11"/>
      <c r="AB1060" s="11"/>
      <c r="AC1060" s="11"/>
      <c r="AD1060" s="11"/>
      <c r="AE1060" s="11"/>
    </row>
    <row r="1061" spans="1:31" x14ac:dyDescent="0.25">
      <c r="A1061" s="18" t="s">
        <v>2</v>
      </c>
      <c r="B1061" s="21">
        <v>45747</v>
      </c>
      <c r="C1061" s="26">
        <v>2761.5</v>
      </c>
      <c r="D1061" s="26">
        <v>1200</v>
      </c>
      <c r="E1061" s="26">
        <v>0</v>
      </c>
      <c r="F1061" s="26"/>
      <c r="G1061" s="26">
        <v>4012.5</v>
      </c>
      <c r="H1061" s="26">
        <v>2040</v>
      </c>
      <c r="I1061" s="7">
        <v>0</v>
      </c>
      <c r="J1061" s="2">
        <v>21.60000038146973</v>
      </c>
      <c r="K1061" s="23">
        <f>C1061*8.002+D1061*0.57+E1061*7.1+F1061*5</f>
        <v>22781.523000000001</v>
      </c>
      <c r="L1061" s="23">
        <f t="shared" si="150"/>
        <v>5.6776381308411219</v>
      </c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AA1061" s="11"/>
      <c r="AB1061" s="11"/>
      <c r="AC1061" s="11"/>
      <c r="AD1061" s="11"/>
      <c r="AE1061" s="11"/>
    </row>
    <row r="1062" spans="1:31" x14ac:dyDescent="0.25">
      <c r="A1062" s="18" t="s">
        <v>2</v>
      </c>
      <c r="B1062" s="21">
        <v>45748</v>
      </c>
      <c r="C1062" s="7">
        <v>1957</v>
      </c>
      <c r="D1062" s="7">
        <v>1200</v>
      </c>
      <c r="E1062" s="7">
        <v>0</v>
      </c>
      <c r="F1062" s="7"/>
      <c r="G1062" s="7">
        <v>2805</v>
      </c>
      <c r="H1062" s="7">
        <v>2625</v>
      </c>
      <c r="I1062" s="7">
        <v>0</v>
      </c>
      <c r="J1062" s="2">
        <v>22.64999961853027</v>
      </c>
      <c r="K1062" s="23">
        <f>C1062*7.902+D1062*0.56+E1062*7.3+F1062*5</f>
        <v>16136.214</v>
      </c>
      <c r="L1062" s="23">
        <f t="shared" si="150"/>
        <v>5.7526609625668446</v>
      </c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AA1062" s="11"/>
      <c r="AB1062" s="11"/>
      <c r="AC1062" s="11"/>
      <c r="AD1062" s="11"/>
      <c r="AE1062" s="11"/>
    </row>
    <row r="1063" spans="1:31" x14ac:dyDescent="0.25">
      <c r="A1063" s="18" t="s">
        <v>2</v>
      </c>
      <c r="B1063" s="21">
        <v>45749</v>
      </c>
      <c r="C1063" s="7">
        <v>3730</v>
      </c>
      <c r="D1063" s="7">
        <v>4046</v>
      </c>
      <c r="E1063" s="7">
        <v>0</v>
      </c>
      <c r="F1063" s="7"/>
      <c r="G1063" s="7">
        <v>5970</v>
      </c>
      <c r="H1063" s="7">
        <v>2865</v>
      </c>
      <c r="I1063" s="7">
        <v>0</v>
      </c>
      <c r="J1063" s="2">
        <v>25.89999961853027</v>
      </c>
      <c r="K1063" s="23">
        <f t="shared" ref="K1063:K1091" si="151">C1063*7.902+D1063*0.56+E1063*7.3+F1063*5</f>
        <v>31740.22</v>
      </c>
      <c r="L1063" s="23">
        <f t="shared" si="150"/>
        <v>5.3166197654941376</v>
      </c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AA1063" s="11"/>
      <c r="AB1063" s="11"/>
      <c r="AC1063" s="11"/>
      <c r="AD1063" s="11"/>
      <c r="AE1063" s="11"/>
    </row>
    <row r="1064" spans="1:31" x14ac:dyDescent="0.25">
      <c r="A1064" s="18" t="s">
        <v>2</v>
      </c>
      <c r="B1064" s="21">
        <v>45750</v>
      </c>
      <c r="C1064" s="7">
        <v>3437</v>
      </c>
      <c r="D1064" s="7">
        <v>3719</v>
      </c>
      <c r="E1064" s="7">
        <v>6350</v>
      </c>
      <c r="F1064" s="7"/>
      <c r="G1064" s="7">
        <v>4845</v>
      </c>
      <c r="H1064" s="7">
        <v>1815</v>
      </c>
      <c r="I1064" s="7">
        <v>31680</v>
      </c>
      <c r="J1064" s="2">
        <v>23.14999961853027</v>
      </c>
      <c r="K1064" s="23">
        <f t="shared" si="151"/>
        <v>75596.813999999998</v>
      </c>
      <c r="L1064" s="23">
        <f t="shared" si="150"/>
        <v>15.603057585139318</v>
      </c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AA1064" s="11"/>
      <c r="AB1064" s="11"/>
      <c r="AC1064" s="11"/>
      <c r="AD1064" s="11"/>
      <c r="AE1064" s="11"/>
    </row>
    <row r="1065" spans="1:31" x14ac:dyDescent="0.25">
      <c r="A1065" s="18" t="s">
        <v>2</v>
      </c>
      <c r="B1065" s="21">
        <v>45751</v>
      </c>
      <c r="C1065" s="7">
        <v>4242</v>
      </c>
      <c r="D1065" s="7">
        <v>3035</v>
      </c>
      <c r="E1065" s="7">
        <v>6350</v>
      </c>
      <c r="F1065" s="7"/>
      <c r="G1065" s="7">
        <v>5685</v>
      </c>
      <c r="H1065" s="7">
        <v>1215</v>
      </c>
      <c r="I1065" s="7">
        <v>31680</v>
      </c>
      <c r="J1065" s="2">
        <v>23.04999923706055</v>
      </c>
      <c r="K1065" s="23">
        <f t="shared" si="151"/>
        <v>81574.883999999991</v>
      </c>
      <c r="L1065" s="23">
        <f t="shared" si="150"/>
        <v>14.349144063324538</v>
      </c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AA1065" s="11"/>
      <c r="AB1065" s="11"/>
      <c r="AC1065" s="11"/>
      <c r="AD1065" s="11"/>
      <c r="AE1065" s="11"/>
    </row>
    <row r="1066" spans="1:31" x14ac:dyDescent="0.25">
      <c r="A1066" s="18" t="s">
        <v>2</v>
      </c>
      <c r="B1066" s="21">
        <v>45752</v>
      </c>
      <c r="C1066" s="8">
        <v>3935</v>
      </c>
      <c r="D1066" s="8">
        <v>6534</v>
      </c>
      <c r="E1066" s="8">
        <v>0</v>
      </c>
      <c r="F1066" s="8"/>
      <c r="G1066" s="8">
        <v>5790</v>
      </c>
      <c r="H1066" s="8">
        <v>4680</v>
      </c>
      <c r="I1066" s="8">
        <v>0</v>
      </c>
      <c r="J1066" s="2">
        <v>24.10000038146973</v>
      </c>
      <c r="K1066" s="23">
        <f t="shared" si="151"/>
        <v>34753.409999999996</v>
      </c>
      <c r="L1066" s="23">
        <f t="shared" si="150"/>
        <v>6.0023160621761651</v>
      </c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AA1066" s="11"/>
      <c r="AB1066" s="11"/>
      <c r="AC1066" s="11"/>
      <c r="AD1066" s="11"/>
      <c r="AE1066" s="11"/>
    </row>
    <row r="1067" spans="1:31" x14ac:dyDescent="0.25">
      <c r="A1067" s="18" t="s">
        <v>2</v>
      </c>
      <c r="B1067" s="21">
        <v>45753</v>
      </c>
      <c r="C1067" s="7">
        <v>2760</v>
      </c>
      <c r="D1067" s="7">
        <v>4259</v>
      </c>
      <c r="E1067" s="7">
        <v>0</v>
      </c>
      <c r="F1067" s="7"/>
      <c r="G1067" s="7">
        <v>2445</v>
      </c>
      <c r="H1067" s="7">
        <v>2355</v>
      </c>
      <c r="I1067" s="7">
        <v>0</v>
      </c>
      <c r="J1067" s="2">
        <v>27.45000076293945</v>
      </c>
      <c r="K1067" s="23">
        <f t="shared" si="151"/>
        <v>24194.560000000001</v>
      </c>
      <c r="L1067" s="23">
        <f t="shared" si="150"/>
        <v>9.8955255623721889</v>
      </c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AA1067" s="11"/>
      <c r="AB1067" s="11"/>
      <c r="AC1067" s="11"/>
      <c r="AD1067" s="11"/>
      <c r="AE1067" s="11"/>
    </row>
    <row r="1068" spans="1:31" x14ac:dyDescent="0.25">
      <c r="A1068" s="18" t="s">
        <v>2</v>
      </c>
      <c r="B1068" s="21">
        <v>45754</v>
      </c>
      <c r="C1068" s="7">
        <v>3959</v>
      </c>
      <c r="D1068" s="7">
        <v>5300</v>
      </c>
      <c r="E1068" s="7">
        <v>1625</v>
      </c>
      <c r="F1068" s="7"/>
      <c r="G1068" s="7">
        <v>5655</v>
      </c>
      <c r="H1068" s="7">
        <v>3465</v>
      </c>
      <c r="I1068" s="7">
        <v>6730</v>
      </c>
      <c r="J1068" s="2">
        <v>34.200000762939453</v>
      </c>
      <c r="K1068" s="23">
        <f t="shared" si="151"/>
        <v>46114.518000000004</v>
      </c>
      <c r="L1068" s="23">
        <f t="shared" si="150"/>
        <v>8.1546450928381962</v>
      </c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AA1068" s="11"/>
      <c r="AB1068" s="11"/>
      <c r="AC1068" s="11"/>
      <c r="AD1068" s="11"/>
      <c r="AE1068" s="11"/>
    </row>
    <row r="1069" spans="1:31" x14ac:dyDescent="0.25">
      <c r="A1069" s="18" t="s">
        <v>2</v>
      </c>
      <c r="B1069" s="21">
        <v>45755</v>
      </c>
      <c r="C1069" s="7">
        <v>4133</v>
      </c>
      <c r="D1069" s="7">
        <v>5756</v>
      </c>
      <c r="E1069" s="7">
        <v>0</v>
      </c>
      <c r="F1069" s="7"/>
      <c r="G1069" s="7">
        <v>5640</v>
      </c>
      <c r="H1069" s="7">
        <v>3510</v>
      </c>
      <c r="I1069" s="7">
        <v>0</v>
      </c>
      <c r="J1069" s="2">
        <v>31.35000038146973</v>
      </c>
      <c r="K1069" s="23">
        <f t="shared" si="151"/>
        <v>35882.326000000001</v>
      </c>
      <c r="L1069" s="23">
        <f t="shared" si="150"/>
        <v>6.3621145390070923</v>
      </c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AA1069" s="11"/>
      <c r="AB1069" s="11"/>
      <c r="AC1069" s="11"/>
      <c r="AD1069" s="11"/>
      <c r="AE1069" s="11"/>
    </row>
    <row r="1070" spans="1:31" x14ac:dyDescent="0.25">
      <c r="A1070" s="18" t="s">
        <v>2</v>
      </c>
      <c r="B1070" s="21">
        <v>45756</v>
      </c>
      <c r="C1070" s="7">
        <v>4406</v>
      </c>
      <c r="D1070" s="7">
        <v>4384</v>
      </c>
      <c r="E1070" s="7">
        <v>8700</v>
      </c>
      <c r="F1070" s="7"/>
      <c r="G1070" s="7">
        <v>4725</v>
      </c>
      <c r="H1070" s="7">
        <v>2085</v>
      </c>
      <c r="I1070" s="7">
        <v>43920</v>
      </c>
      <c r="J1070" s="2">
        <v>23.79999923706055</v>
      </c>
      <c r="K1070" s="23">
        <f t="shared" si="151"/>
        <v>100781.25200000001</v>
      </c>
      <c r="L1070" s="23">
        <f t="shared" si="150"/>
        <v>21.329365502645505</v>
      </c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AA1070" s="11"/>
      <c r="AB1070" s="11"/>
      <c r="AC1070" s="11"/>
      <c r="AD1070" s="11"/>
      <c r="AE1070" s="11"/>
    </row>
    <row r="1071" spans="1:31" x14ac:dyDescent="0.25">
      <c r="A1071" s="18" t="s">
        <v>2</v>
      </c>
      <c r="B1071" s="21">
        <v>45757</v>
      </c>
      <c r="C1071" s="8">
        <v>4062</v>
      </c>
      <c r="D1071" s="8">
        <v>2803</v>
      </c>
      <c r="E1071" s="8">
        <v>0</v>
      </c>
      <c r="F1071" s="8"/>
      <c r="G1071" s="8">
        <v>5652</v>
      </c>
      <c r="H1071" s="8">
        <v>2505</v>
      </c>
      <c r="I1071" s="8">
        <v>0</v>
      </c>
      <c r="J1071" s="2">
        <v>26.20000076293945</v>
      </c>
      <c r="K1071" s="23">
        <f t="shared" si="151"/>
        <v>33667.603999999999</v>
      </c>
      <c r="L1071" s="23">
        <f t="shared" si="150"/>
        <v>5.9567593772116068</v>
      </c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AA1071" s="11"/>
      <c r="AB1071" s="11"/>
      <c r="AC1071" s="11"/>
      <c r="AD1071" s="11"/>
      <c r="AE1071" s="11"/>
    </row>
    <row r="1072" spans="1:31" x14ac:dyDescent="0.25">
      <c r="A1072" s="18" t="s">
        <v>2</v>
      </c>
      <c r="B1072" s="21">
        <v>45758</v>
      </c>
      <c r="C1072" s="7">
        <v>4739</v>
      </c>
      <c r="D1072" s="7">
        <v>5016</v>
      </c>
      <c r="E1072" s="7">
        <v>0</v>
      </c>
      <c r="F1072" s="7"/>
      <c r="G1072" s="7">
        <v>5654</v>
      </c>
      <c r="H1072" s="7">
        <v>2460</v>
      </c>
      <c r="I1072" s="7">
        <v>0</v>
      </c>
      <c r="J1072" s="2">
        <v>23.54999923706055</v>
      </c>
      <c r="K1072" s="23">
        <f t="shared" si="151"/>
        <v>40256.538</v>
      </c>
      <c r="L1072" s="23">
        <f t="shared" si="150"/>
        <v>7.1200102582242657</v>
      </c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AA1072" s="11"/>
      <c r="AB1072" s="11"/>
      <c r="AC1072" s="11"/>
      <c r="AD1072" s="11"/>
      <c r="AE1072" s="11"/>
    </row>
    <row r="1073" spans="1:31" x14ac:dyDescent="0.25">
      <c r="A1073" s="18" t="s">
        <v>2</v>
      </c>
      <c r="B1073" s="21">
        <v>45759</v>
      </c>
      <c r="C1073" s="7">
        <v>3888</v>
      </c>
      <c r="D1073" s="7">
        <v>5827</v>
      </c>
      <c r="E1073" s="7">
        <v>8100</v>
      </c>
      <c r="F1073" s="7"/>
      <c r="G1073" s="7">
        <v>5645.0172839506167</v>
      </c>
      <c r="H1073" s="7">
        <v>3853.2</v>
      </c>
      <c r="I1073" s="7">
        <v>39675</v>
      </c>
      <c r="J1073" s="2">
        <v>19.29999923706055</v>
      </c>
      <c r="K1073" s="23">
        <f t="shared" si="151"/>
        <v>93116.09599999999</v>
      </c>
      <c r="L1073" s="23">
        <f t="shared" si="150"/>
        <v>16.495272080873683</v>
      </c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AA1073" s="11"/>
      <c r="AB1073" s="11"/>
      <c r="AC1073" s="11"/>
      <c r="AD1073" s="11"/>
      <c r="AE1073" s="11"/>
    </row>
    <row r="1074" spans="1:31" x14ac:dyDescent="0.25">
      <c r="A1074" s="18" t="s">
        <v>2</v>
      </c>
      <c r="B1074" s="21">
        <v>45760</v>
      </c>
      <c r="C1074" s="7">
        <v>4030</v>
      </c>
      <c r="D1074" s="7">
        <v>3699</v>
      </c>
      <c r="E1074" s="7">
        <v>0</v>
      </c>
      <c r="F1074" s="7"/>
      <c r="G1074" s="7">
        <v>4029.8930496453904</v>
      </c>
      <c r="H1074" s="7">
        <v>2193.88</v>
      </c>
      <c r="I1074" s="7">
        <v>0</v>
      </c>
      <c r="J1074" s="2">
        <v>20.79999923706055</v>
      </c>
      <c r="K1074" s="23">
        <f t="shared" si="151"/>
        <v>33916.5</v>
      </c>
      <c r="L1074" s="23">
        <f t="shared" si="150"/>
        <v>8.4162283172712176</v>
      </c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AA1074" s="11"/>
      <c r="AB1074" s="11"/>
      <c r="AC1074" s="11"/>
      <c r="AD1074" s="11"/>
      <c r="AE1074" s="11"/>
    </row>
    <row r="1075" spans="1:31" x14ac:dyDescent="0.25">
      <c r="A1075" s="18" t="s">
        <v>2</v>
      </c>
      <c r="B1075" s="21">
        <v>45761</v>
      </c>
      <c r="C1075" s="7">
        <v>2771</v>
      </c>
      <c r="D1075" s="7">
        <v>4815</v>
      </c>
      <c r="E1075" s="7">
        <v>4225</v>
      </c>
      <c r="F1075" s="7"/>
      <c r="G1075" s="7">
        <v>4538.691469194313</v>
      </c>
      <c r="H1075" s="7">
        <v>4379.7</v>
      </c>
      <c r="I1075" s="7">
        <v>24402</v>
      </c>
      <c r="J1075" s="2">
        <v>18.54999923706055</v>
      </c>
      <c r="K1075" s="23">
        <f t="shared" si="151"/>
        <v>55435.342000000004</v>
      </c>
      <c r="L1075" s="23">
        <f t="shared" si="150"/>
        <v>12.213948089721248</v>
      </c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AA1075" s="11"/>
      <c r="AB1075" s="11"/>
      <c r="AC1075" s="11"/>
      <c r="AD1075" s="11"/>
      <c r="AE1075" s="11"/>
    </row>
    <row r="1076" spans="1:31" x14ac:dyDescent="0.25">
      <c r="A1076" s="18" t="s">
        <v>2</v>
      </c>
      <c r="B1076" s="21">
        <v>45762</v>
      </c>
      <c r="C1076" s="8">
        <v>5336</v>
      </c>
      <c r="D1076" s="8">
        <v>5303</v>
      </c>
      <c r="E1076" s="8">
        <v>0</v>
      </c>
      <c r="F1076" s="8"/>
      <c r="G1076" s="8">
        <v>5776.3144104803496</v>
      </c>
      <c r="H1076" s="8">
        <v>4724.2</v>
      </c>
      <c r="I1076" s="8">
        <v>0</v>
      </c>
      <c r="J1076" s="2">
        <v>19.45000076293945</v>
      </c>
      <c r="K1076" s="23">
        <f t="shared" si="151"/>
        <v>45134.752</v>
      </c>
      <c r="L1076" s="23">
        <f t="shared" si="150"/>
        <v>7.8137630316848803</v>
      </c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AA1076" s="11"/>
      <c r="AB1076" s="11"/>
      <c r="AC1076" s="11"/>
      <c r="AD1076" s="11"/>
      <c r="AE1076" s="11"/>
    </row>
    <row r="1077" spans="1:31" x14ac:dyDescent="0.25">
      <c r="A1077" s="18" t="s">
        <v>2</v>
      </c>
      <c r="B1077" s="21">
        <v>45763</v>
      </c>
      <c r="C1077" s="7">
        <v>4284</v>
      </c>
      <c r="D1077" s="7">
        <v>5704</v>
      </c>
      <c r="E1077" s="7">
        <v>8650</v>
      </c>
      <c r="F1077" s="7"/>
      <c r="G1077" s="7">
        <v>6208.9243027888442</v>
      </c>
      <c r="H1077" s="7">
        <v>3932.3187250996016</v>
      </c>
      <c r="I1077" s="7">
        <v>52217</v>
      </c>
      <c r="J1077" s="2">
        <v>24.70000076293945</v>
      </c>
      <c r="K1077" s="23">
        <f t="shared" si="151"/>
        <v>100191.408</v>
      </c>
      <c r="L1077" s="23">
        <f t="shared" si="150"/>
        <v>16.136677323477326</v>
      </c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AA1077" s="11"/>
      <c r="AB1077" s="11"/>
      <c r="AC1077" s="11"/>
      <c r="AD1077" s="11"/>
      <c r="AE1077" s="11"/>
    </row>
    <row r="1078" spans="1:31" x14ac:dyDescent="0.25">
      <c r="A1078" s="18" t="s">
        <v>2</v>
      </c>
      <c r="B1078" s="21">
        <v>45764</v>
      </c>
      <c r="C1078" s="7">
        <v>4794</v>
      </c>
      <c r="D1078" s="7">
        <v>6030</v>
      </c>
      <c r="E1078" s="7">
        <v>0</v>
      </c>
      <c r="F1078" s="7"/>
      <c r="G1078" s="7">
        <v>6095.3943181818177</v>
      </c>
      <c r="H1078" s="7">
        <v>5546.45</v>
      </c>
      <c r="I1078" s="7">
        <v>0</v>
      </c>
      <c r="J1078" s="2">
        <v>27.85000038146973</v>
      </c>
      <c r="K1078" s="23">
        <f t="shared" si="151"/>
        <v>41258.988000000005</v>
      </c>
      <c r="L1078" s="23">
        <f t="shared" si="150"/>
        <v>6.7688792301639085</v>
      </c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AA1078" s="11"/>
      <c r="AB1078" s="11"/>
      <c r="AC1078" s="11"/>
      <c r="AD1078" s="11"/>
      <c r="AE1078" s="11"/>
    </row>
    <row r="1079" spans="1:31" x14ac:dyDescent="0.25">
      <c r="A1079" s="18" t="s">
        <v>2</v>
      </c>
      <c r="B1079" s="21">
        <v>45765</v>
      </c>
      <c r="C1079" s="7">
        <v>3456</v>
      </c>
      <c r="D1079" s="7">
        <v>5608</v>
      </c>
      <c r="E1079" s="7">
        <v>7125</v>
      </c>
      <c r="F1079" s="7"/>
      <c r="G1079" s="7">
        <v>5741.221621621622</v>
      </c>
      <c r="H1079" s="7">
        <v>5462.5999999999995</v>
      </c>
      <c r="I1079" s="7">
        <v>41360</v>
      </c>
      <c r="J1079" s="2">
        <v>20.25</v>
      </c>
      <c r="K1079" s="23">
        <f t="shared" si="151"/>
        <v>82462.292000000001</v>
      </c>
      <c r="L1079" s="23">
        <f t="shared" si="150"/>
        <v>14.363196099144545</v>
      </c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AA1079" s="11"/>
      <c r="AB1079" s="11"/>
      <c r="AC1079" s="11"/>
      <c r="AD1079" s="11"/>
      <c r="AE1079" s="11"/>
    </row>
    <row r="1080" spans="1:31" x14ac:dyDescent="0.25">
      <c r="A1080" s="18" t="s">
        <v>2</v>
      </c>
      <c r="B1080" s="21">
        <v>45766</v>
      </c>
      <c r="C1080" s="7">
        <v>4560</v>
      </c>
      <c r="D1080" s="7">
        <v>6370</v>
      </c>
      <c r="E1080" s="7">
        <v>0</v>
      </c>
      <c r="F1080" s="7"/>
      <c r="G1080" s="7">
        <v>5929.7832669322706</v>
      </c>
      <c r="H1080" s="7">
        <v>4181.2302788844627</v>
      </c>
      <c r="I1080" s="7">
        <v>0</v>
      </c>
      <c r="J1080" s="2">
        <v>20.85000038146973</v>
      </c>
      <c r="K1080" s="23">
        <f t="shared" si="151"/>
        <v>39600.32</v>
      </c>
      <c r="L1080" s="23">
        <f t="shared" si="150"/>
        <v>6.6782069794748047</v>
      </c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AA1080" s="11"/>
      <c r="AB1080" s="11"/>
      <c r="AC1080" s="11"/>
      <c r="AD1080" s="11"/>
      <c r="AE1080" s="11"/>
    </row>
    <row r="1081" spans="1:31" x14ac:dyDescent="0.25">
      <c r="A1081" s="18" t="s">
        <v>2</v>
      </c>
      <c r="B1081" s="21">
        <v>45767</v>
      </c>
      <c r="C1081" s="8">
        <v>3968</v>
      </c>
      <c r="D1081" s="8">
        <v>3085</v>
      </c>
      <c r="E1081" s="8">
        <v>0</v>
      </c>
      <c r="F1081" s="8"/>
      <c r="G1081" s="8">
        <v>5649</v>
      </c>
      <c r="H1081" s="8">
        <v>1230</v>
      </c>
      <c r="I1081" s="8">
        <v>0</v>
      </c>
      <c r="J1081" s="2">
        <v>24.45000076293945</v>
      </c>
      <c r="K1081" s="23">
        <f t="shared" si="151"/>
        <v>33082.736000000004</v>
      </c>
      <c r="L1081" s="23">
        <f t="shared" si="150"/>
        <v>5.8563880332802274</v>
      </c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AA1081" s="11"/>
      <c r="AB1081" s="11"/>
      <c r="AC1081" s="11"/>
      <c r="AD1081" s="11"/>
      <c r="AE1081" s="11"/>
    </row>
    <row r="1082" spans="1:31" x14ac:dyDescent="0.25">
      <c r="A1082" s="18" t="s">
        <v>2</v>
      </c>
      <c r="B1082" s="21">
        <v>45768</v>
      </c>
      <c r="C1082" s="7">
        <v>3090</v>
      </c>
      <c r="D1082" s="7">
        <v>5729</v>
      </c>
      <c r="E1082" s="7">
        <v>1775</v>
      </c>
      <c r="F1082" s="7"/>
      <c r="G1082" s="7">
        <v>5648</v>
      </c>
      <c r="H1082" s="7">
        <v>4325.0000000000009</v>
      </c>
      <c r="I1082" s="7">
        <v>8316</v>
      </c>
      <c r="J1082" s="2">
        <v>26</v>
      </c>
      <c r="K1082" s="23">
        <f t="shared" si="151"/>
        <v>40582.92</v>
      </c>
      <c r="L1082" s="23">
        <f t="shared" si="150"/>
        <v>7.1853611898016991</v>
      </c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AA1082" s="11"/>
      <c r="AB1082" s="11"/>
      <c r="AC1082" s="11"/>
      <c r="AD1082" s="11"/>
      <c r="AE1082" s="11"/>
    </row>
    <row r="1083" spans="1:31" x14ac:dyDescent="0.25">
      <c r="A1083" s="18" t="s">
        <v>2</v>
      </c>
      <c r="B1083" s="21">
        <v>45769</v>
      </c>
      <c r="C1083" s="7">
        <v>4616</v>
      </c>
      <c r="D1083" s="7">
        <v>5695</v>
      </c>
      <c r="E1083" s="7">
        <v>0</v>
      </c>
      <c r="F1083" s="7"/>
      <c r="G1083" s="7">
        <v>5647</v>
      </c>
      <c r="H1083" s="7">
        <v>4395</v>
      </c>
      <c r="I1083" s="7">
        <v>0</v>
      </c>
      <c r="J1083" s="2">
        <v>30</v>
      </c>
      <c r="K1083" s="23">
        <f t="shared" si="151"/>
        <v>39664.831999999995</v>
      </c>
      <c r="L1083" s="23">
        <f t="shared" si="150"/>
        <v>7.0240538338941025</v>
      </c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AA1083" s="11"/>
      <c r="AB1083" s="11"/>
      <c r="AC1083" s="11"/>
      <c r="AD1083" s="11"/>
      <c r="AE1083" s="11"/>
    </row>
    <row r="1084" spans="1:31" x14ac:dyDescent="0.25">
      <c r="A1084" s="18" t="s">
        <v>2</v>
      </c>
      <c r="B1084" s="21">
        <v>45770</v>
      </c>
      <c r="C1084" s="7">
        <v>4219</v>
      </c>
      <c r="D1084" s="7">
        <v>5966</v>
      </c>
      <c r="E1084" s="7">
        <v>0</v>
      </c>
      <c r="F1084" s="7"/>
      <c r="G1084" s="7">
        <v>5670</v>
      </c>
      <c r="H1084" s="7">
        <v>5145</v>
      </c>
      <c r="I1084" s="7">
        <v>0</v>
      </c>
      <c r="J1084" s="2">
        <v>30.29999923706055</v>
      </c>
      <c r="K1084" s="23">
        <f t="shared" si="151"/>
        <v>36679.498</v>
      </c>
      <c r="L1084" s="23">
        <f t="shared" si="150"/>
        <v>6.4690472663139333</v>
      </c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AA1084" s="11"/>
      <c r="AB1084" s="11"/>
      <c r="AC1084" s="11"/>
      <c r="AD1084" s="11"/>
      <c r="AE1084" s="11"/>
    </row>
    <row r="1085" spans="1:31" x14ac:dyDescent="0.25">
      <c r="A1085" s="18" t="s">
        <v>2</v>
      </c>
      <c r="B1085" s="21">
        <v>45771</v>
      </c>
      <c r="C1085" s="7">
        <v>5040</v>
      </c>
      <c r="D1085" s="7">
        <v>2576</v>
      </c>
      <c r="E1085" s="7">
        <v>0</v>
      </c>
      <c r="F1085" s="7"/>
      <c r="G1085" s="7">
        <v>6030</v>
      </c>
      <c r="H1085" s="7">
        <v>1650</v>
      </c>
      <c r="I1085" s="7">
        <v>0</v>
      </c>
      <c r="J1085" s="2">
        <v>24.85000038146973</v>
      </c>
      <c r="K1085" s="23">
        <f t="shared" si="151"/>
        <v>41268.639999999999</v>
      </c>
      <c r="L1085" s="23">
        <f t="shared" si="150"/>
        <v>6.8438872305140963</v>
      </c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AA1085" s="11"/>
      <c r="AB1085" s="11"/>
      <c r="AC1085" s="11"/>
      <c r="AD1085" s="11"/>
      <c r="AE1085" s="11"/>
    </row>
    <row r="1086" spans="1:31" x14ac:dyDescent="0.25">
      <c r="A1086" s="18" t="s">
        <v>2</v>
      </c>
      <c r="B1086" s="21">
        <v>45772</v>
      </c>
      <c r="C1086" s="8">
        <v>4345</v>
      </c>
      <c r="D1086" s="8">
        <v>6549</v>
      </c>
      <c r="E1086" s="8">
        <v>3250</v>
      </c>
      <c r="F1086" s="8"/>
      <c r="G1086" s="8">
        <v>5655</v>
      </c>
      <c r="H1086" s="8">
        <v>5370</v>
      </c>
      <c r="I1086" s="8">
        <v>17636</v>
      </c>
      <c r="J1086" s="2">
        <v>26.64999961853027</v>
      </c>
      <c r="K1086" s="23">
        <f t="shared" si="151"/>
        <v>61726.630000000005</v>
      </c>
      <c r="L1086" s="23">
        <f t="shared" si="150"/>
        <v>10.915407603890364</v>
      </c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AA1086" s="11"/>
      <c r="AB1086" s="11"/>
      <c r="AC1086" s="11"/>
      <c r="AD1086" s="11"/>
      <c r="AE1086" s="11"/>
    </row>
    <row r="1087" spans="1:31" x14ac:dyDescent="0.25">
      <c r="A1087" s="18" t="s">
        <v>2</v>
      </c>
      <c r="B1087" s="21">
        <v>45773</v>
      </c>
      <c r="C1087" s="7">
        <v>4584</v>
      </c>
      <c r="D1087" s="7">
        <v>6110</v>
      </c>
      <c r="E1087" s="7">
        <v>0</v>
      </c>
      <c r="F1087" s="7"/>
      <c r="G1087" s="7">
        <v>5655</v>
      </c>
      <c r="H1087" s="7">
        <v>4800</v>
      </c>
      <c r="I1087" s="7">
        <v>0</v>
      </c>
      <c r="J1087" s="2">
        <v>32.799999237060547</v>
      </c>
      <c r="K1087" s="23">
        <f t="shared" si="151"/>
        <v>39644.368000000002</v>
      </c>
      <c r="L1087" s="23">
        <f t="shared" si="150"/>
        <v>7.0104983200707345</v>
      </c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AA1087" s="11"/>
      <c r="AB1087" s="11"/>
      <c r="AC1087" s="11"/>
      <c r="AD1087" s="11"/>
      <c r="AE1087" s="11"/>
    </row>
    <row r="1088" spans="1:31" x14ac:dyDescent="0.25">
      <c r="A1088" s="18" t="s">
        <v>2</v>
      </c>
      <c r="B1088" s="21">
        <v>45774</v>
      </c>
      <c r="C1088" s="7">
        <v>3327</v>
      </c>
      <c r="D1088" s="7">
        <v>1492</v>
      </c>
      <c r="E1088" s="7">
        <v>0</v>
      </c>
      <c r="F1088" s="7"/>
      <c r="G1088" s="7">
        <v>4821.9641176470595</v>
      </c>
      <c r="H1088" s="7">
        <v>1061.3200000000002</v>
      </c>
      <c r="I1088" s="7">
        <v>0</v>
      </c>
      <c r="J1088" s="2">
        <v>28.45000076293945</v>
      </c>
      <c r="K1088" s="23">
        <f t="shared" si="151"/>
        <v>27125.474000000002</v>
      </c>
      <c r="L1088" s="23">
        <f t="shared" si="150"/>
        <v>5.6253993887528617</v>
      </c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AA1088" s="11"/>
      <c r="AB1088" s="11"/>
      <c r="AC1088" s="11"/>
      <c r="AD1088" s="11"/>
      <c r="AE1088" s="11"/>
    </row>
    <row r="1089" spans="1:31" x14ac:dyDescent="0.25">
      <c r="A1089" s="18" t="s">
        <v>2</v>
      </c>
      <c r="B1089" s="21">
        <v>45775</v>
      </c>
      <c r="C1089" s="7">
        <v>2076</v>
      </c>
      <c r="D1089" s="7">
        <v>5445</v>
      </c>
      <c r="E1089" s="7">
        <v>3675</v>
      </c>
      <c r="F1089" s="7"/>
      <c r="G1089" s="7">
        <v>4892.3276264591441</v>
      </c>
      <c r="H1089" s="7">
        <v>5165.55</v>
      </c>
      <c r="I1089" s="7">
        <v>20178</v>
      </c>
      <c r="J1089" s="2">
        <v>24.75</v>
      </c>
      <c r="K1089" s="23">
        <f t="shared" si="151"/>
        <v>46281.252</v>
      </c>
      <c r="L1089" s="23">
        <f t="shared" si="150"/>
        <v>9.4599657941339412</v>
      </c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AA1089" s="11"/>
      <c r="AB1089" s="11"/>
      <c r="AC1089" s="11"/>
      <c r="AD1089" s="11"/>
      <c r="AE1089" s="11"/>
    </row>
    <row r="1090" spans="1:31" x14ac:dyDescent="0.25">
      <c r="A1090" s="18" t="s">
        <v>2</v>
      </c>
      <c r="B1090" s="21">
        <v>45776</v>
      </c>
      <c r="C1090" s="7">
        <v>3048</v>
      </c>
      <c r="D1090" s="7">
        <v>5635</v>
      </c>
      <c r="E1090" s="7">
        <v>0</v>
      </c>
      <c r="F1090" s="7"/>
      <c r="G1090" s="7">
        <v>6536.8652173913051</v>
      </c>
      <c r="H1090" s="7">
        <v>3378.5612648221349</v>
      </c>
      <c r="I1090" s="7">
        <v>0</v>
      </c>
      <c r="J1090" s="2">
        <v>22.14999961853027</v>
      </c>
      <c r="K1090" s="23">
        <f t="shared" si="151"/>
        <v>27240.896000000001</v>
      </c>
      <c r="L1090" s="23">
        <f t="shared" si="150"/>
        <v>4.1672720935909311</v>
      </c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AA1090" s="11"/>
      <c r="AB1090" s="11"/>
      <c r="AC1090" s="11"/>
      <c r="AD1090" s="11"/>
      <c r="AE1090" s="11"/>
    </row>
    <row r="1091" spans="1:31" x14ac:dyDescent="0.25">
      <c r="A1091" s="18" t="s">
        <v>2</v>
      </c>
      <c r="B1091" s="21">
        <v>45777</v>
      </c>
      <c r="C1091" s="7">
        <v>3043</v>
      </c>
      <c r="D1091" s="7">
        <v>6390</v>
      </c>
      <c r="E1091" s="7">
        <v>4925</v>
      </c>
      <c r="F1091" s="7"/>
      <c r="G1091" s="7">
        <v>6101</v>
      </c>
      <c r="H1091" s="7">
        <v>5685</v>
      </c>
      <c r="I1091" s="7">
        <v>30415</v>
      </c>
      <c r="J1091" s="2">
        <v>26.04999923706055</v>
      </c>
      <c r="K1091" s="23">
        <f t="shared" si="151"/>
        <v>63576.686000000002</v>
      </c>
      <c r="L1091" s="23">
        <f t="shared" si="150"/>
        <v>10.420699229634486</v>
      </c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AA1091" s="11"/>
      <c r="AB1091" s="11"/>
      <c r="AC1091" s="11"/>
      <c r="AD1091" s="11"/>
      <c r="AE1091" s="11"/>
    </row>
    <row r="1092" spans="1:31" x14ac:dyDescent="0.25">
      <c r="A1092" s="18" t="s">
        <v>2</v>
      </c>
      <c r="B1092" s="21">
        <v>45778</v>
      </c>
      <c r="C1092" s="7">
        <v>4383</v>
      </c>
      <c r="D1092" s="7">
        <v>6881</v>
      </c>
      <c r="E1092" s="7">
        <v>0</v>
      </c>
      <c r="F1092" s="7"/>
      <c r="G1092" s="7">
        <v>4665</v>
      </c>
      <c r="H1092" s="7">
        <v>5625</v>
      </c>
      <c r="I1092" s="7">
        <v>0</v>
      </c>
      <c r="J1092" s="2">
        <v>24.95000076293945</v>
      </c>
      <c r="K1092" s="23">
        <f>C1092*7.85+D1092*0.56+E1092*7.5+F1092*5</f>
        <v>38259.909999999996</v>
      </c>
      <c r="L1092" s="23">
        <f t="shared" si="150"/>
        <v>8.2014812433011777</v>
      </c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AA1092" s="11"/>
      <c r="AB1092" s="11"/>
      <c r="AC1092" s="11"/>
      <c r="AD1092" s="11"/>
      <c r="AE1092" s="11"/>
    </row>
    <row r="1093" spans="1:31" x14ac:dyDescent="0.25">
      <c r="A1093" s="18" t="s">
        <v>2</v>
      </c>
      <c r="B1093" s="21">
        <v>45779</v>
      </c>
      <c r="C1093" s="7">
        <v>3373</v>
      </c>
      <c r="D1093" s="7">
        <v>6770</v>
      </c>
      <c r="E1093" s="7">
        <v>4800</v>
      </c>
      <c r="F1093" s="7"/>
      <c r="G1093" s="7">
        <v>4905</v>
      </c>
      <c r="H1093" s="7">
        <v>6236.2794561933533</v>
      </c>
      <c r="I1093" s="7">
        <v>25137</v>
      </c>
      <c r="J1093" s="2">
        <v>26.25</v>
      </c>
      <c r="K1093" s="23">
        <f t="shared" ref="K1093:K1121" si="152">C1093*7.85+D1093*0.56+E1093*7.5+F1093*5</f>
        <v>66269.25</v>
      </c>
      <c r="L1093" s="23">
        <f t="shared" si="150"/>
        <v>13.510550458715596</v>
      </c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AA1093" s="11"/>
      <c r="AB1093" s="11"/>
      <c r="AC1093" s="11"/>
      <c r="AD1093" s="11"/>
      <c r="AE1093" s="11"/>
    </row>
    <row r="1094" spans="1:31" x14ac:dyDescent="0.25">
      <c r="A1094" s="18" t="s">
        <v>2</v>
      </c>
      <c r="B1094" s="21">
        <v>45780</v>
      </c>
      <c r="C1094" s="7">
        <v>2207</v>
      </c>
      <c r="D1094" s="7">
        <v>6528</v>
      </c>
      <c r="E1094" s="7">
        <v>0</v>
      </c>
      <c r="F1094" s="7"/>
      <c r="G1094" s="7">
        <v>5130</v>
      </c>
      <c r="H1094" s="7">
        <v>5970.1737499999999</v>
      </c>
      <c r="I1094" s="7">
        <v>0</v>
      </c>
      <c r="J1094" s="2">
        <v>24.70000076293945</v>
      </c>
      <c r="K1094" s="23">
        <f t="shared" si="152"/>
        <v>20980.63</v>
      </c>
      <c r="L1094" s="23">
        <f t="shared" si="150"/>
        <v>4.0897914230019499</v>
      </c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AA1094" s="11"/>
      <c r="AB1094" s="11"/>
      <c r="AC1094" s="11"/>
      <c r="AD1094" s="11"/>
      <c r="AE1094" s="11"/>
    </row>
    <row r="1095" spans="1:31" x14ac:dyDescent="0.25">
      <c r="A1095" s="18" t="s">
        <v>2</v>
      </c>
      <c r="B1095" s="21">
        <v>45781</v>
      </c>
      <c r="C1095" s="7">
        <v>672</v>
      </c>
      <c r="D1095" s="7">
        <v>3786</v>
      </c>
      <c r="E1095" s="7">
        <v>0</v>
      </c>
      <c r="F1095" s="7"/>
      <c r="G1095" s="7">
        <v>3765.6077333333342</v>
      </c>
      <c r="H1095" s="7">
        <v>2532.9200000000005</v>
      </c>
      <c r="I1095" s="7">
        <v>0</v>
      </c>
      <c r="J1095" s="2">
        <v>24.79999923706055</v>
      </c>
      <c r="K1095" s="23">
        <f t="shared" si="152"/>
        <v>7395.3600000000006</v>
      </c>
      <c r="L1095" s="23">
        <f t="shared" si="150"/>
        <v>1.9639220342936763</v>
      </c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AA1095" s="11"/>
      <c r="AB1095" s="11"/>
      <c r="AC1095" s="11"/>
      <c r="AD1095" s="11"/>
      <c r="AE1095" s="11"/>
    </row>
    <row r="1096" spans="1:31" x14ac:dyDescent="0.25">
      <c r="A1096" s="18" t="s">
        <v>2</v>
      </c>
      <c r="B1096" s="21">
        <v>45782</v>
      </c>
      <c r="C1096" s="8">
        <v>1297</v>
      </c>
      <c r="D1096" s="8">
        <v>900</v>
      </c>
      <c r="E1096" s="8">
        <v>4500</v>
      </c>
      <c r="F1096" s="8"/>
      <c r="G1096" s="8">
        <v>5250</v>
      </c>
      <c r="H1096" s="8">
        <v>495</v>
      </c>
      <c r="I1096" s="8">
        <v>22512</v>
      </c>
      <c r="J1096" s="2">
        <v>26.79999923706055</v>
      </c>
      <c r="K1096" s="23">
        <f t="shared" si="152"/>
        <v>44435.45</v>
      </c>
      <c r="L1096" s="23">
        <f t="shared" si="150"/>
        <v>8.4638952380952368</v>
      </c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AA1096" s="11"/>
      <c r="AB1096" s="11"/>
      <c r="AC1096" s="11"/>
      <c r="AD1096" s="11"/>
      <c r="AE1096" s="11"/>
    </row>
    <row r="1097" spans="1:31" x14ac:dyDescent="0.25">
      <c r="A1097" s="18" t="s">
        <v>2</v>
      </c>
      <c r="B1097" s="21">
        <v>45783</v>
      </c>
      <c r="C1097" s="7">
        <v>3749</v>
      </c>
      <c r="D1097" s="7">
        <v>1000</v>
      </c>
      <c r="E1097" s="7">
        <v>0</v>
      </c>
      <c r="F1097" s="7"/>
      <c r="G1097" s="7">
        <v>6992</v>
      </c>
      <c r="H1097" s="7">
        <v>900</v>
      </c>
      <c r="I1097" s="7">
        <v>0</v>
      </c>
      <c r="J1097" s="2">
        <v>27.39999961853027</v>
      </c>
      <c r="K1097" s="23">
        <f t="shared" si="152"/>
        <v>29989.649999999998</v>
      </c>
      <c r="L1097" s="23">
        <f t="shared" ref="L1097:L1160" si="153">K1097/G1097</f>
        <v>4.289137585812357</v>
      </c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AA1097" s="11"/>
      <c r="AB1097" s="11"/>
      <c r="AC1097" s="11"/>
      <c r="AD1097" s="11"/>
      <c r="AE1097" s="11"/>
    </row>
    <row r="1098" spans="1:31" x14ac:dyDescent="0.25">
      <c r="A1098" s="18" t="s">
        <v>2</v>
      </c>
      <c r="B1098" s="21">
        <v>45784</v>
      </c>
      <c r="C1098" s="7">
        <v>3752</v>
      </c>
      <c r="D1098" s="7">
        <v>900</v>
      </c>
      <c r="E1098" s="7">
        <v>5250</v>
      </c>
      <c r="F1098" s="7"/>
      <c r="G1098" s="7">
        <v>6975</v>
      </c>
      <c r="H1098" s="7">
        <v>0</v>
      </c>
      <c r="I1098" s="7">
        <v>27336</v>
      </c>
      <c r="J1098" s="2">
        <v>23.95000076293945</v>
      </c>
      <c r="K1098" s="23">
        <f t="shared" si="152"/>
        <v>69332.2</v>
      </c>
      <c r="L1098" s="23">
        <f t="shared" si="153"/>
        <v>9.9401003584229386</v>
      </c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AA1098" s="11"/>
      <c r="AB1098" s="11"/>
      <c r="AC1098" s="11"/>
      <c r="AD1098" s="11"/>
      <c r="AE1098" s="11"/>
    </row>
    <row r="1099" spans="1:31" x14ac:dyDescent="0.25">
      <c r="A1099" s="18" t="s">
        <v>2</v>
      </c>
      <c r="B1099" s="21">
        <v>45785</v>
      </c>
      <c r="C1099" s="7">
        <v>4151</v>
      </c>
      <c r="D1099" s="7">
        <v>950</v>
      </c>
      <c r="E1099" s="7">
        <v>0</v>
      </c>
      <c r="F1099" s="7"/>
      <c r="G1099" s="7">
        <v>6503</v>
      </c>
      <c r="H1099" s="7">
        <v>195</v>
      </c>
      <c r="I1099" s="7">
        <v>0</v>
      </c>
      <c r="J1099" s="2">
        <v>25.5</v>
      </c>
      <c r="K1099" s="23">
        <f t="shared" si="152"/>
        <v>33117.35</v>
      </c>
      <c r="L1099" s="23">
        <f t="shared" si="153"/>
        <v>5.0926264800861141</v>
      </c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AA1099" s="11"/>
      <c r="AB1099" s="11"/>
      <c r="AC1099" s="11"/>
      <c r="AD1099" s="11"/>
      <c r="AE1099" s="11"/>
    </row>
    <row r="1100" spans="1:31" x14ac:dyDescent="0.25">
      <c r="A1100" s="18" t="s">
        <v>2</v>
      </c>
      <c r="B1100" s="21">
        <v>45786</v>
      </c>
      <c r="C1100" s="7">
        <v>4071</v>
      </c>
      <c r="D1100" s="7">
        <v>1200</v>
      </c>
      <c r="E1100" s="7">
        <v>0</v>
      </c>
      <c r="F1100" s="7"/>
      <c r="G1100" s="7">
        <v>6555</v>
      </c>
      <c r="H1100" s="7">
        <v>300</v>
      </c>
      <c r="I1100" s="7">
        <v>0</v>
      </c>
      <c r="J1100" s="2">
        <v>26.10000038146973</v>
      </c>
      <c r="K1100" s="23">
        <f t="shared" si="152"/>
        <v>32629.35</v>
      </c>
      <c r="L1100" s="23">
        <f t="shared" si="153"/>
        <v>4.9777803203661328</v>
      </c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AA1100" s="11"/>
      <c r="AB1100" s="11"/>
      <c r="AC1100" s="11"/>
      <c r="AD1100" s="11"/>
      <c r="AE1100" s="11"/>
    </row>
    <row r="1101" spans="1:31" x14ac:dyDescent="0.25">
      <c r="A1101" s="18" t="s">
        <v>2</v>
      </c>
      <c r="B1101" s="21">
        <v>45787</v>
      </c>
      <c r="C1101" s="8">
        <v>3831</v>
      </c>
      <c r="D1101" s="8">
        <v>1200</v>
      </c>
      <c r="E1101" s="8">
        <v>7175</v>
      </c>
      <c r="F1101" s="8"/>
      <c r="G1101" s="8">
        <v>5925</v>
      </c>
      <c r="H1101" s="8">
        <v>795</v>
      </c>
      <c r="I1101" s="8">
        <v>36201</v>
      </c>
      <c r="J1101" s="2">
        <v>24.64999961853027</v>
      </c>
      <c r="K1101" s="23">
        <f t="shared" si="152"/>
        <v>84557.85</v>
      </c>
      <c r="L1101" s="23">
        <f t="shared" si="153"/>
        <v>14.271367088607596</v>
      </c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AA1101" s="11"/>
      <c r="AB1101" s="11"/>
      <c r="AC1101" s="11"/>
      <c r="AD1101" s="11"/>
      <c r="AE1101" s="11"/>
    </row>
    <row r="1102" spans="1:31" x14ac:dyDescent="0.25">
      <c r="A1102" s="18" t="s">
        <v>2</v>
      </c>
      <c r="B1102" s="21">
        <v>45788</v>
      </c>
      <c r="C1102" s="7">
        <v>3879</v>
      </c>
      <c r="D1102" s="7">
        <v>1000</v>
      </c>
      <c r="E1102" s="7">
        <v>0</v>
      </c>
      <c r="F1102" s="7"/>
      <c r="G1102" s="7">
        <v>5655</v>
      </c>
      <c r="H1102" s="7">
        <v>0</v>
      </c>
      <c r="I1102" s="7">
        <v>0</v>
      </c>
      <c r="J1102" s="2">
        <v>26.04999923706055</v>
      </c>
      <c r="K1102" s="23">
        <f t="shared" si="152"/>
        <v>31010.149999999998</v>
      </c>
      <c r="L1102" s="23">
        <f t="shared" si="153"/>
        <v>5.4836693191865598</v>
      </c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AA1102" s="11"/>
      <c r="AB1102" s="11"/>
      <c r="AC1102" s="11"/>
      <c r="AD1102" s="11"/>
      <c r="AE1102" s="11"/>
    </row>
    <row r="1103" spans="1:31" x14ac:dyDescent="0.25">
      <c r="A1103" s="18" t="s">
        <v>2</v>
      </c>
      <c r="B1103" s="21">
        <v>45789</v>
      </c>
      <c r="C1103" s="7">
        <v>3156</v>
      </c>
      <c r="D1103" s="7">
        <v>5094</v>
      </c>
      <c r="E1103" s="7">
        <v>5000</v>
      </c>
      <c r="F1103" s="7"/>
      <c r="G1103" s="7">
        <v>5787.8024691358023</v>
      </c>
      <c r="H1103" s="7">
        <v>4214.4135802469136</v>
      </c>
      <c r="I1103" s="7">
        <v>26460</v>
      </c>
      <c r="J1103" s="2">
        <v>22.35000038146973</v>
      </c>
      <c r="K1103" s="23">
        <f t="shared" si="152"/>
        <v>65127.24</v>
      </c>
      <c r="L1103" s="23">
        <f t="shared" si="153"/>
        <v>11.252498741499791</v>
      </c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AA1103" s="11"/>
      <c r="AB1103" s="11"/>
      <c r="AC1103" s="11"/>
      <c r="AD1103" s="11"/>
      <c r="AE1103" s="11"/>
    </row>
    <row r="1104" spans="1:31" x14ac:dyDescent="0.25">
      <c r="A1104" s="18" t="s">
        <v>2</v>
      </c>
      <c r="B1104" s="21">
        <v>45790</v>
      </c>
      <c r="C1104" s="7">
        <v>4008</v>
      </c>
      <c r="D1104" s="7">
        <v>6702</v>
      </c>
      <c r="E1104" s="7">
        <v>0</v>
      </c>
      <c r="F1104" s="7"/>
      <c r="G1104" s="7">
        <v>6015</v>
      </c>
      <c r="H1104" s="7">
        <v>6015</v>
      </c>
      <c r="I1104" s="7">
        <v>0</v>
      </c>
      <c r="J1104" s="2">
        <v>23.14999961853027</v>
      </c>
      <c r="K1104" s="23">
        <f t="shared" si="152"/>
        <v>35215.919999999998</v>
      </c>
      <c r="L1104" s="23">
        <f t="shared" si="153"/>
        <v>5.8546832917705736</v>
      </c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AA1104" s="11"/>
      <c r="AB1104" s="11"/>
      <c r="AC1104" s="11"/>
      <c r="AD1104" s="11"/>
      <c r="AE1104" s="11"/>
    </row>
    <row r="1105" spans="1:31" x14ac:dyDescent="0.25">
      <c r="A1105" s="18" t="s">
        <v>2</v>
      </c>
      <c r="B1105" s="21">
        <v>45791</v>
      </c>
      <c r="C1105" s="7">
        <v>4600</v>
      </c>
      <c r="D1105" s="7">
        <v>6388</v>
      </c>
      <c r="E1105" s="7">
        <v>6625</v>
      </c>
      <c r="F1105" s="7"/>
      <c r="G1105" s="7">
        <v>5655</v>
      </c>
      <c r="H1105" s="7">
        <v>5175</v>
      </c>
      <c r="I1105" s="7">
        <v>38220</v>
      </c>
      <c r="J1105" s="2">
        <v>25.95000076293945</v>
      </c>
      <c r="K1105" s="23">
        <f t="shared" si="152"/>
        <v>89374.78</v>
      </c>
      <c r="L1105" s="23">
        <f t="shared" si="153"/>
        <v>15.804558797524315</v>
      </c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AA1105" s="11"/>
      <c r="AB1105" s="11"/>
      <c r="AC1105" s="11"/>
      <c r="AD1105" s="11"/>
      <c r="AE1105" s="11"/>
    </row>
    <row r="1106" spans="1:31" x14ac:dyDescent="0.25">
      <c r="A1106" s="18" t="s">
        <v>2</v>
      </c>
      <c r="B1106" s="21">
        <v>45792</v>
      </c>
      <c r="C1106" s="8">
        <v>3517</v>
      </c>
      <c r="D1106" s="8">
        <v>4831</v>
      </c>
      <c r="E1106" s="8">
        <v>0</v>
      </c>
      <c r="F1106" s="8"/>
      <c r="G1106" s="8">
        <v>5685</v>
      </c>
      <c r="H1106" s="8">
        <v>3375</v>
      </c>
      <c r="I1106" s="8">
        <v>0</v>
      </c>
      <c r="J1106" s="2">
        <v>30.04999923706055</v>
      </c>
      <c r="K1106" s="23">
        <f t="shared" si="152"/>
        <v>30313.809999999998</v>
      </c>
      <c r="L1106" s="23">
        <f t="shared" si="153"/>
        <v>5.3322445030782761</v>
      </c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AA1106" s="11"/>
      <c r="AB1106" s="11"/>
      <c r="AC1106" s="11"/>
      <c r="AD1106" s="11"/>
      <c r="AE1106" s="11"/>
    </row>
    <row r="1107" spans="1:31" x14ac:dyDescent="0.25">
      <c r="A1107" s="18" t="s">
        <v>2</v>
      </c>
      <c r="B1107" s="21">
        <v>45793</v>
      </c>
      <c r="C1107" s="7">
        <v>4124</v>
      </c>
      <c r="D1107" s="7">
        <v>6037</v>
      </c>
      <c r="E1107" s="7">
        <v>5050</v>
      </c>
      <c r="F1107" s="7"/>
      <c r="G1107" s="7">
        <v>5658.0563176895312</v>
      </c>
      <c r="H1107" s="7">
        <v>5199.8</v>
      </c>
      <c r="I1107" s="7">
        <v>29952</v>
      </c>
      <c r="J1107" s="2">
        <v>33.700000762939453</v>
      </c>
      <c r="K1107" s="23">
        <f t="shared" si="152"/>
        <v>73629.119999999995</v>
      </c>
      <c r="L1107" s="23">
        <f t="shared" si="153"/>
        <v>13.013147248075903</v>
      </c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AA1107" s="11"/>
      <c r="AB1107" s="11"/>
      <c r="AC1107" s="11"/>
      <c r="AD1107" s="11"/>
      <c r="AE1107" s="11"/>
    </row>
    <row r="1108" spans="1:31" x14ac:dyDescent="0.25">
      <c r="A1108" s="18" t="s">
        <v>2</v>
      </c>
      <c r="B1108" s="21">
        <v>45794</v>
      </c>
      <c r="C1108" s="7">
        <v>3476</v>
      </c>
      <c r="D1108" s="7">
        <v>5439</v>
      </c>
      <c r="E1108" s="7">
        <v>0</v>
      </c>
      <c r="F1108" s="7"/>
      <c r="G1108" s="7">
        <v>5658.8974789915974</v>
      </c>
      <c r="H1108" s="7">
        <v>4244.4000000000005</v>
      </c>
      <c r="I1108" s="7">
        <v>0</v>
      </c>
      <c r="J1108" s="2">
        <v>27.5</v>
      </c>
      <c r="K1108" s="23">
        <f t="shared" si="152"/>
        <v>30332.44</v>
      </c>
      <c r="L1108" s="23">
        <f t="shared" si="153"/>
        <v>5.3601324485216102</v>
      </c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AA1108" s="11"/>
      <c r="AB1108" s="11"/>
      <c r="AC1108" s="11"/>
      <c r="AD1108" s="11"/>
      <c r="AE1108" s="11"/>
    </row>
    <row r="1109" spans="1:31" x14ac:dyDescent="0.25">
      <c r="A1109" s="18" t="s">
        <v>2</v>
      </c>
      <c r="B1109" s="21">
        <v>45795</v>
      </c>
      <c r="C1109" s="7">
        <v>3841</v>
      </c>
      <c r="D1109" s="7">
        <v>1100</v>
      </c>
      <c r="E1109" s="7">
        <v>0</v>
      </c>
      <c r="F1109" s="7"/>
      <c r="G1109" s="7">
        <v>5655</v>
      </c>
      <c r="H1109" s="7">
        <v>0</v>
      </c>
      <c r="I1109" s="7">
        <v>0</v>
      </c>
      <c r="J1109" s="2">
        <v>27.25</v>
      </c>
      <c r="K1109" s="23">
        <f t="shared" si="152"/>
        <v>30767.85</v>
      </c>
      <c r="L1109" s="23">
        <f t="shared" si="153"/>
        <v>5.4408222811671081</v>
      </c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AA1109" s="11"/>
      <c r="AB1109" s="11"/>
      <c r="AC1109" s="11"/>
      <c r="AD1109" s="11"/>
      <c r="AE1109" s="11"/>
    </row>
    <row r="1110" spans="1:31" x14ac:dyDescent="0.25">
      <c r="A1110" s="18" t="s">
        <v>2</v>
      </c>
      <c r="B1110" s="21">
        <v>45796</v>
      </c>
      <c r="C1110" s="7">
        <v>2945</v>
      </c>
      <c r="D1110" s="7">
        <v>5327</v>
      </c>
      <c r="E1110" s="7">
        <v>3650</v>
      </c>
      <c r="F1110" s="7"/>
      <c r="G1110" s="7">
        <v>5630</v>
      </c>
      <c r="H1110" s="7">
        <v>4422</v>
      </c>
      <c r="I1110" s="7">
        <v>20311</v>
      </c>
      <c r="J1110" s="2">
        <v>28.85000038146973</v>
      </c>
      <c r="K1110" s="23">
        <f t="shared" si="152"/>
        <v>53476.369999999995</v>
      </c>
      <c r="L1110" s="23">
        <f t="shared" si="153"/>
        <v>9.4984671403197147</v>
      </c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AA1110" s="11"/>
      <c r="AB1110" s="11"/>
      <c r="AC1110" s="11"/>
      <c r="AD1110" s="11"/>
      <c r="AE1110" s="11"/>
    </row>
    <row r="1111" spans="1:31" x14ac:dyDescent="0.25">
      <c r="A1111" s="18" t="s">
        <v>2</v>
      </c>
      <c r="B1111" s="21">
        <v>45797</v>
      </c>
      <c r="C1111" s="8">
        <v>5080</v>
      </c>
      <c r="D1111" s="8">
        <v>6127</v>
      </c>
      <c r="E1111" s="8">
        <v>0</v>
      </c>
      <c r="F1111" s="8"/>
      <c r="G1111" s="8">
        <v>5651</v>
      </c>
      <c r="H1111" s="8">
        <v>6046</v>
      </c>
      <c r="I1111" s="8">
        <v>0</v>
      </c>
      <c r="J1111" s="2">
        <v>29.75</v>
      </c>
      <c r="K1111" s="23">
        <f t="shared" si="152"/>
        <v>43309.120000000003</v>
      </c>
      <c r="L1111" s="23">
        <f t="shared" si="153"/>
        <v>7.6639745177844638</v>
      </c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AA1111" s="11"/>
      <c r="AB1111" s="11"/>
      <c r="AC1111" s="11"/>
      <c r="AD1111" s="11"/>
      <c r="AE1111" s="11"/>
    </row>
    <row r="1112" spans="1:31" x14ac:dyDescent="0.25">
      <c r="A1112" s="18" t="s">
        <v>2</v>
      </c>
      <c r="B1112" s="21">
        <v>45798</v>
      </c>
      <c r="C1112" s="7">
        <v>4500</v>
      </c>
      <c r="D1112" s="7">
        <v>2804</v>
      </c>
      <c r="E1112" s="7">
        <v>4700</v>
      </c>
      <c r="F1112" s="7"/>
      <c r="G1112" s="7">
        <v>5646</v>
      </c>
      <c r="H1112" s="7">
        <v>2042</v>
      </c>
      <c r="I1112" s="7">
        <v>24343</v>
      </c>
      <c r="J1112" s="2">
        <v>29.89999961853027</v>
      </c>
      <c r="K1112" s="23">
        <f t="shared" si="152"/>
        <v>72145.239999999991</v>
      </c>
      <c r="L1112" s="23">
        <f t="shared" si="153"/>
        <v>12.778115479985829</v>
      </c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AA1112" s="11"/>
      <c r="AB1112" s="11"/>
      <c r="AC1112" s="11"/>
      <c r="AD1112" s="11"/>
      <c r="AE1112" s="11"/>
    </row>
    <row r="1113" spans="1:31" x14ac:dyDescent="0.25">
      <c r="A1113" s="18" t="s">
        <v>2</v>
      </c>
      <c r="B1113" s="21">
        <v>45799</v>
      </c>
      <c r="C1113" s="7">
        <v>4159</v>
      </c>
      <c r="D1113" s="7">
        <v>1000</v>
      </c>
      <c r="E1113" s="7">
        <v>0</v>
      </c>
      <c r="F1113" s="7"/>
      <c r="G1113" s="7">
        <v>5652</v>
      </c>
      <c r="H1113" s="7">
        <v>0</v>
      </c>
      <c r="I1113" s="7">
        <v>0</v>
      </c>
      <c r="J1113" s="2">
        <v>27.89999961853027</v>
      </c>
      <c r="K1113" s="23">
        <f t="shared" si="152"/>
        <v>33208.149999999994</v>
      </c>
      <c r="L1113" s="23">
        <f t="shared" si="153"/>
        <v>5.8754688605803249</v>
      </c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AA1113" s="11"/>
      <c r="AB1113" s="11"/>
      <c r="AC1113" s="11"/>
      <c r="AD1113" s="11"/>
      <c r="AE1113" s="11"/>
    </row>
    <row r="1114" spans="1:31" x14ac:dyDescent="0.25">
      <c r="A1114" s="18" t="s">
        <v>2</v>
      </c>
      <c r="B1114" s="21">
        <v>45800</v>
      </c>
      <c r="C1114" s="7">
        <v>2935</v>
      </c>
      <c r="D1114" s="7">
        <v>1200</v>
      </c>
      <c r="E1114" s="7">
        <v>4875</v>
      </c>
      <c r="F1114" s="7"/>
      <c r="G1114" s="7">
        <v>5637</v>
      </c>
      <c r="H1114" s="7">
        <v>0</v>
      </c>
      <c r="I1114" s="7">
        <v>27156.6</v>
      </c>
      <c r="J1114" s="2">
        <v>32.349998474121087</v>
      </c>
      <c r="K1114" s="23">
        <f t="shared" si="152"/>
        <v>60274.25</v>
      </c>
      <c r="L1114" s="23">
        <f t="shared" si="153"/>
        <v>10.692611318076992</v>
      </c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AA1114" s="11"/>
      <c r="AB1114" s="11"/>
      <c r="AC1114" s="11"/>
      <c r="AD1114" s="11"/>
      <c r="AE1114" s="11"/>
    </row>
    <row r="1115" spans="1:31" x14ac:dyDescent="0.25">
      <c r="A1115" s="18" t="s">
        <v>2</v>
      </c>
      <c r="B1115" s="21">
        <v>45801</v>
      </c>
      <c r="C1115" s="7">
        <v>3587</v>
      </c>
      <c r="D1115" s="7">
        <v>4783</v>
      </c>
      <c r="E1115" s="7">
        <v>0</v>
      </c>
      <c r="F1115" s="7"/>
      <c r="G1115" s="7">
        <v>5654</v>
      </c>
      <c r="H1115" s="7">
        <v>3740</v>
      </c>
      <c r="I1115" s="7">
        <v>0</v>
      </c>
      <c r="J1115" s="2">
        <v>35.650001525878913</v>
      </c>
      <c r="K1115" s="23">
        <f t="shared" si="152"/>
        <v>30836.429999999997</v>
      </c>
      <c r="L1115" s="23">
        <f t="shared" si="153"/>
        <v>5.4539140431552875</v>
      </c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AA1115" s="11"/>
      <c r="AB1115" s="11"/>
      <c r="AC1115" s="11"/>
      <c r="AD1115" s="11"/>
      <c r="AE1115" s="11"/>
    </row>
    <row r="1116" spans="1:31" x14ac:dyDescent="0.25">
      <c r="A1116" s="18" t="s">
        <v>2</v>
      </c>
      <c r="B1116" s="21">
        <v>45802</v>
      </c>
      <c r="C1116" s="8">
        <v>2924</v>
      </c>
      <c r="D1116" s="8">
        <v>1405</v>
      </c>
      <c r="E1116" s="8">
        <v>0</v>
      </c>
      <c r="F1116" s="8"/>
      <c r="G1116" s="8">
        <v>5627</v>
      </c>
      <c r="H1116" s="8">
        <v>918</v>
      </c>
      <c r="I1116" s="8">
        <v>0</v>
      </c>
      <c r="J1116" s="2">
        <v>37.400001525878913</v>
      </c>
      <c r="K1116" s="23">
        <f t="shared" si="152"/>
        <v>23740.199999999997</v>
      </c>
      <c r="L1116" s="23">
        <f t="shared" si="153"/>
        <v>4.2189799182512875</v>
      </c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AA1116" s="11"/>
      <c r="AB1116" s="11"/>
      <c r="AC1116" s="11"/>
      <c r="AD1116" s="11"/>
      <c r="AE1116" s="11"/>
    </row>
    <row r="1117" spans="1:31" x14ac:dyDescent="0.25">
      <c r="A1117" s="18" t="s">
        <v>2</v>
      </c>
      <c r="B1117" s="21">
        <v>45803</v>
      </c>
      <c r="C1117" s="7">
        <v>1795</v>
      </c>
      <c r="D1117" s="7">
        <v>1200</v>
      </c>
      <c r="E1117" s="7">
        <v>1500</v>
      </c>
      <c r="F1117" s="7"/>
      <c r="G1117" s="7">
        <v>5666</v>
      </c>
      <c r="H1117" s="7">
        <v>510</v>
      </c>
      <c r="I1117" s="7">
        <v>8360</v>
      </c>
      <c r="J1117" s="2">
        <v>33.950000762939453</v>
      </c>
      <c r="K1117" s="23">
        <f t="shared" si="152"/>
        <v>26012.75</v>
      </c>
      <c r="L1117" s="23">
        <f t="shared" si="153"/>
        <v>4.591025414754677</v>
      </c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AA1117" s="11"/>
      <c r="AB1117" s="11"/>
      <c r="AC1117" s="11"/>
      <c r="AD1117" s="11"/>
      <c r="AE1117" s="11"/>
    </row>
    <row r="1118" spans="1:31" x14ac:dyDescent="0.25">
      <c r="A1118" s="18" t="s">
        <v>2</v>
      </c>
      <c r="B1118" s="21">
        <v>45804</v>
      </c>
      <c r="C1118" s="7">
        <v>2759</v>
      </c>
      <c r="D1118" s="7">
        <v>2067</v>
      </c>
      <c r="E1118" s="7">
        <v>0</v>
      </c>
      <c r="F1118" s="7"/>
      <c r="G1118" s="7">
        <v>5669</v>
      </c>
      <c r="H1118" s="7">
        <v>435</v>
      </c>
      <c r="I1118" s="7">
        <v>0</v>
      </c>
      <c r="J1118" s="2">
        <v>35.200000762939453</v>
      </c>
      <c r="K1118" s="23">
        <f t="shared" si="152"/>
        <v>22815.67</v>
      </c>
      <c r="L1118" s="23">
        <f t="shared" si="153"/>
        <v>4.0246375022049738</v>
      </c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AA1118" s="11"/>
      <c r="AB1118" s="11"/>
      <c r="AC1118" s="11"/>
      <c r="AD1118" s="11"/>
      <c r="AE1118" s="11"/>
    </row>
    <row r="1119" spans="1:31" x14ac:dyDescent="0.25">
      <c r="A1119" s="18" t="s">
        <v>2</v>
      </c>
      <c r="B1119" s="21">
        <v>45805</v>
      </c>
      <c r="C1119" s="7">
        <v>2769</v>
      </c>
      <c r="D1119" s="7">
        <v>3766</v>
      </c>
      <c r="E1119" s="7">
        <v>11210</v>
      </c>
      <c r="F1119" s="7"/>
      <c r="G1119" s="7">
        <v>5952</v>
      </c>
      <c r="H1119" s="7">
        <v>2250</v>
      </c>
      <c r="I1119" s="7">
        <v>1950</v>
      </c>
      <c r="J1119" s="2">
        <v>37</v>
      </c>
      <c r="K1119" s="23">
        <f t="shared" si="152"/>
        <v>107920.61</v>
      </c>
      <c r="L1119" s="23">
        <f t="shared" si="153"/>
        <v>18.131822916666668</v>
      </c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AA1119" s="11"/>
      <c r="AB1119" s="11"/>
      <c r="AC1119" s="11"/>
      <c r="AD1119" s="11"/>
      <c r="AE1119" s="11"/>
    </row>
    <row r="1120" spans="1:31" x14ac:dyDescent="0.25">
      <c r="A1120" s="18" t="s">
        <v>2</v>
      </c>
      <c r="B1120" s="21">
        <v>45806</v>
      </c>
      <c r="C1120" s="7">
        <v>3304</v>
      </c>
      <c r="D1120" s="7">
        <v>2808</v>
      </c>
      <c r="E1120" s="7">
        <v>0</v>
      </c>
      <c r="F1120" s="7"/>
      <c r="G1120" s="7">
        <v>4009</v>
      </c>
      <c r="H1120" s="7">
        <v>1577</v>
      </c>
      <c r="I1120" s="7">
        <v>0</v>
      </c>
      <c r="J1120" s="2">
        <v>35.349998474121087</v>
      </c>
      <c r="K1120" s="23">
        <f t="shared" si="152"/>
        <v>27508.879999999997</v>
      </c>
      <c r="L1120" s="23">
        <f t="shared" si="153"/>
        <v>6.861780992766275</v>
      </c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AA1120" s="11"/>
      <c r="AB1120" s="11"/>
      <c r="AC1120" s="11"/>
      <c r="AD1120" s="11"/>
      <c r="AE1120" s="11"/>
    </row>
    <row r="1121" spans="1:31" x14ac:dyDescent="0.25">
      <c r="A1121" s="18" t="s">
        <v>2</v>
      </c>
      <c r="B1121" s="21">
        <v>45807</v>
      </c>
      <c r="C1121" s="7">
        <v>1931</v>
      </c>
      <c r="D1121" s="7">
        <v>6340</v>
      </c>
      <c r="E1121" s="7">
        <v>1825</v>
      </c>
      <c r="F1121" s="7"/>
      <c r="G1121" s="7">
        <v>3825</v>
      </c>
      <c r="H1121" s="7">
        <v>6770</v>
      </c>
      <c r="I1121" s="7">
        <v>8096</v>
      </c>
      <c r="J1121" s="2">
        <v>32.599998474121087</v>
      </c>
      <c r="K1121" s="23">
        <f t="shared" si="152"/>
        <v>32396.25</v>
      </c>
      <c r="L1121" s="23">
        <f t="shared" si="153"/>
        <v>8.4696078431372541</v>
      </c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AA1121" s="11"/>
      <c r="AB1121" s="11"/>
      <c r="AC1121" s="11"/>
      <c r="AD1121" s="11"/>
      <c r="AE1121" s="11"/>
    </row>
    <row r="1122" spans="1:31" x14ac:dyDescent="0.25">
      <c r="A1122" s="18" t="s">
        <v>2</v>
      </c>
      <c r="B1122" s="21">
        <v>45808</v>
      </c>
      <c r="C1122" s="7">
        <v>3091</v>
      </c>
      <c r="D1122" s="7">
        <v>5912</v>
      </c>
      <c r="E1122" s="7">
        <v>0</v>
      </c>
      <c r="F1122" s="7"/>
      <c r="G1122" s="7">
        <v>5548</v>
      </c>
      <c r="H1122" s="7">
        <v>6553</v>
      </c>
      <c r="I1122" s="7">
        <v>0</v>
      </c>
      <c r="J1122" s="2">
        <v>31.70000076293945</v>
      </c>
      <c r="K1122" s="23">
        <f>C1122*7.85+D1122*0.56+E1122*7.5+F1122*5</f>
        <v>27575.07</v>
      </c>
      <c r="L1122" s="23">
        <f t="shared" si="153"/>
        <v>4.9702721701514054</v>
      </c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AA1122" s="11"/>
      <c r="AB1122" s="11"/>
      <c r="AC1122" s="11"/>
      <c r="AD1122" s="11"/>
      <c r="AE1122" s="11"/>
    </row>
    <row r="1123" spans="1:31" x14ac:dyDescent="0.25">
      <c r="A1123" s="18" t="s">
        <v>2</v>
      </c>
      <c r="B1123" s="21">
        <v>45809</v>
      </c>
      <c r="C1123" s="7">
        <v>3053</v>
      </c>
      <c r="D1123" s="7">
        <v>1370</v>
      </c>
      <c r="E1123" s="7">
        <v>0</v>
      </c>
      <c r="F1123" s="7"/>
      <c r="G1123" s="7">
        <v>1007</v>
      </c>
      <c r="H1123" s="7">
        <v>893</v>
      </c>
      <c r="I1123" s="7">
        <v>0</v>
      </c>
      <c r="J1123" s="2">
        <v>28.39999961853027</v>
      </c>
      <c r="K1123" s="23">
        <f>C1123*7.95+D1123*0.55+E1123*7.9+F1123*5</f>
        <v>25024.850000000002</v>
      </c>
      <c r="L1123" s="23">
        <f t="shared" si="153"/>
        <v>24.850893743793449</v>
      </c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AA1123" s="11"/>
      <c r="AB1123" s="11"/>
      <c r="AC1123" s="11"/>
      <c r="AD1123" s="11"/>
      <c r="AE1123" s="11"/>
    </row>
    <row r="1124" spans="1:31" x14ac:dyDescent="0.25">
      <c r="A1124" s="18" t="s">
        <v>2</v>
      </c>
      <c r="B1124" s="21">
        <v>45810</v>
      </c>
      <c r="C1124" s="7">
        <v>2863</v>
      </c>
      <c r="D1124" s="7">
        <v>2083</v>
      </c>
      <c r="E1124" s="7">
        <v>3975</v>
      </c>
      <c r="F1124" s="7"/>
      <c r="G1124" s="7">
        <v>4296</v>
      </c>
      <c r="H1124" s="7">
        <v>1792</v>
      </c>
      <c r="I1124" s="7">
        <v>17626</v>
      </c>
      <c r="J1124" s="2">
        <v>26.64999961853027</v>
      </c>
      <c r="K1124" s="23">
        <f t="shared" ref="K1124:K1152" si="154">C1124*7.95+D1124*0.55+E1124*7.9+F1124*5</f>
        <v>55309</v>
      </c>
      <c r="L1124" s="23">
        <f t="shared" si="153"/>
        <v>12.874534450651769</v>
      </c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AA1124" s="11"/>
      <c r="AB1124" s="11"/>
      <c r="AC1124" s="11"/>
      <c r="AD1124" s="11"/>
      <c r="AE1124" s="11"/>
    </row>
    <row r="1125" spans="1:31" x14ac:dyDescent="0.25">
      <c r="A1125" s="18" t="s">
        <v>2</v>
      </c>
      <c r="B1125" s="21">
        <v>45811</v>
      </c>
      <c r="C1125" s="7">
        <v>4292</v>
      </c>
      <c r="D1125" s="7">
        <v>1200</v>
      </c>
      <c r="E1125" s="7">
        <v>0</v>
      </c>
      <c r="F1125" s="7"/>
      <c r="G1125" s="7">
        <v>4005</v>
      </c>
      <c r="H1125" s="7">
        <v>300</v>
      </c>
      <c r="I1125" s="7">
        <v>0</v>
      </c>
      <c r="J1125" s="2">
        <v>27.29999923706055</v>
      </c>
      <c r="K1125" s="23">
        <f t="shared" si="154"/>
        <v>34781.4</v>
      </c>
      <c r="L1125" s="23">
        <f t="shared" si="153"/>
        <v>8.6844943820224731</v>
      </c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AA1125" s="11"/>
      <c r="AB1125" s="11"/>
      <c r="AC1125" s="11"/>
      <c r="AD1125" s="11"/>
      <c r="AE1125" s="11"/>
    </row>
    <row r="1126" spans="1:31" x14ac:dyDescent="0.25">
      <c r="A1126" s="18" t="s">
        <v>2</v>
      </c>
      <c r="B1126" s="21">
        <v>45812</v>
      </c>
      <c r="C1126" s="7">
        <v>3332</v>
      </c>
      <c r="D1126" s="7">
        <v>4466</v>
      </c>
      <c r="E1126" s="7">
        <v>4475</v>
      </c>
      <c r="F1126" s="7"/>
      <c r="G1126" s="7">
        <v>3977</v>
      </c>
      <c r="H1126" s="7">
        <v>3977</v>
      </c>
      <c r="I1126" s="7">
        <v>19576</v>
      </c>
      <c r="J1126" s="2">
        <v>31.20000076293945</v>
      </c>
      <c r="K1126" s="23">
        <f t="shared" si="154"/>
        <v>64298.2</v>
      </c>
      <c r="L1126" s="23">
        <f t="shared" si="153"/>
        <v>16.167513200905205</v>
      </c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AA1126" s="11"/>
      <c r="AB1126" s="11"/>
      <c r="AC1126" s="11"/>
      <c r="AD1126" s="11"/>
      <c r="AE1126" s="11"/>
    </row>
    <row r="1127" spans="1:31" x14ac:dyDescent="0.25">
      <c r="A1127" s="18" t="s">
        <v>2</v>
      </c>
      <c r="B1127" s="21">
        <v>45813</v>
      </c>
      <c r="C1127" s="8">
        <v>4820</v>
      </c>
      <c r="D1127" s="8">
        <v>6575</v>
      </c>
      <c r="E1127" s="8">
        <v>0</v>
      </c>
      <c r="F1127" s="8"/>
      <c r="G1127" s="8">
        <v>6785</v>
      </c>
      <c r="H1127" s="8">
        <v>6481</v>
      </c>
      <c r="I1127" s="8">
        <v>0</v>
      </c>
      <c r="J1127" s="2">
        <v>32.75</v>
      </c>
      <c r="K1127" s="23">
        <f t="shared" si="154"/>
        <v>41935.25</v>
      </c>
      <c r="L1127" s="23">
        <f t="shared" si="153"/>
        <v>6.1805821665438465</v>
      </c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AA1127" s="11"/>
      <c r="AB1127" s="11"/>
      <c r="AC1127" s="11"/>
      <c r="AD1127" s="11"/>
      <c r="AE1127" s="11"/>
    </row>
    <row r="1128" spans="1:31" x14ac:dyDescent="0.25">
      <c r="A1128" s="18" t="s">
        <v>2</v>
      </c>
      <c r="B1128" s="21">
        <v>45814</v>
      </c>
      <c r="C1128" s="7">
        <v>2986</v>
      </c>
      <c r="D1128" s="7">
        <v>3935</v>
      </c>
      <c r="E1128" s="7">
        <v>0</v>
      </c>
      <c r="F1128" s="7"/>
      <c r="G1128" s="7">
        <v>3977</v>
      </c>
      <c r="H1128" s="7">
        <v>3977</v>
      </c>
      <c r="I1128" s="7">
        <v>0</v>
      </c>
      <c r="J1128" s="2">
        <v>39.150001525878913</v>
      </c>
      <c r="K1128" s="23">
        <f t="shared" si="154"/>
        <v>25902.95</v>
      </c>
      <c r="L1128" s="23">
        <f t="shared" si="153"/>
        <v>6.5131883329142575</v>
      </c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AA1128" s="11"/>
      <c r="AB1128" s="11"/>
      <c r="AC1128" s="11"/>
      <c r="AD1128" s="11"/>
      <c r="AE1128" s="11"/>
    </row>
    <row r="1129" spans="1:31" x14ac:dyDescent="0.25">
      <c r="A1129" s="18" t="s">
        <v>2</v>
      </c>
      <c r="B1129" s="21">
        <v>45815</v>
      </c>
      <c r="C1129" s="7">
        <v>1563</v>
      </c>
      <c r="D1129" s="7">
        <v>1100</v>
      </c>
      <c r="E1129" s="7">
        <v>0</v>
      </c>
      <c r="F1129" s="7"/>
      <c r="G1129" s="7">
        <v>6785</v>
      </c>
      <c r="H1129" s="7">
        <v>6481</v>
      </c>
      <c r="I1129" s="7">
        <v>0</v>
      </c>
      <c r="J1129" s="2">
        <v>34.700000762939453</v>
      </c>
      <c r="K1129" s="23">
        <f t="shared" si="154"/>
        <v>13030.85</v>
      </c>
      <c r="L1129" s="23">
        <f t="shared" si="153"/>
        <v>1.9205379513633014</v>
      </c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AA1129" s="11"/>
      <c r="AB1129" s="11"/>
      <c r="AC1129" s="11"/>
      <c r="AD1129" s="11"/>
      <c r="AE1129" s="11"/>
    </row>
    <row r="1130" spans="1:31" x14ac:dyDescent="0.25">
      <c r="A1130" s="18" t="s">
        <v>2</v>
      </c>
      <c r="B1130" s="21">
        <v>45816</v>
      </c>
      <c r="C1130" s="7">
        <v>1400</v>
      </c>
      <c r="D1130" s="7">
        <v>1000</v>
      </c>
      <c r="E1130" s="7">
        <v>0</v>
      </c>
      <c r="F1130" s="7"/>
      <c r="G1130" s="7">
        <v>3897.4143292682929</v>
      </c>
      <c r="H1130" s="7">
        <v>3754.4500000000003</v>
      </c>
      <c r="I1130" s="7">
        <v>0</v>
      </c>
      <c r="J1130" s="2">
        <v>32.799999237060547</v>
      </c>
      <c r="K1130" s="23">
        <f t="shared" si="154"/>
        <v>11680</v>
      </c>
      <c r="L1130" s="23">
        <f t="shared" si="153"/>
        <v>2.996858689692564</v>
      </c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AA1130" s="11"/>
      <c r="AB1130" s="11"/>
      <c r="AC1130" s="11"/>
      <c r="AD1130" s="11"/>
      <c r="AE1130" s="11"/>
    </row>
    <row r="1131" spans="1:31" x14ac:dyDescent="0.25">
      <c r="A1131" s="18" t="s">
        <v>2</v>
      </c>
      <c r="B1131" s="21">
        <v>45817</v>
      </c>
      <c r="C1131" s="7">
        <v>3917</v>
      </c>
      <c r="D1131" s="7">
        <v>3278</v>
      </c>
      <c r="E1131" s="7">
        <v>0</v>
      </c>
      <c r="F1131" s="7"/>
      <c r="G1131" s="7">
        <v>930</v>
      </c>
      <c r="H1131" s="7">
        <v>2609</v>
      </c>
      <c r="I1131" s="7">
        <v>0</v>
      </c>
      <c r="J1131" s="2">
        <v>27.85000038146973</v>
      </c>
      <c r="K1131" s="23">
        <f t="shared" si="154"/>
        <v>32943.050000000003</v>
      </c>
      <c r="L1131" s="23">
        <f t="shared" si="153"/>
        <v>35.422634408602157</v>
      </c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AA1131" s="11"/>
      <c r="AB1131" s="11"/>
      <c r="AC1131" s="11"/>
      <c r="AD1131" s="11"/>
      <c r="AE1131" s="11"/>
    </row>
    <row r="1132" spans="1:31" x14ac:dyDescent="0.25">
      <c r="A1132" s="18" t="s">
        <v>2</v>
      </c>
      <c r="B1132" s="21">
        <v>45818</v>
      </c>
      <c r="C1132" s="8">
        <v>2638</v>
      </c>
      <c r="D1132" s="8">
        <v>3263</v>
      </c>
      <c r="E1132" s="8">
        <v>0</v>
      </c>
      <c r="F1132" s="8"/>
      <c r="G1132" s="8">
        <v>4036</v>
      </c>
      <c r="H1132" s="8">
        <v>3113</v>
      </c>
      <c r="I1132" s="8">
        <v>0</v>
      </c>
      <c r="J1132" s="2">
        <v>30.04999923706055</v>
      </c>
      <c r="K1132" s="23">
        <f t="shared" si="154"/>
        <v>22766.750000000004</v>
      </c>
      <c r="L1132" s="23">
        <f t="shared" si="153"/>
        <v>5.6409192269573847</v>
      </c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AA1132" s="11"/>
      <c r="AB1132" s="11"/>
      <c r="AC1132" s="11"/>
      <c r="AD1132" s="11"/>
      <c r="AE1132" s="11"/>
    </row>
    <row r="1133" spans="1:31" x14ac:dyDescent="0.25">
      <c r="A1133" s="18" t="s">
        <v>2</v>
      </c>
      <c r="B1133" s="21">
        <v>45819</v>
      </c>
      <c r="C1133" s="7">
        <v>3208</v>
      </c>
      <c r="D1133" s="7">
        <v>1000</v>
      </c>
      <c r="E1133" s="7">
        <v>2350</v>
      </c>
      <c r="F1133" s="7"/>
      <c r="G1133" s="7">
        <v>4005</v>
      </c>
      <c r="H1133" s="7">
        <v>510</v>
      </c>
      <c r="I1133" s="7">
        <v>17670</v>
      </c>
      <c r="J1133" s="2">
        <v>30.5</v>
      </c>
      <c r="K1133" s="23">
        <f t="shared" si="154"/>
        <v>44618.600000000006</v>
      </c>
      <c r="L1133" s="23">
        <f t="shared" si="153"/>
        <v>11.140724094881399</v>
      </c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AA1133" s="11"/>
      <c r="AB1133" s="11"/>
      <c r="AC1133" s="11"/>
      <c r="AD1133" s="11"/>
      <c r="AE1133" s="11"/>
    </row>
    <row r="1134" spans="1:31" x14ac:dyDescent="0.25">
      <c r="A1134" s="18" t="s">
        <v>2</v>
      </c>
      <c r="B1134" s="21">
        <v>45820</v>
      </c>
      <c r="C1134" s="7">
        <v>4129</v>
      </c>
      <c r="D1134" s="7">
        <v>5135</v>
      </c>
      <c r="E1134" s="7">
        <v>0</v>
      </c>
      <c r="F1134" s="7"/>
      <c r="G1134" s="7">
        <v>5274</v>
      </c>
      <c r="H1134" s="7">
        <v>5274</v>
      </c>
      <c r="I1134" s="7">
        <v>0</v>
      </c>
      <c r="J1134" s="2">
        <v>30.04999923706055</v>
      </c>
      <c r="K1134" s="23">
        <f t="shared" si="154"/>
        <v>35649.800000000003</v>
      </c>
      <c r="L1134" s="23">
        <f t="shared" si="153"/>
        <v>6.7595373530527123</v>
      </c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AA1134" s="11"/>
      <c r="AB1134" s="11"/>
      <c r="AC1134" s="11"/>
      <c r="AD1134" s="11"/>
      <c r="AE1134" s="11"/>
    </row>
    <row r="1135" spans="1:31" x14ac:dyDescent="0.25">
      <c r="A1135" s="18" t="s">
        <v>2</v>
      </c>
      <c r="B1135" s="21">
        <v>45821</v>
      </c>
      <c r="C1135" s="7">
        <v>3934</v>
      </c>
      <c r="D1135" s="7">
        <v>4815</v>
      </c>
      <c r="E1135" s="7">
        <v>6000</v>
      </c>
      <c r="F1135" s="7"/>
      <c r="G1135" s="7">
        <v>4003</v>
      </c>
      <c r="H1135" s="7">
        <v>4747</v>
      </c>
      <c r="I1135" s="7">
        <v>32825</v>
      </c>
      <c r="J1135" s="2">
        <v>29.85000038146973</v>
      </c>
      <c r="K1135" s="23">
        <f t="shared" si="154"/>
        <v>81323.55</v>
      </c>
      <c r="L1135" s="23">
        <f t="shared" si="153"/>
        <v>20.315650761928556</v>
      </c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AA1135" s="11"/>
      <c r="AB1135" s="11"/>
      <c r="AC1135" s="11"/>
      <c r="AD1135" s="11"/>
      <c r="AE1135" s="11"/>
    </row>
    <row r="1136" spans="1:31" x14ac:dyDescent="0.25">
      <c r="A1136" s="18" t="s">
        <v>2</v>
      </c>
      <c r="B1136" s="21">
        <v>45822</v>
      </c>
      <c r="C1136" s="7">
        <v>3206</v>
      </c>
      <c r="D1136" s="7">
        <v>1238</v>
      </c>
      <c r="E1136" s="7">
        <v>0</v>
      </c>
      <c r="F1136" s="7"/>
      <c r="G1136" s="7">
        <v>3240</v>
      </c>
      <c r="H1136" s="7">
        <v>1289</v>
      </c>
      <c r="I1136" s="7">
        <v>0</v>
      </c>
      <c r="J1136" s="2">
        <v>35.75</v>
      </c>
      <c r="K1136" s="23">
        <f t="shared" si="154"/>
        <v>26168.600000000002</v>
      </c>
      <c r="L1136" s="23">
        <f t="shared" si="153"/>
        <v>8.0767283950617283</v>
      </c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AA1136" s="11"/>
      <c r="AB1136" s="11"/>
      <c r="AC1136" s="11"/>
      <c r="AD1136" s="11"/>
      <c r="AE1136" s="11"/>
    </row>
    <row r="1137" spans="1:31" x14ac:dyDescent="0.25">
      <c r="A1137" s="18" t="s">
        <v>2</v>
      </c>
      <c r="B1137" s="21">
        <v>45823</v>
      </c>
      <c r="C1137" s="8">
        <v>3953</v>
      </c>
      <c r="D1137" s="8">
        <v>900</v>
      </c>
      <c r="E1137" s="8">
        <v>0</v>
      </c>
      <c r="F1137" s="8"/>
      <c r="G1137" s="8">
        <v>3899</v>
      </c>
      <c r="H1137" s="8">
        <v>0</v>
      </c>
      <c r="I1137" s="8">
        <v>0</v>
      </c>
      <c r="J1137" s="2">
        <v>36.099998474121087</v>
      </c>
      <c r="K1137" s="23">
        <f t="shared" si="154"/>
        <v>31921.350000000002</v>
      </c>
      <c r="L1137" s="23">
        <f t="shared" si="153"/>
        <v>8.1870607848166195</v>
      </c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AA1137" s="11"/>
      <c r="AB1137" s="11"/>
      <c r="AC1137" s="11"/>
      <c r="AD1137" s="11"/>
      <c r="AE1137" s="11"/>
    </row>
    <row r="1138" spans="1:31" x14ac:dyDescent="0.25">
      <c r="A1138" s="18" t="s">
        <v>2</v>
      </c>
      <c r="B1138" s="21">
        <v>45824</v>
      </c>
      <c r="C1138" s="7">
        <v>2900</v>
      </c>
      <c r="D1138" s="7">
        <v>4319</v>
      </c>
      <c r="E1138" s="7">
        <v>7250</v>
      </c>
      <c r="F1138" s="7"/>
      <c r="G1138" s="7">
        <v>3165</v>
      </c>
      <c r="H1138" s="7">
        <v>2295</v>
      </c>
      <c r="I1138" s="7">
        <v>40176</v>
      </c>
      <c r="J1138" s="2">
        <v>37.599998474121087</v>
      </c>
      <c r="K1138" s="23">
        <f t="shared" si="154"/>
        <v>82705.45</v>
      </c>
      <c r="L1138" s="23">
        <f t="shared" si="153"/>
        <v>26.131263823064771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AA1138" s="11"/>
      <c r="AB1138" s="11"/>
      <c r="AC1138" s="11"/>
      <c r="AD1138" s="11"/>
      <c r="AE1138" s="11"/>
    </row>
    <row r="1139" spans="1:31" x14ac:dyDescent="0.25">
      <c r="A1139" s="18" t="s">
        <v>2</v>
      </c>
      <c r="B1139" s="21">
        <v>45825</v>
      </c>
      <c r="C1139" s="7">
        <v>3485</v>
      </c>
      <c r="D1139" s="7">
        <v>4607</v>
      </c>
      <c r="E1139" s="7">
        <v>0</v>
      </c>
      <c r="F1139" s="7"/>
      <c r="G1139" s="7">
        <v>4380</v>
      </c>
      <c r="H1139" s="7">
        <v>2430</v>
      </c>
      <c r="I1139" s="7">
        <v>0</v>
      </c>
      <c r="J1139" s="2">
        <v>39.599998474121087</v>
      </c>
      <c r="K1139" s="23">
        <f t="shared" si="154"/>
        <v>30239.599999999999</v>
      </c>
      <c r="L1139" s="23">
        <f t="shared" si="153"/>
        <v>6.9040182648401824</v>
      </c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AA1139" s="11"/>
      <c r="AB1139" s="11"/>
      <c r="AC1139" s="11"/>
      <c r="AD1139" s="11"/>
      <c r="AE1139" s="11"/>
    </row>
    <row r="1140" spans="1:31" x14ac:dyDescent="0.25">
      <c r="A1140" s="18" t="s">
        <v>2</v>
      </c>
      <c r="B1140" s="21">
        <v>45826</v>
      </c>
      <c r="C1140" s="7">
        <v>2374</v>
      </c>
      <c r="D1140" s="7">
        <v>4948</v>
      </c>
      <c r="E1140" s="7">
        <v>7475</v>
      </c>
      <c r="F1140" s="7"/>
      <c r="G1140" s="7">
        <v>4545</v>
      </c>
      <c r="H1140" s="7">
        <v>2610</v>
      </c>
      <c r="I1140" s="7">
        <v>46368</v>
      </c>
      <c r="J1140" s="2">
        <v>42.150001525878913</v>
      </c>
      <c r="K1140" s="23">
        <f t="shared" si="154"/>
        <v>80647.199999999997</v>
      </c>
      <c r="L1140" s="23">
        <f t="shared" si="153"/>
        <v>17.744158415841582</v>
      </c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AA1140" s="11"/>
      <c r="AB1140" s="11"/>
      <c r="AC1140" s="11"/>
      <c r="AD1140" s="11"/>
      <c r="AE1140" s="11"/>
    </row>
    <row r="1141" spans="1:31" x14ac:dyDescent="0.25">
      <c r="A1141" s="18" t="s">
        <v>2</v>
      </c>
      <c r="B1141" s="21">
        <v>45827</v>
      </c>
      <c r="C1141" s="7">
        <v>1620</v>
      </c>
      <c r="D1141" s="7">
        <v>5370</v>
      </c>
      <c r="E1141" s="7">
        <v>0</v>
      </c>
      <c r="F1141" s="7"/>
      <c r="G1141" s="7">
        <v>5205</v>
      </c>
      <c r="H1141" s="7">
        <v>2880</v>
      </c>
      <c r="I1141" s="7">
        <v>0</v>
      </c>
      <c r="J1141" s="2">
        <v>38.299999237060547</v>
      </c>
      <c r="K1141" s="23">
        <f t="shared" si="154"/>
        <v>15832.5</v>
      </c>
      <c r="L1141" s="23">
        <f t="shared" si="153"/>
        <v>3.0417867435158503</v>
      </c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AA1141" s="11"/>
      <c r="AB1141" s="11"/>
      <c r="AC1141" s="11"/>
      <c r="AD1141" s="11"/>
      <c r="AE1141" s="11"/>
    </row>
    <row r="1142" spans="1:31" x14ac:dyDescent="0.25">
      <c r="A1142" s="18" t="s">
        <v>2</v>
      </c>
      <c r="B1142" s="21">
        <v>45828</v>
      </c>
      <c r="C1142" s="8">
        <v>1909</v>
      </c>
      <c r="D1142" s="8">
        <v>4442</v>
      </c>
      <c r="E1142" s="8">
        <v>0</v>
      </c>
      <c r="F1142" s="8"/>
      <c r="G1142" s="8">
        <v>5205</v>
      </c>
      <c r="H1142" s="8">
        <v>2010</v>
      </c>
      <c r="I1142" s="8">
        <v>0</v>
      </c>
      <c r="J1142" s="2">
        <v>33.200000762939453</v>
      </c>
      <c r="K1142" s="23">
        <f t="shared" si="154"/>
        <v>17619.650000000001</v>
      </c>
      <c r="L1142" s="23">
        <f t="shared" si="153"/>
        <v>3.3851392891450529</v>
      </c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AA1142" s="11"/>
      <c r="AB1142" s="11"/>
      <c r="AC1142" s="11"/>
      <c r="AD1142" s="11"/>
      <c r="AE1142" s="11"/>
    </row>
    <row r="1143" spans="1:31" x14ac:dyDescent="0.25">
      <c r="A1143" s="18" t="s">
        <v>2</v>
      </c>
      <c r="B1143" s="21">
        <v>45829</v>
      </c>
      <c r="C1143" s="7">
        <v>1250</v>
      </c>
      <c r="D1143" s="7">
        <v>3006</v>
      </c>
      <c r="E1143" s="7">
        <v>7350</v>
      </c>
      <c r="F1143" s="7"/>
      <c r="G1143" s="7">
        <v>5320</v>
      </c>
      <c r="H1143" s="7">
        <v>1485</v>
      </c>
      <c r="I1143" s="7">
        <v>45345.599999999999</v>
      </c>
      <c r="J1143" s="2">
        <v>32.349998474121087</v>
      </c>
      <c r="K1143" s="23">
        <f t="shared" si="154"/>
        <v>69655.8</v>
      </c>
      <c r="L1143" s="23">
        <f t="shared" si="153"/>
        <v>13.093195488721806</v>
      </c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AA1143" s="11"/>
      <c r="AB1143" s="11"/>
      <c r="AC1143" s="11"/>
      <c r="AD1143" s="11"/>
      <c r="AE1143" s="11"/>
    </row>
    <row r="1144" spans="1:31" x14ac:dyDescent="0.25">
      <c r="A1144" s="18" t="s">
        <v>2</v>
      </c>
      <c r="B1144" s="21">
        <v>45830</v>
      </c>
      <c r="C1144" s="7">
        <v>3314</v>
      </c>
      <c r="D1144" s="7">
        <v>1321</v>
      </c>
      <c r="E1144" s="7">
        <v>0</v>
      </c>
      <c r="F1144" s="7"/>
      <c r="G1144" s="7">
        <v>968</v>
      </c>
      <c r="H1144" s="7">
        <v>525</v>
      </c>
      <c r="I1144" s="7">
        <v>0</v>
      </c>
      <c r="J1144" s="2">
        <v>30.75</v>
      </c>
      <c r="K1144" s="23">
        <f t="shared" si="154"/>
        <v>27072.85</v>
      </c>
      <c r="L1144" s="23">
        <f t="shared" si="153"/>
        <v>27.967820247933883</v>
      </c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AA1144" s="11"/>
      <c r="AB1144" s="11"/>
      <c r="AC1144" s="11"/>
      <c r="AD1144" s="11"/>
      <c r="AE1144" s="11"/>
    </row>
    <row r="1145" spans="1:31" x14ac:dyDescent="0.25">
      <c r="A1145" s="18" t="s">
        <v>2</v>
      </c>
      <c r="B1145" s="21">
        <v>45831</v>
      </c>
      <c r="C1145" s="7">
        <v>4329</v>
      </c>
      <c r="D1145" s="7">
        <v>4777</v>
      </c>
      <c r="E1145" s="7">
        <v>3000</v>
      </c>
      <c r="F1145" s="7"/>
      <c r="G1145" s="7">
        <v>3540</v>
      </c>
      <c r="H1145" s="7">
        <v>3120</v>
      </c>
      <c r="I1145" s="7">
        <v>16500</v>
      </c>
      <c r="J1145" s="2">
        <v>30.5</v>
      </c>
      <c r="K1145" s="23">
        <f t="shared" si="154"/>
        <v>60742.9</v>
      </c>
      <c r="L1145" s="23">
        <f t="shared" si="153"/>
        <v>17.159011299435029</v>
      </c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AA1145" s="11"/>
      <c r="AB1145" s="11"/>
      <c r="AC1145" s="11"/>
      <c r="AD1145" s="11"/>
      <c r="AE1145" s="11"/>
    </row>
    <row r="1146" spans="1:31" x14ac:dyDescent="0.25">
      <c r="A1146" s="18" t="s">
        <v>2</v>
      </c>
      <c r="B1146" s="21">
        <v>45832</v>
      </c>
      <c r="C1146" s="7">
        <v>4154</v>
      </c>
      <c r="D1146" s="7">
        <v>5591</v>
      </c>
      <c r="E1146" s="7">
        <v>0</v>
      </c>
      <c r="F1146" s="7"/>
      <c r="G1146" s="7">
        <v>4990</v>
      </c>
      <c r="H1146" s="7">
        <v>3510</v>
      </c>
      <c r="I1146" s="7">
        <v>0</v>
      </c>
      <c r="J1146" s="2">
        <v>33</v>
      </c>
      <c r="K1146" s="23">
        <f t="shared" si="154"/>
        <v>36099.350000000006</v>
      </c>
      <c r="L1146" s="23">
        <f t="shared" si="153"/>
        <v>7.2343386773547103</v>
      </c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AA1146" s="11"/>
      <c r="AB1146" s="11"/>
      <c r="AC1146" s="11"/>
      <c r="AD1146" s="11"/>
      <c r="AE1146" s="11"/>
    </row>
    <row r="1147" spans="1:31" x14ac:dyDescent="0.25">
      <c r="A1147" s="18" t="s">
        <v>2</v>
      </c>
      <c r="B1147" s="21">
        <v>45833</v>
      </c>
      <c r="C1147" s="8">
        <v>4082</v>
      </c>
      <c r="D1147" s="8">
        <v>4801</v>
      </c>
      <c r="E1147" s="8">
        <v>3050</v>
      </c>
      <c r="F1147" s="8"/>
      <c r="G1147" s="8">
        <v>3960</v>
      </c>
      <c r="H1147" s="8">
        <v>3675</v>
      </c>
      <c r="I1147" s="8">
        <v>16224</v>
      </c>
      <c r="J1147" s="2">
        <v>38.150001525878913</v>
      </c>
      <c r="K1147" s="23">
        <f t="shared" si="154"/>
        <v>59187.450000000004</v>
      </c>
      <c r="L1147" s="23">
        <f t="shared" si="153"/>
        <v>14.946325757575758</v>
      </c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AA1147" s="11"/>
      <c r="AB1147" s="11"/>
      <c r="AC1147" s="11"/>
      <c r="AD1147" s="11"/>
      <c r="AE1147" s="11"/>
    </row>
    <row r="1148" spans="1:31" x14ac:dyDescent="0.25">
      <c r="A1148" s="18" t="s">
        <v>2</v>
      </c>
      <c r="B1148" s="21">
        <v>45834</v>
      </c>
      <c r="C1148" s="7">
        <v>4373</v>
      </c>
      <c r="D1148" s="7">
        <v>6403</v>
      </c>
      <c r="E1148" s="7">
        <v>0</v>
      </c>
      <c r="F1148" s="7"/>
      <c r="G1148" s="7">
        <v>2535</v>
      </c>
      <c r="H1148" s="7">
        <v>5160</v>
      </c>
      <c r="I1148" s="7">
        <v>0</v>
      </c>
      <c r="J1148" s="2">
        <v>42.950000762939453</v>
      </c>
      <c r="K1148" s="23">
        <f t="shared" si="154"/>
        <v>38287</v>
      </c>
      <c r="L1148" s="23">
        <f t="shared" si="153"/>
        <v>15.103353057199211</v>
      </c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AA1148" s="11"/>
      <c r="AB1148" s="11"/>
      <c r="AC1148" s="11"/>
      <c r="AD1148" s="11"/>
      <c r="AE1148" s="11"/>
    </row>
    <row r="1149" spans="1:31" x14ac:dyDescent="0.25">
      <c r="A1149" s="18" t="s">
        <v>2</v>
      </c>
      <c r="B1149" s="21">
        <v>45835</v>
      </c>
      <c r="C1149" s="7">
        <v>3700</v>
      </c>
      <c r="D1149" s="7">
        <v>5768</v>
      </c>
      <c r="E1149" s="7">
        <v>0</v>
      </c>
      <c r="F1149" s="7"/>
      <c r="G1149" s="7">
        <v>3765</v>
      </c>
      <c r="H1149" s="7">
        <v>3885</v>
      </c>
      <c r="I1149" s="7">
        <v>0</v>
      </c>
      <c r="J1149" s="2">
        <v>43.950000762939453</v>
      </c>
      <c r="K1149" s="23">
        <f t="shared" si="154"/>
        <v>32587.4</v>
      </c>
      <c r="L1149" s="23">
        <f t="shared" si="153"/>
        <v>8.6553519256308107</v>
      </c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AA1149" s="11"/>
      <c r="AB1149" s="11"/>
      <c r="AC1149" s="11"/>
      <c r="AD1149" s="11"/>
      <c r="AE1149" s="11"/>
    </row>
    <row r="1150" spans="1:31" x14ac:dyDescent="0.25">
      <c r="A1150" s="18" t="s">
        <v>2</v>
      </c>
      <c r="B1150" s="21">
        <v>45836</v>
      </c>
      <c r="C1150" s="7">
        <v>2809</v>
      </c>
      <c r="D1150" s="7">
        <v>851</v>
      </c>
      <c r="E1150" s="7">
        <v>0</v>
      </c>
      <c r="F1150" s="7"/>
      <c r="G1150" s="7">
        <v>3675</v>
      </c>
      <c r="H1150" s="7">
        <v>270</v>
      </c>
      <c r="I1150" s="7">
        <v>0</v>
      </c>
      <c r="J1150" s="2">
        <v>44.25</v>
      </c>
      <c r="K1150" s="23">
        <f t="shared" si="154"/>
        <v>22799.599999999999</v>
      </c>
      <c r="L1150" s="23">
        <f t="shared" si="153"/>
        <v>6.203972789115646</v>
      </c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AA1150" s="11"/>
      <c r="AB1150" s="11"/>
      <c r="AC1150" s="11"/>
      <c r="AD1150" s="11"/>
      <c r="AE1150" s="11"/>
    </row>
    <row r="1151" spans="1:31" x14ac:dyDescent="0.25">
      <c r="A1151" s="18" t="s">
        <v>2</v>
      </c>
      <c r="B1151" s="21">
        <v>45837</v>
      </c>
      <c r="C1151" s="7">
        <v>1910</v>
      </c>
      <c r="D1151" s="7">
        <v>1000</v>
      </c>
      <c r="E1151" s="7">
        <v>0</v>
      </c>
      <c r="F1151" s="7"/>
      <c r="G1151" s="7">
        <v>795</v>
      </c>
      <c r="H1151" s="7">
        <v>0</v>
      </c>
      <c r="I1151" s="7">
        <v>0</v>
      </c>
      <c r="J1151" s="2">
        <v>43</v>
      </c>
      <c r="K1151" s="23">
        <f t="shared" si="154"/>
        <v>15734.5</v>
      </c>
      <c r="L1151" s="23">
        <f t="shared" si="153"/>
        <v>19.791823899371071</v>
      </c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AA1151" s="11"/>
      <c r="AB1151" s="11"/>
      <c r="AC1151" s="11"/>
      <c r="AD1151" s="11"/>
      <c r="AE1151" s="11"/>
    </row>
    <row r="1152" spans="1:31" x14ac:dyDescent="0.25">
      <c r="A1152" s="18" t="s">
        <v>2</v>
      </c>
      <c r="B1152" s="21">
        <v>45838</v>
      </c>
      <c r="C1152" s="7">
        <v>2515</v>
      </c>
      <c r="D1152" s="7">
        <v>2353</v>
      </c>
      <c r="E1152" s="7">
        <v>3475</v>
      </c>
      <c r="F1152" s="7"/>
      <c r="G1152" s="7">
        <v>2370</v>
      </c>
      <c r="H1152" s="7">
        <v>660</v>
      </c>
      <c r="I1152" s="7">
        <v>18750</v>
      </c>
      <c r="J1152" s="2">
        <v>38.299999237060547</v>
      </c>
      <c r="K1152" s="23">
        <f t="shared" si="154"/>
        <v>48740.9</v>
      </c>
      <c r="L1152" s="23">
        <f t="shared" si="153"/>
        <v>20.565780590717299</v>
      </c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AA1152" s="11"/>
      <c r="AB1152" s="11"/>
      <c r="AC1152" s="11"/>
      <c r="AD1152" s="11"/>
      <c r="AE1152" s="11"/>
    </row>
    <row r="1153" spans="1:31" x14ac:dyDescent="0.25">
      <c r="A1153" s="18" t="s">
        <v>2</v>
      </c>
      <c r="B1153" s="21">
        <v>45839</v>
      </c>
      <c r="C1153" s="7">
        <v>3648</v>
      </c>
      <c r="D1153" s="7">
        <v>2572</v>
      </c>
      <c r="E1153" s="7">
        <v>0</v>
      </c>
      <c r="F1153" s="7"/>
      <c r="G1153" s="7">
        <v>3272</v>
      </c>
      <c r="H1153" s="7">
        <v>1688</v>
      </c>
      <c r="I1153" s="7">
        <v>0</v>
      </c>
      <c r="J1153" s="2">
        <v>35.25</v>
      </c>
      <c r="K1153" s="23">
        <f>C1153*8.051+D1153*0.55+E1153*8+F1153*5</f>
        <v>30784.647999999997</v>
      </c>
      <c r="L1153" s="23">
        <f t="shared" si="153"/>
        <v>9.4085110024449872</v>
      </c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AA1153" s="11"/>
      <c r="AB1153" s="11"/>
      <c r="AC1153" s="11"/>
      <c r="AD1153" s="11"/>
      <c r="AE1153" s="11"/>
    </row>
    <row r="1154" spans="1:31" x14ac:dyDescent="0.25">
      <c r="A1154" s="18" t="s">
        <v>2</v>
      </c>
      <c r="B1154" s="21">
        <v>45840</v>
      </c>
      <c r="C1154" s="7">
        <v>4136</v>
      </c>
      <c r="D1154" s="7">
        <v>5463</v>
      </c>
      <c r="E1154" s="7">
        <v>3100</v>
      </c>
      <c r="F1154" s="7"/>
      <c r="G1154" s="7">
        <v>2628.4966507177032</v>
      </c>
      <c r="H1154" s="7">
        <v>3952.2000000000003</v>
      </c>
      <c r="I1154" s="7">
        <v>17136</v>
      </c>
      <c r="J1154" s="2">
        <v>36.75</v>
      </c>
      <c r="K1154" s="23">
        <f t="shared" ref="K1154:K1183" si="155">C1154*8.051+D1154*0.55+E1154*8+F1154*5</f>
        <v>61103.586000000003</v>
      </c>
      <c r="L1154" s="23">
        <f t="shared" si="153"/>
        <v>23.246590777780085</v>
      </c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AA1154" s="11"/>
      <c r="AB1154" s="11"/>
      <c r="AC1154" s="11"/>
      <c r="AD1154" s="11"/>
      <c r="AE1154" s="11"/>
    </row>
    <row r="1155" spans="1:31" x14ac:dyDescent="0.25">
      <c r="A1155" s="18" t="s">
        <v>2</v>
      </c>
      <c r="B1155" s="21">
        <v>45841</v>
      </c>
      <c r="C1155" s="7">
        <v>3523</v>
      </c>
      <c r="D1155" s="7">
        <v>5593</v>
      </c>
      <c r="E1155" s="7">
        <v>0</v>
      </c>
      <c r="F1155" s="7"/>
      <c r="G1155" s="7">
        <v>4680</v>
      </c>
      <c r="H1155" s="7">
        <v>3861</v>
      </c>
      <c r="I1155" s="7">
        <v>0</v>
      </c>
      <c r="J1155" s="2">
        <v>36.150001525878913</v>
      </c>
      <c r="K1155" s="23">
        <f t="shared" si="155"/>
        <v>31439.823</v>
      </c>
      <c r="L1155" s="23">
        <f t="shared" si="153"/>
        <v>6.7179108974358979</v>
      </c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AA1155" s="11"/>
      <c r="AB1155" s="11"/>
      <c r="AC1155" s="11"/>
      <c r="AD1155" s="11"/>
      <c r="AE1155" s="11"/>
    </row>
    <row r="1156" spans="1:31" x14ac:dyDescent="0.25">
      <c r="A1156" s="18" t="s">
        <v>2</v>
      </c>
      <c r="B1156" s="21">
        <v>45842</v>
      </c>
      <c r="C1156" s="7">
        <v>3547</v>
      </c>
      <c r="D1156" s="7">
        <v>4938</v>
      </c>
      <c r="E1156" s="7">
        <v>0</v>
      </c>
      <c r="F1156" s="7"/>
      <c r="G1156" s="7">
        <v>3511.4915254237285</v>
      </c>
      <c r="H1156" s="7">
        <v>3626.9999999999995</v>
      </c>
      <c r="I1156" s="7">
        <v>0</v>
      </c>
      <c r="J1156" s="2">
        <v>34</v>
      </c>
      <c r="K1156" s="23">
        <f t="shared" si="155"/>
        <v>31272.797000000002</v>
      </c>
      <c r="L1156" s="23">
        <f t="shared" si="153"/>
        <v>8.9058443608877411</v>
      </c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AA1156" s="11"/>
      <c r="AB1156" s="11"/>
      <c r="AC1156" s="11"/>
      <c r="AD1156" s="11"/>
      <c r="AE1156" s="11"/>
    </row>
    <row r="1157" spans="1:31" x14ac:dyDescent="0.25">
      <c r="A1157" s="18" t="s">
        <v>2</v>
      </c>
      <c r="B1157" s="21">
        <v>45843</v>
      </c>
      <c r="C1157" s="8">
        <v>3599</v>
      </c>
      <c r="D1157" s="8">
        <v>5066</v>
      </c>
      <c r="E1157" s="8">
        <v>4225</v>
      </c>
      <c r="F1157" s="8"/>
      <c r="G1157" s="8">
        <v>3286.86</v>
      </c>
      <c r="H1157" s="8">
        <v>4971.8999999999996</v>
      </c>
      <c r="I1157" s="8">
        <v>22680</v>
      </c>
      <c r="J1157" s="2">
        <v>33.049999237060547</v>
      </c>
      <c r="K1157" s="23">
        <f t="shared" si="155"/>
        <v>65561.849000000002</v>
      </c>
      <c r="L1157" s="23">
        <f t="shared" si="153"/>
        <v>19.946650906944623</v>
      </c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AA1157" s="11"/>
      <c r="AB1157" s="11"/>
      <c r="AC1157" s="11"/>
      <c r="AD1157" s="11"/>
      <c r="AE1157" s="11"/>
    </row>
    <row r="1158" spans="1:31" x14ac:dyDescent="0.25">
      <c r="A1158" s="18" t="s">
        <v>2</v>
      </c>
      <c r="B1158" s="21">
        <v>45844</v>
      </c>
      <c r="C1158" s="7">
        <v>3493</v>
      </c>
      <c r="D1158" s="7">
        <v>1541</v>
      </c>
      <c r="E1158" s="7">
        <v>0</v>
      </c>
      <c r="F1158" s="7"/>
      <c r="G1158" s="7">
        <v>704.52</v>
      </c>
      <c r="H1158" s="7">
        <v>1056.78</v>
      </c>
      <c r="I1158" s="7">
        <v>0</v>
      </c>
      <c r="J1158" s="2">
        <v>33.849998474121087</v>
      </c>
      <c r="K1158" s="23">
        <f t="shared" si="155"/>
        <v>28969.692999999999</v>
      </c>
      <c r="L1158" s="23">
        <f t="shared" si="153"/>
        <v>41.119759552603192</v>
      </c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AA1158" s="11"/>
      <c r="AB1158" s="11"/>
      <c r="AC1158" s="11"/>
      <c r="AD1158" s="11"/>
      <c r="AE1158" s="11"/>
    </row>
    <row r="1159" spans="1:31" x14ac:dyDescent="0.25">
      <c r="A1159" s="18" t="s">
        <v>2</v>
      </c>
      <c r="B1159" s="21">
        <v>45845</v>
      </c>
      <c r="C1159" s="7">
        <v>3567</v>
      </c>
      <c r="D1159" s="7">
        <v>5389</v>
      </c>
      <c r="E1159" s="7">
        <v>4000</v>
      </c>
      <c r="F1159" s="7"/>
      <c r="G1159" s="7">
        <v>2788.5</v>
      </c>
      <c r="H1159" s="7">
        <v>5092.5</v>
      </c>
      <c r="I1159" s="7">
        <v>21708</v>
      </c>
      <c r="J1159" s="2">
        <v>35.650001525878913</v>
      </c>
      <c r="K1159" s="23">
        <f t="shared" si="155"/>
        <v>63681.866999999998</v>
      </c>
      <c r="L1159" s="23">
        <f t="shared" si="153"/>
        <v>22.837320064550834</v>
      </c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AA1159" s="11"/>
      <c r="AB1159" s="11"/>
      <c r="AC1159" s="11"/>
      <c r="AD1159" s="11"/>
      <c r="AE1159" s="11"/>
    </row>
    <row r="1160" spans="1:31" x14ac:dyDescent="0.25">
      <c r="A1160" s="18" t="s">
        <v>2</v>
      </c>
      <c r="B1160" s="21">
        <v>45846</v>
      </c>
      <c r="C1160" s="7">
        <v>3962</v>
      </c>
      <c r="D1160" s="7">
        <v>1442</v>
      </c>
      <c r="E1160" s="7">
        <v>0</v>
      </c>
      <c r="F1160" s="7"/>
      <c r="G1160" s="7">
        <v>4897.7</v>
      </c>
      <c r="H1160" s="7">
        <v>1866.78</v>
      </c>
      <c r="I1160" s="7">
        <v>0</v>
      </c>
      <c r="J1160" s="2">
        <v>36.900001525878913</v>
      </c>
      <c r="K1160" s="23">
        <f t="shared" si="155"/>
        <v>32691.162</v>
      </c>
      <c r="L1160" s="23">
        <f t="shared" si="153"/>
        <v>6.6747987831022728</v>
      </c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AA1160" s="11"/>
      <c r="AB1160" s="11"/>
      <c r="AC1160" s="11"/>
      <c r="AD1160" s="11"/>
      <c r="AE1160" s="11"/>
    </row>
    <row r="1161" spans="1:31" x14ac:dyDescent="0.25">
      <c r="A1161" s="18" t="s">
        <v>2</v>
      </c>
      <c r="B1161" s="21">
        <v>45847</v>
      </c>
      <c r="C1161" s="7">
        <v>5432</v>
      </c>
      <c r="D1161" s="7">
        <v>950</v>
      </c>
      <c r="E1161" s="7">
        <v>3375</v>
      </c>
      <c r="F1161" s="7"/>
      <c r="G1161" s="7">
        <v>4396</v>
      </c>
      <c r="H1161" s="7">
        <v>1005</v>
      </c>
      <c r="I1161" s="7">
        <v>20880</v>
      </c>
      <c r="J1161" s="2">
        <v>34.299999237060547</v>
      </c>
      <c r="K1161" s="23">
        <f t="shared" si="155"/>
        <v>71255.532000000007</v>
      </c>
      <c r="L1161" s="23">
        <f t="shared" ref="L1161:L1224" si="156">K1161/G1161</f>
        <v>16.209174704276617</v>
      </c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AA1161" s="11"/>
      <c r="AB1161" s="11"/>
      <c r="AC1161" s="11"/>
      <c r="AD1161" s="11"/>
      <c r="AE1161" s="11"/>
    </row>
    <row r="1162" spans="1:31" x14ac:dyDescent="0.25">
      <c r="A1162" s="18" t="s">
        <v>2</v>
      </c>
      <c r="B1162" s="21">
        <v>45848</v>
      </c>
      <c r="C1162" s="8">
        <v>4396</v>
      </c>
      <c r="D1162" s="8">
        <v>900</v>
      </c>
      <c r="E1162" s="8">
        <v>0</v>
      </c>
      <c r="F1162" s="8"/>
      <c r="G1162" s="8">
        <v>3918</v>
      </c>
      <c r="H1162" s="8">
        <v>1110</v>
      </c>
      <c r="I1162" s="8">
        <v>0</v>
      </c>
      <c r="J1162" s="2">
        <v>32.099998474121087</v>
      </c>
      <c r="K1162" s="23">
        <f t="shared" si="155"/>
        <v>35887.196000000004</v>
      </c>
      <c r="L1162" s="23">
        <f t="shared" si="156"/>
        <v>9.159570188871875</v>
      </c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AA1162" s="11"/>
      <c r="AB1162" s="11"/>
      <c r="AC1162" s="11"/>
      <c r="AD1162" s="11"/>
      <c r="AE1162" s="11"/>
    </row>
    <row r="1163" spans="1:31" x14ac:dyDescent="0.25">
      <c r="A1163" s="18" t="s">
        <v>2</v>
      </c>
      <c r="B1163" s="21">
        <v>45849</v>
      </c>
      <c r="C1163" s="7">
        <v>5126</v>
      </c>
      <c r="D1163" s="7">
        <v>1000</v>
      </c>
      <c r="E1163" s="7">
        <v>4725</v>
      </c>
      <c r="F1163" s="7"/>
      <c r="G1163" s="7">
        <v>4707</v>
      </c>
      <c r="H1163" s="7">
        <v>11</v>
      </c>
      <c r="I1163" s="7">
        <v>25536</v>
      </c>
      <c r="J1163" s="2">
        <v>30.54999923706055</v>
      </c>
      <c r="K1163" s="23">
        <f t="shared" si="155"/>
        <v>79619.426000000007</v>
      </c>
      <c r="L1163" s="23">
        <f t="shared" si="156"/>
        <v>16.915110686212024</v>
      </c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AA1163" s="11"/>
      <c r="AB1163" s="11"/>
      <c r="AC1163" s="11"/>
      <c r="AD1163" s="11"/>
      <c r="AE1163" s="11"/>
    </row>
    <row r="1164" spans="1:31" x14ac:dyDescent="0.25">
      <c r="A1164" s="18" t="s">
        <v>2</v>
      </c>
      <c r="B1164" s="21">
        <v>45850</v>
      </c>
      <c r="C1164" s="7">
        <v>5346</v>
      </c>
      <c r="D1164" s="7">
        <v>5044</v>
      </c>
      <c r="E1164" s="7">
        <v>0</v>
      </c>
      <c r="F1164" s="7"/>
      <c r="G1164" s="7">
        <v>6199.3395238095236</v>
      </c>
      <c r="H1164" s="7">
        <v>5447.45</v>
      </c>
      <c r="I1164" s="7">
        <v>0</v>
      </c>
      <c r="J1164" s="2">
        <v>30.54999923706055</v>
      </c>
      <c r="K1164" s="23">
        <f t="shared" si="155"/>
        <v>45814.845999999998</v>
      </c>
      <c r="L1164" s="23">
        <f t="shared" si="156"/>
        <v>7.3902785650053504</v>
      </c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AA1164" s="11"/>
      <c r="AB1164" s="11"/>
      <c r="AC1164" s="11"/>
      <c r="AD1164" s="11"/>
      <c r="AE1164" s="11"/>
    </row>
    <row r="1165" spans="1:31" x14ac:dyDescent="0.25">
      <c r="A1165" s="18" t="s">
        <v>2</v>
      </c>
      <c r="B1165" s="21">
        <v>45851</v>
      </c>
      <c r="C1165" s="7">
        <v>4780</v>
      </c>
      <c r="D1165" s="7">
        <v>1547</v>
      </c>
      <c r="E1165" s="7">
        <v>0</v>
      </c>
      <c r="F1165" s="7"/>
      <c r="G1165" s="7">
        <v>910</v>
      </c>
      <c r="H1165" s="7">
        <v>1365</v>
      </c>
      <c r="I1165" s="7">
        <v>0</v>
      </c>
      <c r="J1165" s="2">
        <v>35.5</v>
      </c>
      <c r="K1165" s="23">
        <f t="shared" si="155"/>
        <v>39334.629999999997</v>
      </c>
      <c r="L1165" s="23">
        <f t="shared" si="156"/>
        <v>43.224868131868128</v>
      </c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AA1165" s="11"/>
      <c r="AB1165" s="11"/>
      <c r="AC1165" s="11"/>
      <c r="AD1165" s="11"/>
      <c r="AE1165" s="11"/>
    </row>
    <row r="1166" spans="1:31" x14ac:dyDescent="0.25">
      <c r="A1166" s="18" t="s">
        <v>2</v>
      </c>
      <c r="B1166" s="21">
        <v>45852</v>
      </c>
      <c r="C1166" s="7">
        <v>2610</v>
      </c>
      <c r="D1166" s="7">
        <v>4773</v>
      </c>
      <c r="E1166" s="7">
        <v>5625</v>
      </c>
      <c r="F1166" s="7"/>
      <c r="G1166" s="7">
        <v>4412.679329608939</v>
      </c>
      <c r="H1166" s="7">
        <v>4730.8</v>
      </c>
      <c r="I1166" s="7">
        <v>29257</v>
      </c>
      <c r="J1166" s="2">
        <v>42.599998474121087</v>
      </c>
      <c r="K1166" s="23">
        <f t="shared" si="155"/>
        <v>68638.260000000009</v>
      </c>
      <c r="L1166" s="23">
        <f t="shared" si="156"/>
        <v>15.554780865094694</v>
      </c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AA1166" s="11"/>
      <c r="AB1166" s="11"/>
      <c r="AC1166" s="11"/>
      <c r="AD1166" s="11"/>
      <c r="AE1166" s="11"/>
    </row>
    <row r="1167" spans="1:31" x14ac:dyDescent="0.25">
      <c r="A1167" s="18" t="s">
        <v>2</v>
      </c>
      <c r="B1167" s="21">
        <v>45853</v>
      </c>
      <c r="C1167" s="8">
        <v>3825</v>
      </c>
      <c r="D1167" s="8">
        <v>6299</v>
      </c>
      <c r="E1167" s="8">
        <v>0</v>
      </c>
      <c r="F1167" s="8"/>
      <c r="G1167" s="8">
        <v>4505.0572580645166</v>
      </c>
      <c r="H1167" s="8">
        <v>6685.25</v>
      </c>
      <c r="I1167" s="8">
        <v>0</v>
      </c>
      <c r="J1167" s="2">
        <v>42.349998474121087</v>
      </c>
      <c r="K1167" s="23">
        <f t="shared" si="155"/>
        <v>34259.525000000001</v>
      </c>
      <c r="L1167" s="23">
        <f t="shared" si="156"/>
        <v>7.6046813697366273</v>
      </c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AA1167" s="11"/>
      <c r="AB1167" s="11"/>
      <c r="AC1167" s="11"/>
      <c r="AD1167" s="11"/>
      <c r="AE1167" s="11"/>
    </row>
    <row r="1168" spans="1:31" x14ac:dyDescent="0.25">
      <c r="A1168" s="18" t="s">
        <v>2</v>
      </c>
      <c r="B1168" s="21">
        <v>45854</v>
      </c>
      <c r="C1168" s="7">
        <v>2728</v>
      </c>
      <c r="D1168" s="7">
        <v>6484</v>
      </c>
      <c r="E1168" s="7">
        <v>5800</v>
      </c>
      <c r="F1168" s="7"/>
      <c r="G1168" s="7">
        <v>4515.9392857142866</v>
      </c>
      <c r="H1168" s="7">
        <v>7369.4000000000005</v>
      </c>
      <c r="I1168" s="7">
        <v>29988</v>
      </c>
      <c r="J1168" s="2">
        <v>40.400001525878913</v>
      </c>
      <c r="K1168" s="23">
        <f t="shared" si="155"/>
        <v>71929.328000000009</v>
      </c>
      <c r="L1168" s="23">
        <f t="shared" si="156"/>
        <v>15.927877557508602</v>
      </c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AA1168" s="11"/>
      <c r="AB1168" s="11"/>
      <c r="AC1168" s="11"/>
      <c r="AD1168" s="11"/>
      <c r="AE1168" s="11"/>
    </row>
    <row r="1169" spans="1:31" x14ac:dyDescent="0.25">
      <c r="A1169" s="18" t="s">
        <v>2</v>
      </c>
      <c r="B1169" s="21">
        <v>45855</v>
      </c>
      <c r="C1169" s="7">
        <v>3662</v>
      </c>
      <c r="D1169" s="7">
        <v>5740</v>
      </c>
      <c r="E1169" s="7">
        <v>0</v>
      </c>
      <c r="F1169" s="7"/>
      <c r="G1169" s="7">
        <v>4866.6489130434784</v>
      </c>
      <c r="H1169" s="7">
        <v>6340.1500000000005</v>
      </c>
      <c r="I1169" s="7">
        <v>0</v>
      </c>
      <c r="J1169" s="2">
        <v>35.25</v>
      </c>
      <c r="K1169" s="23">
        <f t="shared" si="155"/>
        <v>32639.761999999999</v>
      </c>
      <c r="L1169" s="23">
        <f t="shared" si="156"/>
        <v>6.706824877488013</v>
      </c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AA1169" s="11"/>
      <c r="AB1169" s="11"/>
      <c r="AC1169" s="11"/>
      <c r="AD1169" s="11"/>
      <c r="AE1169" s="11"/>
    </row>
    <row r="1170" spans="1:31" x14ac:dyDescent="0.25">
      <c r="A1170" s="18" t="s">
        <v>2</v>
      </c>
      <c r="B1170" s="21">
        <v>45856</v>
      </c>
      <c r="C1170" s="7">
        <v>2955</v>
      </c>
      <c r="D1170" s="7">
        <v>6637</v>
      </c>
      <c r="E1170" s="7">
        <v>6050</v>
      </c>
      <c r="F1170" s="7"/>
      <c r="G1170" s="7">
        <v>4173.1483388704319</v>
      </c>
      <c r="H1170" s="7">
        <v>7256.05</v>
      </c>
      <c r="I1170" s="7">
        <v>32918</v>
      </c>
      <c r="J1170" s="2">
        <v>33.450000762939453</v>
      </c>
      <c r="K1170" s="23">
        <f t="shared" si="155"/>
        <v>75841.054999999993</v>
      </c>
      <c r="L1170" s="23">
        <f t="shared" si="156"/>
        <v>18.173582351143619</v>
      </c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AA1170" s="11"/>
      <c r="AB1170" s="11"/>
      <c r="AC1170" s="11"/>
      <c r="AD1170" s="11"/>
      <c r="AE1170" s="11"/>
    </row>
    <row r="1171" spans="1:31" x14ac:dyDescent="0.25">
      <c r="A1171" s="18" t="s">
        <v>2</v>
      </c>
      <c r="B1171" s="21">
        <v>45857</v>
      </c>
      <c r="C1171" s="7">
        <v>3370</v>
      </c>
      <c r="D1171" s="7">
        <v>3396</v>
      </c>
      <c r="E1171" s="7">
        <v>0</v>
      </c>
      <c r="F1171" s="7"/>
      <c r="G1171" s="7">
        <v>4170.572222222223</v>
      </c>
      <c r="H1171" s="7">
        <v>3155.2000000000003</v>
      </c>
      <c r="I1171" s="7">
        <v>0</v>
      </c>
      <c r="J1171" s="2">
        <v>32.400001525878913</v>
      </c>
      <c r="K1171" s="23">
        <f t="shared" si="155"/>
        <v>28999.67</v>
      </c>
      <c r="L1171" s="23">
        <f t="shared" si="156"/>
        <v>6.9534031434535342</v>
      </c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AA1171" s="11"/>
      <c r="AB1171" s="11"/>
      <c r="AC1171" s="11"/>
      <c r="AD1171" s="11"/>
      <c r="AE1171" s="11"/>
    </row>
    <row r="1172" spans="1:31" x14ac:dyDescent="0.25">
      <c r="A1172" s="18" t="s">
        <v>2</v>
      </c>
      <c r="B1172" s="21">
        <v>45858</v>
      </c>
      <c r="C1172" s="8">
        <v>3440</v>
      </c>
      <c r="D1172" s="8">
        <v>950</v>
      </c>
      <c r="E1172" s="8">
        <v>0</v>
      </c>
      <c r="F1172" s="8"/>
      <c r="G1172" s="8">
        <v>948</v>
      </c>
      <c r="H1172" s="8">
        <v>0</v>
      </c>
      <c r="I1172" s="8">
        <v>0</v>
      </c>
      <c r="J1172" s="2">
        <v>30.89999961853027</v>
      </c>
      <c r="K1172" s="23">
        <f t="shared" si="155"/>
        <v>28217.940000000002</v>
      </c>
      <c r="L1172" s="23">
        <f t="shared" si="156"/>
        <v>29.765759493670888</v>
      </c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AA1172" s="11"/>
      <c r="AB1172" s="11"/>
      <c r="AC1172" s="11"/>
      <c r="AD1172" s="11"/>
      <c r="AE1172" s="11"/>
    </row>
    <row r="1173" spans="1:31" x14ac:dyDescent="0.25">
      <c r="A1173" s="18" t="s">
        <v>2</v>
      </c>
      <c r="B1173" s="21">
        <v>45859</v>
      </c>
      <c r="C1173" s="7">
        <v>3400</v>
      </c>
      <c r="D1173" s="7">
        <v>1000</v>
      </c>
      <c r="E1173" s="7">
        <v>5925</v>
      </c>
      <c r="F1173" s="7"/>
      <c r="G1173" s="7">
        <v>4050</v>
      </c>
      <c r="H1173" s="7">
        <v>0</v>
      </c>
      <c r="I1173" s="7">
        <v>31500</v>
      </c>
      <c r="J1173" s="2">
        <v>32.599998474121087</v>
      </c>
      <c r="K1173" s="23">
        <f t="shared" si="155"/>
        <v>75323.399999999994</v>
      </c>
      <c r="L1173" s="23">
        <f t="shared" si="156"/>
        <v>18.598370370370368</v>
      </c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AA1173" s="11"/>
      <c r="AB1173" s="11"/>
      <c r="AC1173" s="11"/>
      <c r="AD1173" s="11"/>
      <c r="AE1173" s="11"/>
    </row>
    <row r="1174" spans="1:31" x14ac:dyDescent="0.25">
      <c r="A1174" s="18" t="s">
        <v>2</v>
      </c>
      <c r="B1174" s="21">
        <v>45860</v>
      </c>
      <c r="C1174" s="7">
        <v>4435</v>
      </c>
      <c r="D1174" s="7">
        <v>2180</v>
      </c>
      <c r="E1174" s="7">
        <v>0</v>
      </c>
      <c r="F1174" s="7"/>
      <c r="G1174" s="7">
        <v>5252.91</v>
      </c>
      <c r="H1174" s="7">
        <v>1195.3500000000001</v>
      </c>
      <c r="I1174" s="7">
        <v>0</v>
      </c>
      <c r="J1174" s="2">
        <v>33</v>
      </c>
      <c r="K1174" s="23">
        <f t="shared" si="155"/>
        <v>36905.184999999998</v>
      </c>
      <c r="L1174" s="23">
        <f t="shared" si="156"/>
        <v>7.0256648219748667</v>
      </c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AA1174" s="11"/>
      <c r="AB1174" s="11"/>
      <c r="AC1174" s="11"/>
      <c r="AD1174" s="11"/>
      <c r="AE1174" s="11"/>
    </row>
    <row r="1175" spans="1:31" x14ac:dyDescent="0.25">
      <c r="A1175" s="18" t="s">
        <v>2</v>
      </c>
      <c r="B1175" s="21">
        <v>45861</v>
      </c>
      <c r="C1175" s="7">
        <v>4180</v>
      </c>
      <c r="D1175" s="7">
        <v>6231</v>
      </c>
      <c r="E1175" s="7">
        <v>5350</v>
      </c>
      <c r="F1175" s="7"/>
      <c r="G1175" s="7">
        <v>5982.657829181494</v>
      </c>
      <c r="H1175" s="7">
        <v>6369.05</v>
      </c>
      <c r="I1175" s="7">
        <v>27600</v>
      </c>
      <c r="J1175" s="2">
        <v>33.650001525878913</v>
      </c>
      <c r="K1175" s="23">
        <f t="shared" si="155"/>
        <v>79880.23000000001</v>
      </c>
      <c r="L1175" s="23">
        <f t="shared" si="156"/>
        <v>13.351963672461721</v>
      </c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AA1175" s="11"/>
      <c r="AB1175" s="11"/>
      <c r="AC1175" s="11"/>
      <c r="AD1175" s="11"/>
      <c r="AE1175" s="11"/>
    </row>
    <row r="1176" spans="1:31" x14ac:dyDescent="0.25">
      <c r="A1176" s="18" t="s">
        <v>2</v>
      </c>
      <c r="B1176" s="21">
        <v>45862</v>
      </c>
      <c r="C1176" s="7">
        <v>4112</v>
      </c>
      <c r="D1176" s="7">
        <v>6132</v>
      </c>
      <c r="E1176" s="7">
        <v>0</v>
      </c>
      <c r="F1176" s="7"/>
      <c r="G1176" s="7">
        <v>5035.3396363636357</v>
      </c>
      <c r="H1176" s="7">
        <v>6817.5999999999995</v>
      </c>
      <c r="I1176" s="7">
        <v>0</v>
      </c>
      <c r="J1176" s="2">
        <v>39.450000762939453</v>
      </c>
      <c r="K1176" s="23">
        <f t="shared" si="155"/>
        <v>36478.311999999998</v>
      </c>
      <c r="L1176" s="23">
        <f t="shared" si="156"/>
        <v>7.2444590900214809</v>
      </c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AA1176" s="11"/>
      <c r="AB1176" s="11"/>
      <c r="AC1176" s="11"/>
      <c r="AD1176" s="11"/>
      <c r="AE1176" s="11"/>
    </row>
    <row r="1177" spans="1:31" x14ac:dyDescent="0.25">
      <c r="A1177" s="18" t="s">
        <v>2</v>
      </c>
      <c r="B1177" s="21">
        <v>45863</v>
      </c>
      <c r="C1177" s="8">
        <v>4198</v>
      </c>
      <c r="D1177" s="8">
        <v>5573</v>
      </c>
      <c r="E1177" s="8">
        <v>4975</v>
      </c>
      <c r="F1177" s="8"/>
      <c r="G1177" s="8">
        <v>3733.9749999999999</v>
      </c>
      <c r="H1177" s="8">
        <v>5335.45</v>
      </c>
      <c r="I1177" s="8">
        <v>25992</v>
      </c>
      <c r="J1177" s="2">
        <v>35</v>
      </c>
      <c r="K1177" s="23">
        <f t="shared" si="155"/>
        <v>76663.247999999992</v>
      </c>
      <c r="L1177" s="23">
        <f t="shared" si="156"/>
        <v>20.531269759438665</v>
      </c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AA1177" s="11"/>
      <c r="AB1177" s="11"/>
      <c r="AC1177" s="11"/>
      <c r="AD1177" s="11"/>
      <c r="AE1177" s="11"/>
    </row>
    <row r="1178" spans="1:31" x14ac:dyDescent="0.25">
      <c r="A1178" s="18" t="s">
        <v>2</v>
      </c>
      <c r="B1178" s="21">
        <v>45864</v>
      </c>
      <c r="C1178" s="7">
        <v>3656</v>
      </c>
      <c r="D1178" s="7">
        <v>1100</v>
      </c>
      <c r="E1178" s="7">
        <v>0</v>
      </c>
      <c r="F1178" s="7"/>
      <c r="G1178" s="7">
        <v>4665</v>
      </c>
      <c r="H1178" s="7">
        <v>405</v>
      </c>
      <c r="I1178" s="7">
        <v>0</v>
      </c>
      <c r="J1178" s="2">
        <v>38.25</v>
      </c>
      <c r="K1178" s="23">
        <f t="shared" si="155"/>
        <v>30039.456000000002</v>
      </c>
      <c r="L1178" s="23">
        <f t="shared" si="156"/>
        <v>6.4393260450160774</v>
      </c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AA1178" s="11"/>
      <c r="AB1178" s="11"/>
      <c r="AC1178" s="11"/>
      <c r="AD1178" s="11"/>
      <c r="AE1178" s="11"/>
    </row>
    <row r="1179" spans="1:31" x14ac:dyDescent="0.25">
      <c r="A1179" s="18" t="s">
        <v>2</v>
      </c>
      <c r="B1179" s="21">
        <v>45865</v>
      </c>
      <c r="C1179" s="7">
        <v>2259</v>
      </c>
      <c r="D1179" s="7">
        <v>950</v>
      </c>
      <c r="E1179" s="7">
        <v>0</v>
      </c>
      <c r="F1179" s="7"/>
      <c r="G1179" s="7">
        <v>948</v>
      </c>
      <c r="H1179" s="7">
        <v>0</v>
      </c>
      <c r="I1179" s="7">
        <v>0</v>
      </c>
      <c r="J1179" s="2">
        <v>36.5</v>
      </c>
      <c r="K1179" s="23">
        <f t="shared" si="155"/>
        <v>18709.708999999999</v>
      </c>
      <c r="L1179" s="23">
        <f t="shared" si="156"/>
        <v>19.735979957805906</v>
      </c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AA1179" s="11"/>
      <c r="AB1179" s="11"/>
      <c r="AC1179" s="11"/>
      <c r="AD1179" s="11"/>
      <c r="AE1179" s="11"/>
    </row>
    <row r="1180" spans="1:31" x14ac:dyDescent="0.25">
      <c r="A1180" s="18" t="s">
        <v>2</v>
      </c>
      <c r="B1180" s="21">
        <v>45866</v>
      </c>
      <c r="C1180" s="7">
        <v>1797</v>
      </c>
      <c r="D1180" s="7">
        <v>5657</v>
      </c>
      <c r="E1180" s="7">
        <v>0</v>
      </c>
      <c r="F1180" s="7"/>
      <c r="G1180" s="7">
        <v>5708.0571428571429</v>
      </c>
      <c r="H1180" s="7">
        <v>6348.6</v>
      </c>
      <c r="I1180" s="7">
        <v>0</v>
      </c>
      <c r="J1180" s="2">
        <v>35.700000762939453</v>
      </c>
      <c r="K1180" s="23">
        <f t="shared" si="155"/>
        <v>17578.997000000003</v>
      </c>
      <c r="L1180" s="23">
        <f t="shared" si="156"/>
        <v>3.079681327647136</v>
      </c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AA1180" s="11"/>
      <c r="AB1180" s="11"/>
      <c r="AC1180" s="11"/>
      <c r="AD1180" s="11"/>
      <c r="AE1180" s="11"/>
    </row>
    <row r="1181" spans="1:31" x14ac:dyDescent="0.25">
      <c r="A1181" s="18" t="s">
        <v>2</v>
      </c>
      <c r="B1181" s="21">
        <v>45867</v>
      </c>
      <c r="C1181" s="7">
        <v>4255</v>
      </c>
      <c r="D1181" s="7">
        <v>6841</v>
      </c>
      <c r="E1181" s="7">
        <v>0</v>
      </c>
      <c r="F1181" s="7"/>
      <c r="G1181" s="7">
        <v>6818.4000000000005</v>
      </c>
      <c r="H1181" s="7">
        <v>7326.26</v>
      </c>
      <c r="I1181" s="7">
        <v>0</v>
      </c>
      <c r="J1181" s="2">
        <v>36.599998474121087</v>
      </c>
      <c r="K1181" s="23">
        <f t="shared" si="155"/>
        <v>38019.555</v>
      </c>
      <c r="L1181" s="23">
        <f t="shared" si="156"/>
        <v>5.5760229672650468</v>
      </c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AA1181" s="11"/>
      <c r="AB1181" s="11"/>
      <c r="AC1181" s="11"/>
      <c r="AD1181" s="11"/>
      <c r="AE1181" s="11"/>
    </row>
    <row r="1182" spans="1:31" x14ac:dyDescent="0.25">
      <c r="A1182" s="18" t="s">
        <v>2</v>
      </c>
      <c r="B1182" s="21">
        <v>45868</v>
      </c>
      <c r="C1182" s="7">
        <v>3430</v>
      </c>
      <c r="D1182" s="7">
        <v>6415</v>
      </c>
      <c r="E1182" s="7">
        <v>0</v>
      </c>
      <c r="F1182" s="7"/>
      <c r="G1182" s="7">
        <v>5898.2</v>
      </c>
      <c r="H1182" s="7">
        <v>5189.6499999999996</v>
      </c>
      <c r="I1182" s="7">
        <v>0</v>
      </c>
      <c r="J1182" s="2">
        <v>37.5</v>
      </c>
      <c r="K1182" s="23">
        <f t="shared" si="155"/>
        <v>31143.18</v>
      </c>
      <c r="L1182" s="23">
        <f t="shared" si="156"/>
        <v>5.2801159675833311</v>
      </c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AA1182" s="11"/>
      <c r="AB1182" s="11"/>
      <c r="AC1182" s="11"/>
      <c r="AD1182" s="11"/>
      <c r="AE1182" s="11"/>
    </row>
    <row r="1183" spans="1:31" x14ac:dyDescent="0.25">
      <c r="A1183" s="18" t="s">
        <v>2</v>
      </c>
      <c r="B1183" s="21">
        <v>45869</v>
      </c>
      <c r="C1183" s="7">
        <v>3294</v>
      </c>
      <c r="D1183" s="7">
        <v>5979</v>
      </c>
      <c r="E1183" s="7">
        <v>0</v>
      </c>
      <c r="F1183" s="7"/>
      <c r="G1183" s="7">
        <v>5253</v>
      </c>
      <c r="H1183" s="7">
        <v>4632</v>
      </c>
      <c r="I1183" s="7">
        <v>0</v>
      </c>
      <c r="J1183" s="2">
        <v>38.5</v>
      </c>
      <c r="K1183" s="23">
        <f t="shared" si="155"/>
        <v>29808.444</v>
      </c>
      <c r="L1183" s="23">
        <f t="shared" si="156"/>
        <v>5.6745562535693885</v>
      </c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AA1183" s="11"/>
      <c r="AB1183" s="11"/>
      <c r="AC1183" s="11"/>
      <c r="AD1183" s="11"/>
      <c r="AE1183" s="11"/>
    </row>
    <row r="1184" spans="1:31" x14ac:dyDescent="0.25">
      <c r="A1184" s="18" t="s">
        <v>2</v>
      </c>
      <c r="B1184" s="21">
        <v>45870</v>
      </c>
      <c r="C1184" s="7">
        <v>3262</v>
      </c>
      <c r="D1184" s="7">
        <v>1100</v>
      </c>
      <c r="E1184" s="7">
        <v>0</v>
      </c>
      <c r="F1184" s="7"/>
      <c r="G1184" s="7">
        <v>4344</v>
      </c>
      <c r="H1184" s="7">
        <v>0</v>
      </c>
      <c r="I1184" s="7">
        <v>0</v>
      </c>
      <c r="J1184" s="2">
        <v>34.650001525878913</v>
      </c>
      <c r="K1184" s="23">
        <f>C1184*8.001+D1184*0.54+E1184*8+F1184*5</f>
        <v>26693.261999999999</v>
      </c>
      <c r="L1184" s="23">
        <f t="shared" si="156"/>
        <v>6.1448577348066298</v>
      </c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AA1184" s="11"/>
      <c r="AB1184" s="11"/>
      <c r="AC1184" s="11"/>
      <c r="AD1184" s="11"/>
      <c r="AE1184" s="11"/>
    </row>
    <row r="1185" spans="1:31" x14ac:dyDescent="0.25">
      <c r="A1185" s="18" t="s">
        <v>2</v>
      </c>
      <c r="B1185" s="21">
        <v>45871</v>
      </c>
      <c r="C1185" s="7">
        <v>3414</v>
      </c>
      <c r="D1185" s="7">
        <v>1100</v>
      </c>
      <c r="E1185" s="7">
        <v>0</v>
      </c>
      <c r="F1185" s="7"/>
      <c r="G1185" s="7">
        <v>2407</v>
      </c>
      <c r="H1185" s="7">
        <v>0</v>
      </c>
      <c r="I1185" s="7">
        <v>0</v>
      </c>
      <c r="J1185" s="2">
        <v>31.14999961853027</v>
      </c>
      <c r="K1185" s="23">
        <f t="shared" ref="K1185:K1214" si="157">C1185*8.001+D1185*0.54+E1185*8+F1185*5</f>
        <v>27909.413999999997</v>
      </c>
      <c r="L1185" s="23">
        <f t="shared" si="156"/>
        <v>11.595103448275861</v>
      </c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AA1185" s="11"/>
      <c r="AB1185" s="11"/>
      <c r="AC1185" s="11"/>
      <c r="AD1185" s="11"/>
      <c r="AE1185" s="11"/>
    </row>
    <row r="1186" spans="1:31" x14ac:dyDescent="0.25">
      <c r="A1186" s="18" t="s">
        <v>2</v>
      </c>
      <c r="B1186" s="21">
        <v>45872</v>
      </c>
      <c r="C1186" s="7">
        <v>4078</v>
      </c>
      <c r="D1186" s="7">
        <v>1100</v>
      </c>
      <c r="E1186" s="7">
        <v>0</v>
      </c>
      <c r="F1186" s="7"/>
      <c r="G1186" s="7">
        <v>578</v>
      </c>
      <c r="H1186" s="7">
        <v>0</v>
      </c>
      <c r="I1186" s="7">
        <v>0</v>
      </c>
      <c r="J1186" s="2">
        <v>34.950000762939453</v>
      </c>
      <c r="K1186" s="23">
        <f t="shared" si="157"/>
        <v>33222.077999999994</v>
      </c>
      <c r="L1186" s="23">
        <f t="shared" si="156"/>
        <v>57.477643598615906</v>
      </c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AA1186" s="11"/>
      <c r="AB1186" s="11"/>
      <c r="AC1186" s="11"/>
      <c r="AD1186" s="11"/>
      <c r="AE1186" s="11"/>
    </row>
    <row r="1187" spans="1:31" x14ac:dyDescent="0.25">
      <c r="A1187" s="18" t="s">
        <v>2</v>
      </c>
      <c r="B1187" s="21">
        <v>45873</v>
      </c>
      <c r="C1187" s="7">
        <v>3063</v>
      </c>
      <c r="D1187" s="7">
        <v>1100</v>
      </c>
      <c r="E1187" s="7">
        <v>0</v>
      </c>
      <c r="F1187" s="7"/>
      <c r="G1187" s="7">
        <v>1075</v>
      </c>
      <c r="H1187" s="7">
        <v>0</v>
      </c>
      <c r="I1187" s="7">
        <v>0</v>
      </c>
      <c r="J1187" s="2">
        <v>38</v>
      </c>
      <c r="K1187" s="23">
        <f t="shared" si="157"/>
        <v>25101.062999999998</v>
      </c>
      <c r="L1187" s="23">
        <f t="shared" si="156"/>
        <v>23.349826046511627</v>
      </c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AA1187" s="11"/>
      <c r="AB1187" s="11"/>
      <c r="AC1187" s="11"/>
      <c r="AD1187" s="11"/>
      <c r="AE1187" s="11"/>
    </row>
    <row r="1188" spans="1:31" x14ac:dyDescent="0.25">
      <c r="A1188" s="18" t="s">
        <v>2</v>
      </c>
      <c r="B1188" s="21">
        <v>45874</v>
      </c>
      <c r="C1188" s="8">
        <v>3573</v>
      </c>
      <c r="D1188" s="8">
        <v>5159</v>
      </c>
      <c r="E1188" s="8">
        <v>0</v>
      </c>
      <c r="F1188" s="8"/>
      <c r="G1188" s="8">
        <v>2091.2200000000003</v>
      </c>
      <c r="H1188" s="8">
        <v>4231.3600000000006</v>
      </c>
      <c r="I1188" s="8">
        <v>0</v>
      </c>
      <c r="J1188" s="2">
        <v>41.599998474121087</v>
      </c>
      <c r="K1188" s="23">
        <f t="shared" si="157"/>
        <v>31373.432999999997</v>
      </c>
      <c r="L1188" s="23">
        <f t="shared" si="156"/>
        <v>15.00245454806285</v>
      </c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AA1188" s="11"/>
      <c r="AB1188" s="11"/>
      <c r="AC1188" s="11"/>
      <c r="AD1188" s="11"/>
      <c r="AE1188" s="11"/>
    </row>
    <row r="1189" spans="1:31" x14ac:dyDescent="0.25">
      <c r="A1189" s="18" t="s">
        <v>2</v>
      </c>
      <c r="B1189" s="21">
        <v>45875</v>
      </c>
      <c r="C1189" s="7">
        <v>4239</v>
      </c>
      <c r="D1189" s="7">
        <v>4994</v>
      </c>
      <c r="E1189" s="7">
        <v>5875</v>
      </c>
      <c r="F1189" s="7"/>
      <c r="G1189" s="7">
        <v>1726.2095238095237</v>
      </c>
      <c r="H1189" s="7">
        <v>3589.2</v>
      </c>
      <c r="I1189" s="7">
        <v>33480</v>
      </c>
      <c r="J1189" s="2">
        <v>37.650001525878913</v>
      </c>
      <c r="K1189" s="23">
        <f t="shared" si="157"/>
        <v>83612.998999999996</v>
      </c>
      <c r="L1189" s="23">
        <f t="shared" si="156"/>
        <v>48.437340801756669</v>
      </c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AA1189" s="11"/>
      <c r="AB1189" s="11"/>
      <c r="AC1189" s="11"/>
      <c r="AD1189" s="11"/>
      <c r="AE1189" s="11"/>
    </row>
    <row r="1190" spans="1:31" x14ac:dyDescent="0.25">
      <c r="A1190" s="18" t="s">
        <v>2</v>
      </c>
      <c r="B1190" s="21">
        <v>45876</v>
      </c>
      <c r="C1190" s="7">
        <v>2540</v>
      </c>
      <c r="D1190" s="7">
        <v>1437</v>
      </c>
      <c r="E1190" s="7">
        <v>0</v>
      </c>
      <c r="F1190" s="7"/>
      <c r="G1190" s="7">
        <v>2594.4461538461533</v>
      </c>
      <c r="H1190" s="7">
        <v>1006.7999999999998</v>
      </c>
      <c r="I1190" s="7">
        <v>0</v>
      </c>
      <c r="J1190" s="2">
        <v>38.099998474121087</v>
      </c>
      <c r="K1190" s="23">
        <f t="shared" si="157"/>
        <v>21098.519999999997</v>
      </c>
      <c r="L1190" s="23">
        <f t="shared" si="156"/>
        <v>8.1321865049010018</v>
      </c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AA1190" s="11"/>
      <c r="AB1190" s="11"/>
      <c r="AC1190" s="11"/>
      <c r="AD1190" s="11"/>
      <c r="AE1190" s="11"/>
    </row>
    <row r="1191" spans="1:31" x14ac:dyDescent="0.25">
      <c r="A1191" s="18" t="s">
        <v>2</v>
      </c>
      <c r="B1191" s="21">
        <v>45877</v>
      </c>
      <c r="C1191" s="7">
        <v>3369</v>
      </c>
      <c r="D1191" s="7">
        <v>1100</v>
      </c>
      <c r="E1191" s="7">
        <v>5250</v>
      </c>
      <c r="F1191" s="7"/>
      <c r="G1191" s="7">
        <v>2465.8200000000002</v>
      </c>
      <c r="H1191" s="7">
        <v>0</v>
      </c>
      <c r="I1191" s="7">
        <v>28800</v>
      </c>
      <c r="J1191" s="2">
        <v>42.400001525878913</v>
      </c>
      <c r="K1191" s="23">
        <f t="shared" si="157"/>
        <v>69549.369000000006</v>
      </c>
      <c r="L1191" s="23">
        <f t="shared" si="156"/>
        <v>28.2053714383045</v>
      </c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AA1191" s="11"/>
      <c r="AB1191" s="11"/>
      <c r="AC1191" s="11"/>
      <c r="AD1191" s="11"/>
      <c r="AE1191" s="11"/>
    </row>
    <row r="1192" spans="1:31" x14ac:dyDescent="0.25">
      <c r="A1192" s="18" t="s">
        <v>2</v>
      </c>
      <c r="B1192" s="21">
        <v>45878</v>
      </c>
      <c r="C1192" s="7">
        <v>2432</v>
      </c>
      <c r="D1192" s="7">
        <v>1100</v>
      </c>
      <c r="E1192" s="7">
        <v>0</v>
      </c>
      <c r="F1192" s="7"/>
      <c r="G1192" s="7">
        <v>2216</v>
      </c>
      <c r="H1192" s="7">
        <v>0</v>
      </c>
      <c r="I1192" s="7">
        <v>0</v>
      </c>
      <c r="J1192" s="2">
        <v>44.549999237060547</v>
      </c>
      <c r="K1192" s="23">
        <f t="shared" si="157"/>
        <v>20052.431999999997</v>
      </c>
      <c r="L1192" s="23">
        <f t="shared" si="156"/>
        <v>9.0489314079422378</v>
      </c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AA1192" s="11"/>
      <c r="AB1192" s="11"/>
      <c r="AC1192" s="11"/>
      <c r="AD1192" s="11"/>
      <c r="AE1192" s="11"/>
    </row>
    <row r="1193" spans="1:31" x14ac:dyDescent="0.25">
      <c r="A1193" s="18" t="s">
        <v>2</v>
      </c>
      <c r="B1193" s="21">
        <v>45879</v>
      </c>
      <c r="C1193" s="8">
        <v>1830</v>
      </c>
      <c r="D1193" s="8">
        <v>1100</v>
      </c>
      <c r="E1193" s="8">
        <v>0</v>
      </c>
      <c r="F1193" s="8"/>
      <c r="G1193" s="8">
        <v>405</v>
      </c>
      <c r="H1193" s="8">
        <v>0</v>
      </c>
      <c r="I1193" s="8">
        <v>0</v>
      </c>
      <c r="J1193" s="2">
        <v>44</v>
      </c>
      <c r="K1193" s="23">
        <f t="shared" si="157"/>
        <v>15235.829999999998</v>
      </c>
      <c r="L1193" s="23">
        <f t="shared" si="156"/>
        <v>37.61933333333333</v>
      </c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AA1193" s="11"/>
      <c r="AB1193" s="11"/>
      <c r="AC1193" s="11"/>
      <c r="AD1193" s="11"/>
      <c r="AE1193" s="11"/>
    </row>
    <row r="1194" spans="1:31" x14ac:dyDescent="0.25">
      <c r="A1194" s="18" t="s">
        <v>2</v>
      </c>
      <c r="B1194" s="21">
        <v>45880</v>
      </c>
      <c r="C1194" s="7">
        <v>1861</v>
      </c>
      <c r="D1194" s="7">
        <v>1100</v>
      </c>
      <c r="E1194" s="7">
        <v>0</v>
      </c>
      <c r="F1194" s="7"/>
      <c r="G1194" s="7">
        <v>1860</v>
      </c>
      <c r="H1194" s="7">
        <v>0</v>
      </c>
      <c r="I1194" s="7">
        <v>0</v>
      </c>
      <c r="J1194" s="2">
        <v>43.450000762939453</v>
      </c>
      <c r="K1194" s="23">
        <f t="shared" si="157"/>
        <v>15483.860999999999</v>
      </c>
      <c r="L1194" s="23">
        <f t="shared" si="156"/>
        <v>8.3246564516129027</v>
      </c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AA1194" s="11"/>
      <c r="AB1194" s="11"/>
      <c r="AC1194" s="11"/>
      <c r="AD1194" s="11"/>
      <c r="AE1194" s="11"/>
    </row>
    <row r="1195" spans="1:31" x14ac:dyDescent="0.25">
      <c r="A1195" s="18" t="s">
        <v>2</v>
      </c>
      <c r="B1195" s="21">
        <v>45881</v>
      </c>
      <c r="C1195" s="7">
        <v>1985</v>
      </c>
      <c r="D1195" s="7">
        <v>4590</v>
      </c>
      <c r="E1195" s="7">
        <v>0</v>
      </c>
      <c r="F1195" s="7"/>
      <c r="G1195" s="7">
        <v>1835.3804347826087</v>
      </c>
      <c r="H1195" s="7">
        <v>3331.8</v>
      </c>
      <c r="I1195" s="7">
        <v>0</v>
      </c>
      <c r="J1195" s="2">
        <v>41.049999237060547</v>
      </c>
      <c r="K1195" s="23">
        <f t="shared" si="157"/>
        <v>18360.584999999999</v>
      </c>
      <c r="L1195" s="23">
        <f t="shared" si="156"/>
        <v>10.003694412365638</v>
      </c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AA1195" s="11"/>
      <c r="AB1195" s="11"/>
      <c r="AC1195" s="11"/>
      <c r="AD1195" s="11"/>
      <c r="AE1195" s="11"/>
    </row>
    <row r="1196" spans="1:31" x14ac:dyDescent="0.25">
      <c r="A1196" s="18" t="s">
        <v>2</v>
      </c>
      <c r="B1196" s="21">
        <v>45882</v>
      </c>
      <c r="C1196" s="7">
        <v>1919</v>
      </c>
      <c r="D1196" s="7">
        <v>4952</v>
      </c>
      <c r="E1196" s="7">
        <v>6200</v>
      </c>
      <c r="F1196" s="7"/>
      <c r="G1196" s="7">
        <v>1814.7857142857142</v>
      </c>
      <c r="H1196" s="7">
        <v>3737.9999999999995</v>
      </c>
      <c r="I1196" s="7">
        <v>33033.599999999999</v>
      </c>
      <c r="J1196" s="2">
        <v>40.900001525878913</v>
      </c>
      <c r="K1196" s="23">
        <f t="shared" si="157"/>
        <v>67627.998999999996</v>
      </c>
      <c r="L1196" s="23">
        <f t="shared" si="156"/>
        <v>37.265005156059352</v>
      </c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AA1196" s="11"/>
      <c r="AB1196" s="11"/>
      <c r="AC1196" s="11"/>
      <c r="AD1196" s="11"/>
      <c r="AE1196" s="11"/>
    </row>
    <row r="1197" spans="1:31" x14ac:dyDescent="0.25">
      <c r="A1197" s="18" t="s">
        <v>2</v>
      </c>
      <c r="B1197" s="21">
        <v>45883</v>
      </c>
      <c r="C1197" s="7">
        <v>3273</v>
      </c>
      <c r="D1197" s="7">
        <v>4244</v>
      </c>
      <c r="E1197" s="7">
        <v>0</v>
      </c>
      <c r="F1197" s="7"/>
      <c r="G1197" s="7">
        <v>1326</v>
      </c>
      <c r="H1197" s="7">
        <v>2907</v>
      </c>
      <c r="I1197" s="7">
        <v>0</v>
      </c>
      <c r="J1197" s="2">
        <v>38.599998474121087</v>
      </c>
      <c r="K1197" s="23">
        <f t="shared" si="157"/>
        <v>28479.032999999996</v>
      </c>
      <c r="L1197" s="23">
        <f t="shared" si="156"/>
        <v>21.477400452488684</v>
      </c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AA1197" s="11"/>
      <c r="AB1197" s="11"/>
      <c r="AC1197" s="11"/>
      <c r="AD1197" s="11"/>
      <c r="AE1197" s="11"/>
    </row>
    <row r="1198" spans="1:31" x14ac:dyDescent="0.25">
      <c r="A1198" s="18" t="s">
        <v>2</v>
      </c>
      <c r="B1198" s="21">
        <v>45884</v>
      </c>
      <c r="C1198" s="8">
        <v>3330</v>
      </c>
      <c r="D1198" s="8">
        <v>4708</v>
      </c>
      <c r="E1198" s="8">
        <v>6175</v>
      </c>
      <c r="F1198" s="8"/>
      <c r="G1198" s="8">
        <v>1258</v>
      </c>
      <c r="H1198" s="8">
        <v>3264</v>
      </c>
      <c r="I1198" s="8">
        <v>34162</v>
      </c>
      <c r="J1198" s="2">
        <v>43.900001525878913</v>
      </c>
      <c r="K1198" s="23">
        <f t="shared" si="157"/>
        <v>78585.649999999994</v>
      </c>
      <c r="L1198" s="23">
        <f t="shared" si="156"/>
        <v>62.46872019077901</v>
      </c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AA1198" s="11"/>
      <c r="AB1198" s="11"/>
      <c r="AC1198" s="11"/>
      <c r="AD1198" s="11"/>
      <c r="AE1198" s="11"/>
    </row>
    <row r="1199" spans="1:31" x14ac:dyDescent="0.25">
      <c r="A1199" s="18" t="s">
        <v>2</v>
      </c>
      <c r="B1199" s="21">
        <v>45885</v>
      </c>
      <c r="C1199" s="7">
        <v>3019</v>
      </c>
      <c r="D1199" s="7">
        <v>4490</v>
      </c>
      <c r="E1199" s="7">
        <v>0</v>
      </c>
      <c r="F1199" s="7"/>
      <c r="G1199" s="26">
        <v>1850.3024282548577</v>
      </c>
      <c r="H1199" s="7">
        <v>2925</v>
      </c>
      <c r="I1199" s="7">
        <v>0</v>
      </c>
      <c r="J1199" s="2">
        <v>44.299999237060547</v>
      </c>
      <c r="K1199" s="23">
        <f t="shared" si="157"/>
        <v>26579.618999999999</v>
      </c>
      <c r="L1199" s="23">
        <f t="shared" si="156"/>
        <v>14.365013304916317</v>
      </c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AA1199" s="11"/>
      <c r="AB1199" s="11"/>
      <c r="AC1199" s="11"/>
      <c r="AD1199" s="11"/>
      <c r="AE1199" s="11"/>
    </row>
    <row r="1200" spans="1:31" x14ac:dyDescent="0.25">
      <c r="A1200" s="18" t="s">
        <v>2</v>
      </c>
      <c r="B1200" s="21">
        <v>45886</v>
      </c>
      <c r="C1200" s="7">
        <v>2422</v>
      </c>
      <c r="D1200" s="7">
        <v>808</v>
      </c>
      <c r="E1200" s="7">
        <v>0</v>
      </c>
      <c r="F1200" s="7"/>
      <c r="G1200" s="26">
        <v>2442.604856511578</v>
      </c>
      <c r="H1200" s="7">
        <v>183.6</v>
      </c>
      <c r="I1200" s="7">
        <v>0</v>
      </c>
      <c r="J1200" s="2">
        <v>39.5</v>
      </c>
      <c r="K1200" s="23">
        <f t="shared" si="157"/>
        <v>19814.741999999998</v>
      </c>
      <c r="L1200" s="23">
        <f t="shared" si="156"/>
        <v>8.1121356764591681</v>
      </c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AA1200" s="11"/>
      <c r="AB1200" s="11"/>
      <c r="AC1200" s="11"/>
      <c r="AD1200" s="11"/>
      <c r="AE1200" s="11"/>
    </row>
    <row r="1201" spans="1:31" x14ac:dyDescent="0.25">
      <c r="A1201" s="18" t="s">
        <v>2</v>
      </c>
      <c r="B1201" s="21">
        <v>45887</v>
      </c>
      <c r="C1201" s="7">
        <v>1944</v>
      </c>
      <c r="D1201" s="7">
        <v>4256</v>
      </c>
      <c r="E1201" s="7">
        <v>0</v>
      </c>
      <c r="F1201" s="7"/>
      <c r="G1201" s="7">
        <v>3034.9072847682119</v>
      </c>
      <c r="H1201" s="7">
        <v>2777.3999999999996</v>
      </c>
      <c r="I1201" s="7">
        <v>0</v>
      </c>
      <c r="J1201" s="2">
        <v>34.25</v>
      </c>
      <c r="K1201" s="23">
        <f t="shared" si="157"/>
        <v>17852.184000000001</v>
      </c>
      <c r="L1201" s="23">
        <f t="shared" si="156"/>
        <v>5.8822831556000708</v>
      </c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AA1201" s="11"/>
      <c r="AB1201" s="11"/>
      <c r="AC1201" s="11"/>
      <c r="AD1201" s="11"/>
      <c r="AE1201" s="11"/>
    </row>
    <row r="1202" spans="1:31" x14ac:dyDescent="0.25">
      <c r="A1202" s="18" t="s">
        <v>2</v>
      </c>
      <c r="B1202" s="21">
        <v>45888</v>
      </c>
      <c r="C1202" s="7">
        <v>3443</v>
      </c>
      <c r="D1202" s="7">
        <v>6243</v>
      </c>
      <c r="E1202" s="7">
        <v>6975</v>
      </c>
      <c r="F1202" s="7"/>
      <c r="G1202" s="7">
        <v>2749.2433734939755</v>
      </c>
      <c r="H1202" s="7">
        <v>4996.7999999999993</v>
      </c>
      <c r="I1202" s="7">
        <v>39060</v>
      </c>
      <c r="J1202" s="2">
        <v>33.349998474121087</v>
      </c>
      <c r="K1202" s="23">
        <f t="shared" si="157"/>
        <v>86718.663</v>
      </c>
      <c r="L1202" s="23">
        <f t="shared" si="156"/>
        <v>31.542737844191091</v>
      </c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AA1202" s="11"/>
      <c r="AB1202" s="11"/>
      <c r="AC1202" s="11"/>
      <c r="AD1202" s="11"/>
      <c r="AE1202" s="11"/>
    </row>
    <row r="1203" spans="1:31" x14ac:dyDescent="0.25">
      <c r="A1203" s="18" t="s">
        <v>2</v>
      </c>
      <c r="B1203" s="21">
        <v>45889</v>
      </c>
      <c r="C1203" s="8">
        <v>2920</v>
      </c>
      <c r="D1203" s="8">
        <v>5143</v>
      </c>
      <c r="E1203" s="8">
        <v>0</v>
      </c>
      <c r="F1203" s="8"/>
      <c r="G1203" s="8">
        <v>3294</v>
      </c>
      <c r="H1203" s="8">
        <v>3130</v>
      </c>
      <c r="I1203" s="8">
        <v>0</v>
      </c>
      <c r="J1203" s="2">
        <v>36.900001525878913</v>
      </c>
      <c r="K1203" s="23">
        <f t="shared" si="157"/>
        <v>26140.14</v>
      </c>
      <c r="L1203" s="23">
        <f t="shared" si="156"/>
        <v>7.9356830601092891</v>
      </c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AA1203" s="11"/>
      <c r="AB1203" s="11"/>
      <c r="AC1203" s="11"/>
      <c r="AD1203" s="11"/>
      <c r="AE1203" s="11"/>
    </row>
    <row r="1204" spans="1:31" x14ac:dyDescent="0.25">
      <c r="A1204" s="18" t="s">
        <v>2</v>
      </c>
      <c r="B1204" s="21">
        <v>45890</v>
      </c>
      <c r="C1204" s="7">
        <v>3448</v>
      </c>
      <c r="D1204" s="7">
        <v>1949</v>
      </c>
      <c r="E1204" s="7">
        <v>0</v>
      </c>
      <c r="F1204" s="7"/>
      <c r="G1204" s="7">
        <v>1381.8227368421053</v>
      </c>
      <c r="H1204" s="7">
        <v>1444.04</v>
      </c>
      <c r="I1204" s="7">
        <v>0</v>
      </c>
      <c r="J1204" s="2">
        <v>36.650001525878913</v>
      </c>
      <c r="K1204" s="23">
        <f t="shared" si="157"/>
        <v>28639.907999999996</v>
      </c>
      <c r="L1204" s="23">
        <f t="shared" si="156"/>
        <v>20.726180888766596</v>
      </c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AA1204" s="11"/>
      <c r="AB1204" s="11"/>
      <c r="AC1204" s="11"/>
      <c r="AD1204" s="11"/>
      <c r="AE1204" s="11"/>
    </row>
    <row r="1205" spans="1:31" x14ac:dyDescent="0.25">
      <c r="A1205" s="18" t="s">
        <v>2</v>
      </c>
      <c r="B1205" s="21">
        <v>45891</v>
      </c>
      <c r="C1205" s="7">
        <v>2495</v>
      </c>
      <c r="D1205" s="7">
        <v>3146</v>
      </c>
      <c r="E1205" s="7">
        <v>6875</v>
      </c>
      <c r="F1205" s="7"/>
      <c r="G1205" s="7">
        <v>2772.2849999999999</v>
      </c>
      <c r="H1205" s="7">
        <v>1257.3600000000001</v>
      </c>
      <c r="I1205" s="7">
        <v>37646</v>
      </c>
      <c r="J1205" s="2">
        <v>33.75</v>
      </c>
      <c r="K1205" s="23">
        <f t="shared" si="157"/>
        <v>76661.334999999992</v>
      </c>
      <c r="L1205" s="23">
        <f t="shared" si="156"/>
        <v>27.652761169937431</v>
      </c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AA1205" s="11"/>
      <c r="AB1205" s="11"/>
      <c r="AC1205" s="11"/>
      <c r="AD1205" s="11"/>
      <c r="AE1205" s="11"/>
    </row>
    <row r="1206" spans="1:31" x14ac:dyDescent="0.25">
      <c r="A1206" s="18" t="s">
        <v>2</v>
      </c>
      <c r="B1206" s="21">
        <v>45892</v>
      </c>
      <c r="C1206" s="7">
        <v>4007</v>
      </c>
      <c r="D1206" s="7">
        <v>3996</v>
      </c>
      <c r="E1206" s="7">
        <v>0</v>
      </c>
      <c r="F1206" s="7"/>
      <c r="G1206" s="7">
        <v>2835.5482352941176</v>
      </c>
      <c r="H1206" s="7">
        <v>2217.2800000000002</v>
      </c>
      <c r="I1206" s="7">
        <v>0</v>
      </c>
      <c r="J1206" s="2">
        <v>29.54999923706055</v>
      </c>
      <c r="K1206" s="23">
        <f t="shared" si="157"/>
        <v>34217.846999999994</v>
      </c>
      <c r="L1206" s="23">
        <f t="shared" si="156"/>
        <v>12.067453684649008</v>
      </c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AA1206" s="11"/>
      <c r="AB1206" s="11"/>
      <c r="AC1206" s="11"/>
      <c r="AD1206" s="11"/>
      <c r="AE1206" s="11"/>
    </row>
    <row r="1207" spans="1:31" x14ac:dyDescent="0.25">
      <c r="A1207" s="18" t="s">
        <v>2</v>
      </c>
      <c r="B1207" s="21">
        <v>45893</v>
      </c>
      <c r="C1207" s="7">
        <v>1520</v>
      </c>
      <c r="D1207" s="7">
        <v>989</v>
      </c>
      <c r="E1207" s="7">
        <v>0</v>
      </c>
      <c r="F1207" s="7"/>
      <c r="G1207" s="7">
        <v>1570</v>
      </c>
      <c r="H1207" s="7">
        <v>480</v>
      </c>
      <c r="I1207" s="7">
        <v>0</v>
      </c>
      <c r="J1207" s="2">
        <v>31.39999961853027</v>
      </c>
      <c r="K1207" s="23">
        <f t="shared" si="157"/>
        <v>12695.579999999998</v>
      </c>
      <c r="L1207" s="23">
        <f t="shared" si="156"/>
        <v>8.0863566878980873</v>
      </c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AA1207" s="11"/>
      <c r="AB1207" s="11"/>
      <c r="AC1207" s="11"/>
      <c r="AD1207" s="11"/>
      <c r="AE1207" s="11"/>
    </row>
    <row r="1208" spans="1:31" x14ac:dyDescent="0.25">
      <c r="A1208" s="18" t="s">
        <v>2</v>
      </c>
      <c r="B1208" s="21">
        <v>45894</v>
      </c>
      <c r="C1208" s="8">
        <v>2755</v>
      </c>
      <c r="D1208" s="8">
        <v>3577</v>
      </c>
      <c r="E1208" s="8">
        <v>900</v>
      </c>
      <c r="F1208" s="8"/>
      <c r="G1208" s="8">
        <v>1860</v>
      </c>
      <c r="H1208" s="8">
        <v>1905</v>
      </c>
      <c r="I1208" s="8">
        <v>3726</v>
      </c>
      <c r="J1208" s="2">
        <v>31.25</v>
      </c>
      <c r="K1208" s="23">
        <f t="shared" si="157"/>
        <v>31174.334999999999</v>
      </c>
      <c r="L1208" s="23">
        <f t="shared" si="156"/>
        <v>16.760395161290322</v>
      </c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AA1208" s="11"/>
      <c r="AB1208" s="11"/>
      <c r="AC1208" s="11"/>
      <c r="AD1208" s="11"/>
      <c r="AE1208" s="11"/>
    </row>
    <row r="1209" spans="1:31" x14ac:dyDescent="0.25">
      <c r="A1209" s="18" t="s">
        <v>2</v>
      </c>
      <c r="B1209" s="21">
        <v>45895</v>
      </c>
      <c r="C1209" s="9">
        <v>4317</v>
      </c>
      <c r="D1209" s="9">
        <v>5169</v>
      </c>
      <c r="E1209" s="9">
        <v>0</v>
      </c>
      <c r="F1209" s="9"/>
      <c r="G1209" s="9">
        <v>2822.4625000000005</v>
      </c>
      <c r="H1209" s="9">
        <v>3284.3200000000006</v>
      </c>
      <c r="I1209" s="9">
        <v>0</v>
      </c>
      <c r="J1209" s="2">
        <v>31.79999923706055</v>
      </c>
      <c r="K1209" s="23">
        <f t="shared" si="157"/>
        <v>37331.576999999997</v>
      </c>
      <c r="L1209" s="23">
        <f t="shared" si="156"/>
        <v>13.226598050461252</v>
      </c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AA1209" s="11"/>
      <c r="AB1209" s="11"/>
      <c r="AC1209" s="11"/>
      <c r="AD1209" s="11"/>
      <c r="AE1209" s="11"/>
    </row>
    <row r="1210" spans="1:31" x14ac:dyDescent="0.25">
      <c r="A1210" s="18" t="s">
        <v>2</v>
      </c>
      <c r="B1210" s="21">
        <v>45896</v>
      </c>
      <c r="C1210" s="10">
        <v>3757</v>
      </c>
      <c r="D1210" s="10">
        <v>4614</v>
      </c>
      <c r="E1210" s="10">
        <v>8075</v>
      </c>
      <c r="F1210" s="10"/>
      <c r="G1210" s="10">
        <v>2550.1666666666665</v>
      </c>
      <c r="H1210" s="10">
        <v>2503.8000000000002</v>
      </c>
      <c r="I1210" s="10">
        <v>45012</v>
      </c>
      <c r="J1210" s="2">
        <v>29.70000076293945</v>
      </c>
      <c r="K1210" s="23">
        <f t="shared" si="157"/>
        <v>97151.316999999995</v>
      </c>
      <c r="L1210" s="23">
        <f t="shared" si="156"/>
        <v>38.096065747336773</v>
      </c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AA1210" s="11"/>
      <c r="AB1210" s="11"/>
      <c r="AC1210" s="11"/>
      <c r="AD1210" s="11"/>
      <c r="AE1210" s="11"/>
    </row>
    <row r="1211" spans="1:31" x14ac:dyDescent="0.25">
      <c r="A1211" s="18" t="s">
        <v>2</v>
      </c>
      <c r="B1211" s="21">
        <v>45897</v>
      </c>
      <c r="C1211" s="7">
        <v>2610</v>
      </c>
      <c r="D1211" s="7">
        <v>4740</v>
      </c>
      <c r="E1211" s="7">
        <v>0</v>
      </c>
      <c r="F1211" s="7"/>
      <c r="G1211" s="7">
        <v>1933.5743030303031</v>
      </c>
      <c r="H1211" s="7">
        <v>2615.0800000000004</v>
      </c>
      <c r="I1211" s="7">
        <v>0</v>
      </c>
      <c r="J1211" s="2">
        <v>30.29999923706055</v>
      </c>
      <c r="K1211" s="23">
        <f t="shared" si="157"/>
        <v>23442.21</v>
      </c>
      <c r="L1211" s="23">
        <f t="shared" si="156"/>
        <v>12.123769933879087</v>
      </c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AA1211" s="11"/>
      <c r="AB1211" s="11"/>
      <c r="AC1211" s="11"/>
      <c r="AD1211" s="11"/>
      <c r="AE1211" s="11"/>
    </row>
    <row r="1212" spans="1:31" x14ac:dyDescent="0.25">
      <c r="A1212" s="18" t="s">
        <v>2</v>
      </c>
      <c r="B1212" s="21">
        <v>45898</v>
      </c>
      <c r="C1212" s="7">
        <v>3657</v>
      </c>
      <c r="D1212" s="7">
        <v>5453</v>
      </c>
      <c r="E1212" s="7">
        <v>0</v>
      </c>
      <c r="F1212" s="7"/>
      <c r="G1212" s="7">
        <v>1684.2009803921569</v>
      </c>
      <c r="H1212" s="7">
        <v>3211</v>
      </c>
      <c r="I1212" s="7">
        <v>0</v>
      </c>
      <c r="J1212" s="2">
        <v>33.799999237060547</v>
      </c>
      <c r="K1212" s="23">
        <f t="shared" si="157"/>
        <v>32204.276999999998</v>
      </c>
      <c r="L1212" s="23">
        <f t="shared" si="156"/>
        <v>19.121397846770883</v>
      </c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AA1212" s="11"/>
      <c r="AB1212" s="11"/>
      <c r="AC1212" s="11"/>
      <c r="AD1212" s="11"/>
      <c r="AE1212" s="11"/>
    </row>
    <row r="1213" spans="1:31" x14ac:dyDescent="0.25">
      <c r="A1213" s="18" t="s">
        <v>2</v>
      </c>
      <c r="B1213" s="21">
        <v>45899</v>
      </c>
      <c r="C1213" s="7">
        <v>3474</v>
      </c>
      <c r="D1213" s="7">
        <v>5990</v>
      </c>
      <c r="E1213" s="7">
        <v>7675</v>
      </c>
      <c r="F1213" s="7"/>
      <c r="G1213" s="7">
        <v>1864.6928695652173</v>
      </c>
      <c r="H1213" s="7">
        <v>3829.2799999999997</v>
      </c>
      <c r="I1213" s="7">
        <v>40920</v>
      </c>
      <c r="J1213" s="2">
        <v>32.650001525878913</v>
      </c>
      <c r="K1213" s="23">
        <f t="shared" si="157"/>
        <v>92430.073999999993</v>
      </c>
      <c r="L1213" s="23">
        <f t="shared" si="156"/>
        <v>49.568524398096471</v>
      </c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AA1213" s="11"/>
      <c r="AB1213" s="11"/>
      <c r="AC1213" s="11"/>
      <c r="AD1213" s="11"/>
      <c r="AE1213" s="11"/>
    </row>
    <row r="1214" spans="1:31" x14ac:dyDescent="0.25">
      <c r="A1214" s="18" t="s">
        <v>2</v>
      </c>
      <c r="B1214" s="21">
        <v>45900</v>
      </c>
      <c r="C1214" s="7">
        <v>3127</v>
      </c>
      <c r="D1214" s="7">
        <v>4482</v>
      </c>
      <c r="E1214" s="7">
        <v>0</v>
      </c>
      <c r="F1214" s="7"/>
      <c r="G1214" s="7">
        <v>890.24000000000012</v>
      </c>
      <c r="H1214" s="7">
        <v>2559.44</v>
      </c>
      <c r="I1214" s="7">
        <v>0</v>
      </c>
      <c r="J1214" s="2">
        <v>28.64999961853027</v>
      </c>
      <c r="K1214" s="23">
        <f t="shared" si="157"/>
        <v>27439.406999999996</v>
      </c>
      <c r="L1214" s="23">
        <f t="shared" si="156"/>
        <v>30.822482701294025</v>
      </c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AA1214" s="11"/>
      <c r="AB1214" s="11"/>
      <c r="AC1214" s="11"/>
      <c r="AD1214" s="11"/>
      <c r="AE1214" s="11"/>
    </row>
    <row r="1215" spans="1:31" x14ac:dyDescent="0.25">
      <c r="A1215" s="18" t="s">
        <v>2</v>
      </c>
      <c r="B1215" s="21">
        <v>45901</v>
      </c>
      <c r="C1215" s="7">
        <v>923</v>
      </c>
      <c r="D1215" s="7">
        <v>950</v>
      </c>
      <c r="E1215" s="7">
        <v>8725</v>
      </c>
      <c r="F1215" s="7"/>
      <c r="G1215" s="7">
        <v>3480</v>
      </c>
      <c r="H1215" s="7">
        <v>0</v>
      </c>
      <c r="I1215" s="7">
        <v>46500</v>
      </c>
      <c r="J1215" s="2">
        <v>30.95000076293945</v>
      </c>
      <c r="K1215" s="23">
        <f>C1215*7.9+D1215*0.54+E1215*7.8+F1215*5</f>
        <v>75859.7</v>
      </c>
      <c r="L1215" s="23">
        <f t="shared" si="156"/>
        <v>21.798764367816091</v>
      </c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AA1215" s="11"/>
      <c r="AB1215" s="11"/>
      <c r="AC1215" s="11"/>
      <c r="AD1215" s="11"/>
      <c r="AE1215" s="11"/>
    </row>
    <row r="1216" spans="1:31" x14ac:dyDescent="0.25">
      <c r="A1216" s="18" t="s">
        <v>2</v>
      </c>
      <c r="B1216" s="21">
        <v>45902</v>
      </c>
      <c r="C1216" s="7">
        <v>4584</v>
      </c>
      <c r="D1216" s="7">
        <v>1000</v>
      </c>
      <c r="E1216" s="7">
        <v>0</v>
      </c>
      <c r="F1216" s="7"/>
      <c r="G1216" s="7">
        <v>4416</v>
      </c>
      <c r="H1216" s="7">
        <v>0</v>
      </c>
      <c r="I1216" s="7">
        <v>0</v>
      </c>
      <c r="J1216" s="2">
        <v>32.75</v>
      </c>
      <c r="K1216" s="23">
        <f t="shared" ref="K1216:K1244" si="158">C1216*7.9+D1216*0.54+E1216*7.8+F1216*5</f>
        <v>36753.599999999999</v>
      </c>
      <c r="L1216" s="23">
        <f t="shared" si="156"/>
        <v>8.3228260869565212</v>
      </c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AA1216" s="11"/>
      <c r="AB1216" s="11"/>
      <c r="AC1216" s="11"/>
      <c r="AD1216" s="11"/>
      <c r="AE1216" s="11"/>
    </row>
    <row r="1217" spans="1:31" x14ac:dyDescent="0.25">
      <c r="A1217" s="18" t="s">
        <v>2</v>
      </c>
      <c r="B1217" s="21">
        <v>45903</v>
      </c>
      <c r="C1217" s="7">
        <v>3339</v>
      </c>
      <c r="D1217" s="7">
        <v>5055</v>
      </c>
      <c r="E1217" s="7">
        <v>8350</v>
      </c>
      <c r="F1217" s="7"/>
      <c r="G1217" s="7">
        <v>2771</v>
      </c>
      <c r="H1217" s="7">
        <v>2880</v>
      </c>
      <c r="I1217" s="7">
        <v>43365</v>
      </c>
      <c r="J1217" s="2">
        <v>33.299999237060547</v>
      </c>
      <c r="K1217" s="23">
        <f t="shared" si="158"/>
        <v>94237.8</v>
      </c>
      <c r="L1217" s="23">
        <f t="shared" si="156"/>
        <v>34.008588957055217</v>
      </c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AA1217" s="11"/>
      <c r="AB1217" s="11"/>
      <c r="AC1217" s="11"/>
      <c r="AD1217" s="11"/>
      <c r="AE1217" s="11"/>
    </row>
    <row r="1218" spans="1:31" x14ac:dyDescent="0.25">
      <c r="A1218" s="18" t="s">
        <v>2</v>
      </c>
      <c r="B1218" s="21">
        <v>45904</v>
      </c>
      <c r="C1218" s="7">
        <v>3782</v>
      </c>
      <c r="D1218" s="7">
        <v>4398</v>
      </c>
      <c r="E1218" s="7">
        <v>0</v>
      </c>
      <c r="F1218" s="7"/>
      <c r="G1218" s="7">
        <v>2679.1289932885902</v>
      </c>
      <c r="H1218" s="7">
        <v>2989.874362416107</v>
      </c>
      <c r="I1218" s="7">
        <v>0</v>
      </c>
      <c r="J1218" s="2">
        <v>35.599998474121087</v>
      </c>
      <c r="K1218" s="23">
        <f t="shared" si="158"/>
        <v>32252.720000000001</v>
      </c>
      <c r="L1218" s="23">
        <f t="shared" si="156"/>
        <v>12.03850956068012</v>
      </c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AA1218" s="11"/>
      <c r="AB1218" s="11"/>
      <c r="AC1218" s="11"/>
      <c r="AD1218" s="11"/>
      <c r="AE1218" s="11"/>
    </row>
    <row r="1219" spans="1:31" x14ac:dyDescent="0.25">
      <c r="A1219" s="18" t="s">
        <v>2</v>
      </c>
      <c r="B1219" s="21">
        <v>45905</v>
      </c>
      <c r="C1219" s="8">
        <v>3765</v>
      </c>
      <c r="D1219" s="8">
        <v>1174</v>
      </c>
      <c r="E1219" s="8">
        <v>0</v>
      </c>
      <c r="F1219" s="8"/>
      <c r="G1219" s="8">
        <v>1371.2974137931035</v>
      </c>
      <c r="H1219" s="8">
        <v>1205.75</v>
      </c>
      <c r="I1219" s="8">
        <v>0</v>
      </c>
      <c r="J1219" s="2">
        <v>36</v>
      </c>
      <c r="K1219" s="23">
        <f t="shared" si="158"/>
        <v>30377.46</v>
      </c>
      <c r="L1219" s="23">
        <f t="shared" si="156"/>
        <v>22.152349807160974</v>
      </c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AA1219" s="11"/>
      <c r="AB1219" s="11"/>
      <c r="AC1219" s="11"/>
      <c r="AD1219" s="11"/>
      <c r="AE1219" s="11"/>
    </row>
    <row r="1220" spans="1:31" x14ac:dyDescent="0.25">
      <c r="A1220" s="18" t="s">
        <v>2</v>
      </c>
      <c r="B1220" s="21">
        <v>45906</v>
      </c>
      <c r="C1220" s="7">
        <v>3260</v>
      </c>
      <c r="D1220" s="7">
        <v>3930</v>
      </c>
      <c r="E1220" s="7">
        <v>0</v>
      </c>
      <c r="F1220" s="7"/>
      <c r="G1220" s="7">
        <v>870</v>
      </c>
      <c r="H1220" s="7">
        <v>2527.85</v>
      </c>
      <c r="I1220" s="7">
        <v>0</v>
      </c>
      <c r="J1220" s="2">
        <v>35.400001525878913</v>
      </c>
      <c r="K1220" s="23">
        <f t="shared" si="158"/>
        <v>27876.2</v>
      </c>
      <c r="L1220" s="23">
        <f t="shared" si="156"/>
        <v>32.041609195402302</v>
      </c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AA1220" s="11"/>
      <c r="AB1220" s="11"/>
      <c r="AC1220" s="11"/>
      <c r="AD1220" s="11"/>
      <c r="AE1220" s="11"/>
    </row>
    <row r="1221" spans="1:31" x14ac:dyDescent="0.25">
      <c r="A1221" s="18" t="s">
        <v>2</v>
      </c>
      <c r="B1221" s="21">
        <v>45907</v>
      </c>
      <c r="C1221" s="7">
        <v>3785</v>
      </c>
      <c r="D1221" s="7">
        <v>4173</v>
      </c>
      <c r="E1221" s="7">
        <v>0</v>
      </c>
      <c r="F1221" s="7"/>
      <c r="G1221" s="7">
        <v>135</v>
      </c>
      <c r="H1221" s="7">
        <v>2567.5000000000005</v>
      </c>
      <c r="I1221" s="7">
        <v>0</v>
      </c>
      <c r="J1221" s="2">
        <v>33.25</v>
      </c>
      <c r="K1221" s="23">
        <f t="shared" si="158"/>
        <v>32154.92</v>
      </c>
      <c r="L1221" s="23">
        <f t="shared" si="156"/>
        <v>238.18459259259257</v>
      </c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AA1221" s="11"/>
      <c r="AB1221" s="11"/>
      <c r="AC1221" s="11"/>
      <c r="AD1221" s="11"/>
      <c r="AE1221" s="11"/>
    </row>
    <row r="1222" spans="1:31" x14ac:dyDescent="0.25">
      <c r="A1222" s="18" t="s">
        <v>2</v>
      </c>
      <c r="B1222" s="21">
        <v>45908</v>
      </c>
      <c r="C1222" s="7">
        <v>1440</v>
      </c>
      <c r="D1222" s="7">
        <v>4681</v>
      </c>
      <c r="E1222" s="7">
        <v>6700</v>
      </c>
      <c r="F1222" s="7"/>
      <c r="G1222" s="7">
        <v>4196.5928571428576</v>
      </c>
      <c r="H1222" s="7">
        <v>3799.9</v>
      </c>
      <c r="I1222" s="7">
        <v>36210</v>
      </c>
      <c r="J1222" s="2">
        <v>26.75</v>
      </c>
      <c r="K1222" s="23">
        <f t="shared" si="158"/>
        <v>66163.740000000005</v>
      </c>
      <c r="L1222" s="23">
        <f t="shared" si="156"/>
        <v>15.766061243559825</v>
      </c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AA1222" s="11"/>
      <c r="AB1222" s="11"/>
      <c r="AC1222" s="11"/>
      <c r="AD1222" s="11"/>
      <c r="AE1222" s="11"/>
    </row>
    <row r="1223" spans="1:31" x14ac:dyDescent="0.25">
      <c r="A1223" s="18" t="s">
        <v>2</v>
      </c>
      <c r="B1223" s="21">
        <v>45909</v>
      </c>
      <c r="C1223" s="7">
        <v>3307</v>
      </c>
      <c r="D1223" s="7">
        <v>6559</v>
      </c>
      <c r="E1223" s="7">
        <v>0</v>
      </c>
      <c r="F1223" s="7"/>
      <c r="G1223" s="7">
        <v>3757.6740740740743</v>
      </c>
      <c r="H1223" s="7">
        <v>6234.8</v>
      </c>
      <c r="I1223" s="7">
        <v>0</v>
      </c>
      <c r="J1223" s="2">
        <v>29.10000038146973</v>
      </c>
      <c r="K1223" s="23">
        <f t="shared" si="158"/>
        <v>29667.160000000003</v>
      </c>
      <c r="L1223" s="23">
        <f t="shared" si="156"/>
        <v>7.8950860067102191</v>
      </c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AA1223" s="11"/>
      <c r="AB1223" s="11"/>
      <c r="AC1223" s="11"/>
      <c r="AD1223" s="11"/>
      <c r="AE1223" s="11"/>
    </row>
    <row r="1224" spans="1:31" x14ac:dyDescent="0.25">
      <c r="A1224" s="18" t="s">
        <v>2</v>
      </c>
      <c r="B1224" s="21">
        <v>45910</v>
      </c>
      <c r="C1224" s="8">
        <v>2092</v>
      </c>
      <c r="D1224" s="8">
        <v>1585</v>
      </c>
      <c r="E1224" s="8">
        <v>8475</v>
      </c>
      <c r="F1224" s="8"/>
      <c r="G1224" s="8">
        <v>2523</v>
      </c>
      <c r="H1224" s="8">
        <v>1102</v>
      </c>
      <c r="I1224" s="8">
        <v>46980</v>
      </c>
      <c r="J1224" s="2">
        <v>33.450000762939453</v>
      </c>
      <c r="K1224" s="23">
        <f t="shared" si="158"/>
        <v>83487.7</v>
      </c>
      <c r="L1224" s="23">
        <f t="shared" si="156"/>
        <v>33.090646056282203</v>
      </c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AA1224" s="11"/>
      <c r="AB1224" s="11"/>
      <c r="AC1224" s="11"/>
      <c r="AD1224" s="11"/>
      <c r="AE1224" s="11"/>
    </row>
    <row r="1225" spans="1:31" x14ac:dyDescent="0.25">
      <c r="A1225" s="18" t="s">
        <v>2</v>
      </c>
      <c r="B1225" s="21">
        <v>45911</v>
      </c>
      <c r="C1225" s="7">
        <v>3469</v>
      </c>
      <c r="D1225" s="7">
        <v>3144</v>
      </c>
      <c r="E1225" s="7">
        <v>0</v>
      </c>
      <c r="F1225" s="7"/>
      <c r="G1225" s="7">
        <v>2310</v>
      </c>
      <c r="H1225" s="7">
        <v>1456.7999999999997</v>
      </c>
      <c r="I1225" s="7">
        <v>0</v>
      </c>
      <c r="J1225" s="2">
        <v>37.150001525878913</v>
      </c>
      <c r="K1225" s="23">
        <f t="shared" si="158"/>
        <v>29102.86</v>
      </c>
      <c r="L1225" s="23">
        <f t="shared" ref="L1225:L1288" si="159">K1225/G1225</f>
        <v>12.598640692640693</v>
      </c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AA1225" s="11"/>
      <c r="AB1225" s="11"/>
      <c r="AC1225" s="11"/>
      <c r="AD1225" s="11"/>
      <c r="AE1225" s="11"/>
    </row>
    <row r="1226" spans="1:31" x14ac:dyDescent="0.25">
      <c r="A1226" s="18" t="s">
        <v>2</v>
      </c>
      <c r="B1226" s="21">
        <v>45912</v>
      </c>
      <c r="C1226" s="7">
        <v>3867</v>
      </c>
      <c r="D1226" s="7">
        <v>1403</v>
      </c>
      <c r="E1226" s="7">
        <v>4225</v>
      </c>
      <c r="F1226" s="7"/>
      <c r="G1226" s="7">
        <v>2475</v>
      </c>
      <c r="H1226" s="7">
        <v>813.99</v>
      </c>
      <c r="I1226" s="7">
        <v>23805</v>
      </c>
      <c r="J1226" s="2">
        <v>36.400001525878913</v>
      </c>
      <c r="K1226" s="23">
        <f t="shared" si="158"/>
        <v>64261.919999999998</v>
      </c>
      <c r="L1226" s="23">
        <f t="shared" si="159"/>
        <v>25.964412121212121</v>
      </c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AA1226" s="11"/>
      <c r="AB1226" s="11"/>
      <c r="AC1226" s="11"/>
      <c r="AD1226" s="11"/>
      <c r="AE1226" s="11"/>
    </row>
    <row r="1227" spans="1:31" x14ac:dyDescent="0.25">
      <c r="A1227" s="18" t="s">
        <v>2</v>
      </c>
      <c r="B1227" s="21">
        <v>45913</v>
      </c>
      <c r="C1227" s="7">
        <v>3373</v>
      </c>
      <c r="D1227" s="7">
        <v>950</v>
      </c>
      <c r="E1227" s="7">
        <v>0</v>
      </c>
      <c r="F1227" s="7"/>
      <c r="G1227" s="7">
        <v>2580</v>
      </c>
      <c r="H1227" s="7">
        <v>0</v>
      </c>
      <c r="I1227" s="7">
        <v>0</v>
      </c>
      <c r="J1227" s="2">
        <v>37.349998474121087</v>
      </c>
      <c r="K1227" s="23">
        <f t="shared" si="158"/>
        <v>27159.7</v>
      </c>
      <c r="L1227" s="23">
        <f t="shared" si="159"/>
        <v>10.527015503875969</v>
      </c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AA1227" s="11"/>
      <c r="AB1227" s="11"/>
      <c r="AC1227" s="11"/>
      <c r="AD1227" s="11"/>
      <c r="AE1227" s="11"/>
    </row>
    <row r="1228" spans="1:31" x14ac:dyDescent="0.25">
      <c r="A1228" s="18" t="s">
        <v>2</v>
      </c>
      <c r="B1228" s="21">
        <v>45914</v>
      </c>
      <c r="C1228" s="7">
        <v>3114</v>
      </c>
      <c r="D1228" s="7">
        <v>900</v>
      </c>
      <c r="E1228" s="7">
        <v>0</v>
      </c>
      <c r="F1228" s="7"/>
      <c r="G1228" s="7">
        <v>930</v>
      </c>
      <c r="H1228" s="7">
        <v>0</v>
      </c>
      <c r="I1228" s="7">
        <v>0</v>
      </c>
      <c r="J1228" s="2">
        <v>36.599998474121087</v>
      </c>
      <c r="K1228" s="23">
        <f t="shared" si="158"/>
        <v>25086.600000000002</v>
      </c>
      <c r="L1228" s="23">
        <f t="shared" si="159"/>
        <v>26.974838709677421</v>
      </c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AA1228" s="11"/>
      <c r="AB1228" s="11"/>
      <c r="AC1228" s="11"/>
      <c r="AD1228" s="11"/>
      <c r="AE1228" s="11"/>
    </row>
    <row r="1229" spans="1:31" x14ac:dyDescent="0.25">
      <c r="A1229" s="18" t="s">
        <v>2</v>
      </c>
      <c r="B1229" s="21">
        <v>45915</v>
      </c>
      <c r="C1229" s="8">
        <v>2226</v>
      </c>
      <c r="D1229" s="8">
        <v>4952</v>
      </c>
      <c r="E1229" s="8">
        <v>4750</v>
      </c>
      <c r="F1229" s="8"/>
      <c r="G1229" s="8">
        <v>2065.44</v>
      </c>
      <c r="H1229" s="8">
        <v>4051.44</v>
      </c>
      <c r="I1229" s="8">
        <v>27636</v>
      </c>
      <c r="J1229" s="2">
        <v>38.650001525878913</v>
      </c>
      <c r="K1229" s="23">
        <f t="shared" si="158"/>
        <v>57309.48</v>
      </c>
      <c r="L1229" s="23">
        <f t="shared" si="159"/>
        <v>27.746862653962353</v>
      </c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AA1229" s="11"/>
      <c r="AB1229" s="11"/>
      <c r="AC1229" s="11"/>
      <c r="AD1229" s="11"/>
      <c r="AE1229" s="11"/>
    </row>
    <row r="1230" spans="1:31" x14ac:dyDescent="0.25">
      <c r="A1230" s="18" t="s">
        <v>2</v>
      </c>
      <c r="B1230" s="21">
        <v>45916</v>
      </c>
      <c r="C1230" s="7">
        <v>4231</v>
      </c>
      <c r="D1230" s="7">
        <v>4538</v>
      </c>
      <c r="E1230" s="7">
        <v>0</v>
      </c>
      <c r="F1230" s="7"/>
      <c r="G1230" s="7">
        <v>2810.93</v>
      </c>
      <c r="H1230" s="7">
        <v>2632.0699999999997</v>
      </c>
      <c r="I1230" s="7">
        <v>0</v>
      </c>
      <c r="J1230" s="2">
        <v>37.799999237060547</v>
      </c>
      <c r="K1230" s="23">
        <f t="shared" si="158"/>
        <v>35875.42</v>
      </c>
      <c r="L1230" s="23">
        <f t="shared" si="159"/>
        <v>12.762829383869395</v>
      </c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AA1230" s="11"/>
      <c r="AB1230" s="11"/>
      <c r="AC1230" s="11"/>
      <c r="AD1230" s="11"/>
      <c r="AE1230" s="11"/>
    </row>
    <row r="1231" spans="1:31" x14ac:dyDescent="0.25">
      <c r="A1231" s="18" t="s">
        <v>2</v>
      </c>
      <c r="B1231" s="21">
        <v>45917</v>
      </c>
      <c r="C1231" s="7">
        <v>2413</v>
      </c>
      <c r="D1231" s="7">
        <v>950</v>
      </c>
      <c r="E1231" s="7">
        <v>4300</v>
      </c>
      <c r="F1231" s="7"/>
      <c r="G1231" s="7">
        <v>3450</v>
      </c>
      <c r="H1231" s="7">
        <v>0</v>
      </c>
      <c r="I1231" s="7">
        <v>25568</v>
      </c>
      <c r="J1231" s="2">
        <v>38.099998474121087</v>
      </c>
      <c r="K1231" s="23">
        <f t="shared" si="158"/>
        <v>53115.7</v>
      </c>
      <c r="L1231" s="23">
        <f t="shared" si="159"/>
        <v>15.395855072463767</v>
      </c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AA1231" s="11"/>
      <c r="AB1231" s="11"/>
      <c r="AC1231" s="11"/>
      <c r="AD1231" s="11"/>
      <c r="AE1231" s="11"/>
    </row>
    <row r="1232" spans="1:31" x14ac:dyDescent="0.25">
      <c r="A1232" s="18" t="s">
        <v>2</v>
      </c>
      <c r="B1232" s="21">
        <v>45918</v>
      </c>
      <c r="C1232" s="7">
        <v>1481</v>
      </c>
      <c r="D1232" s="7">
        <v>4834</v>
      </c>
      <c r="E1232" s="7">
        <v>0</v>
      </c>
      <c r="F1232" s="7"/>
      <c r="G1232" s="7">
        <v>2263.5080000000003</v>
      </c>
      <c r="H1232" s="7">
        <v>3122.08</v>
      </c>
      <c r="I1232" s="7">
        <v>0</v>
      </c>
      <c r="J1232" s="2">
        <v>38.650001525878913</v>
      </c>
      <c r="K1232" s="23">
        <f t="shared" si="158"/>
        <v>14310.26</v>
      </c>
      <c r="L1232" s="23">
        <f t="shared" si="159"/>
        <v>6.3221601160676251</v>
      </c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AA1232" s="11"/>
      <c r="AB1232" s="11"/>
      <c r="AC1232" s="11"/>
      <c r="AD1232" s="11"/>
      <c r="AE1232" s="11"/>
    </row>
    <row r="1233" spans="1:31" x14ac:dyDescent="0.25">
      <c r="A1233" s="18" t="s">
        <v>2</v>
      </c>
      <c r="B1233" s="21">
        <v>45919</v>
      </c>
      <c r="C1233" s="7">
        <v>3781</v>
      </c>
      <c r="D1233" s="7">
        <v>4148</v>
      </c>
      <c r="E1233" s="7">
        <v>950</v>
      </c>
      <c r="F1233" s="7"/>
      <c r="G1233" s="7">
        <v>2100</v>
      </c>
      <c r="H1233" s="7">
        <v>2490</v>
      </c>
      <c r="I1233" s="7">
        <v>3445</v>
      </c>
      <c r="J1233" s="2">
        <v>36.700000762939453</v>
      </c>
      <c r="K1233" s="23">
        <f t="shared" si="158"/>
        <v>39519.82</v>
      </c>
      <c r="L1233" s="23">
        <f t="shared" si="159"/>
        <v>18.818961904761906</v>
      </c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AA1233" s="11"/>
      <c r="AB1233" s="11"/>
      <c r="AC1233" s="11"/>
      <c r="AD1233" s="11"/>
      <c r="AE1233" s="11"/>
    </row>
    <row r="1234" spans="1:31" x14ac:dyDescent="0.25">
      <c r="A1234" s="18" t="s">
        <v>2</v>
      </c>
      <c r="B1234" s="21">
        <v>45920</v>
      </c>
      <c r="C1234" s="8">
        <v>3809</v>
      </c>
      <c r="D1234" s="8">
        <v>3841</v>
      </c>
      <c r="E1234" s="8">
        <v>0</v>
      </c>
      <c r="F1234" s="8"/>
      <c r="G1234" s="8">
        <v>2511.3234042553195</v>
      </c>
      <c r="H1234" s="8">
        <v>2146.04</v>
      </c>
      <c r="I1234" s="8">
        <v>0</v>
      </c>
      <c r="J1234" s="2">
        <v>30.29999923706055</v>
      </c>
      <c r="K1234" s="23">
        <f t="shared" si="158"/>
        <v>32165.24</v>
      </c>
      <c r="L1234" s="23">
        <f t="shared" si="159"/>
        <v>12.808083556859907</v>
      </c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AA1234" s="11"/>
      <c r="AB1234" s="11"/>
      <c r="AC1234" s="11"/>
      <c r="AD1234" s="11"/>
      <c r="AE1234" s="11"/>
    </row>
    <row r="1235" spans="1:31" x14ac:dyDescent="0.25">
      <c r="A1235" s="18" t="s">
        <v>2</v>
      </c>
      <c r="B1235" s="21">
        <v>45921</v>
      </c>
      <c r="C1235" s="7">
        <v>3459</v>
      </c>
      <c r="D1235" s="7">
        <v>1338</v>
      </c>
      <c r="E1235" s="7">
        <v>0</v>
      </c>
      <c r="F1235" s="7"/>
      <c r="G1235" s="7">
        <v>2100</v>
      </c>
      <c r="H1235" s="7">
        <v>780</v>
      </c>
      <c r="I1235" s="7">
        <v>0</v>
      </c>
      <c r="J1235" s="2">
        <v>29.75</v>
      </c>
      <c r="K1235" s="23">
        <f t="shared" si="158"/>
        <v>28048.620000000003</v>
      </c>
      <c r="L1235" s="23">
        <f t="shared" si="159"/>
        <v>13.356485714285716</v>
      </c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AA1235" s="11"/>
      <c r="AB1235" s="11"/>
      <c r="AC1235" s="11"/>
      <c r="AD1235" s="11"/>
      <c r="AE1235" s="11"/>
    </row>
    <row r="1236" spans="1:31" x14ac:dyDescent="0.25">
      <c r="A1236" s="18" t="s">
        <v>2</v>
      </c>
      <c r="B1236" s="21">
        <v>45922</v>
      </c>
      <c r="C1236" s="7">
        <v>2810</v>
      </c>
      <c r="D1236" s="7">
        <v>4370</v>
      </c>
      <c r="E1236" s="7">
        <v>1000</v>
      </c>
      <c r="F1236" s="7"/>
      <c r="G1236" s="7">
        <v>1153.9343790849673</v>
      </c>
      <c r="H1236" s="7">
        <v>2418.52</v>
      </c>
      <c r="I1236" s="7">
        <v>3726</v>
      </c>
      <c r="J1236" s="2">
        <v>26.64999961853027</v>
      </c>
      <c r="K1236" s="23">
        <f t="shared" si="158"/>
        <v>32358.799999999999</v>
      </c>
      <c r="L1236" s="23">
        <f t="shared" si="159"/>
        <v>28.042149178066332</v>
      </c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AA1236" s="11"/>
      <c r="AB1236" s="11"/>
      <c r="AC1236" s="11"/>
      <c r="AD1236" s="11"/>
      <c r="AE1236" s="11"/>
    </row>
    <row r="1237" spans="1:31" x14ac:dyDescent="0.25">
      <c r="A1237" s="18" t="s">
        <v>2</v>
      </c>
      <c r="B1237" s="21">
        <v>45923</v>
      </c>
      <c r="C1237" s="7">
        <v>3357</v>
      </c>
      <c r="D1237" s="7">
        <v>4090</v>
      </c>
      <c r="E1237" s="7">
        <v>0</v>
      </c>
      <c r="F1237" s="7"/>
      <c r="G1237" s="7">
        <v>2088</v>
      </c>
      <c r="H1237" s="7">
        <v>2763</v>
      </c>
      <c r="I1237" s="7">
        <v>0</v>
      </c>
      <c r="J1237" s="2">
        <v>27.95000076293945</v>
      </c>
      <c r="K1237" s="23">
        <f t="shared" si="158"/>
        <v>28728.9</v>
      </c>
      <c r="L1237" s="23">
        <f t="shared" si="159"/>
        <v>13.759051724137931</v>
      </c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AA1237" s="11"/>
      <c r="AB1237" s="11"/>
      <c r="AC1237" s="11"/>
      <c r="AD1237" s="11"/>
      <c r="AE1237" s="11"/>
    </row>
    <row r="1238" spans="1:31" x14ac:dyDescent="0.25">
      <c r="A1238" s="18" t="s">
        <v>2</v>
      </c>
      <c r="B1238" s="21">
        <v>45924</v>
      </c>
      <c r="C1238" s="7">
        <v>3359</v>
      </c>
      <c r="D1238" s="7">
        <v>5287</v>
      </c>
      <c r="E1238" s="7">
        <v>900</v>
      </c>
      <c r="F1238" s="7"/>
      <c r="G1238" s="7">
        <v>4057.7708333333335</v>
      </c>
      <c r="H1238" s="7">
        <v>3782</v>
      </c>
      <c r="I1238" s="7">
        <v>6270</v>
      </c>
      <c r="J1238" s="2">
        <v>26.70000076293945</v>
      </c>
      <c r="K1238" s="23">
        <f t="shared" si="158"/>
        <v>36411.08</v>
      </c>
      <c r="L1238" s="23">
        <f t="shared" si="159"/>
        <v>8.9731730784040913</v>
      </c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AA1238" s="11"/>
      <c r="AB1238" s="11"/>
      <c r="AC1238" s="11"/>
      <c r="AD1238" s="11"/>
      <c r="AE1238" s="11"/>
    </row>
    <row r="1239" spans="1:31" x14ac:dyDescent="0.25">
      <c r="A1239" s="18" t="s">
        <v>2</v>
      </c>
      <c r="B1239" s="21">
        <v>45925</v>
      </c>
      <c r="C1239" s="8">
        <v>3196</v>
      </c>
      <c r="D1239" s="8">
        <v>4801</v>
      </c>
      <c r="E1239" s="8">
        <v>0</v>
      </c>
      <c r="F1239" s="8"/>
      <c r="G1239" s="8">
        <v>4358</v>
      </c>
      <c r="H1239" s="8">
        <v>2601</v>
      </c>
      <c r="I1239" s="8">
        <v>0</v>
      </c>
      <c r="J1239" s="2">
        <v>27.79999923706055</v>
      </c>
      <c r="K1239" s="23">
        <f t="shared" si="158"/>
        <v>27840.940000000002</v>
      </c>
      <c r="L1239" s="23">
        <f t="shared" si="159"/>
        <v>6.3884671867829281</v>
      </c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AA1239" s="11"/>
      <c r="AB1239" s="11"/>
      <c r="AC1239" s="11"/>
      <c r="AD1239" s="11"/>
      <c r="AE1239" s="11"/>
    </row>
    <row r="1240" spans="1:31" x14ac:dyDescent="0.25">
      <c r="A1240" s="18" t="s">
        <v>2</v>
      </c>
      <c r="B1240" s="21">
        <v>45926</v>
      </c>
      <c r="C1240" s="9">
        <v>3167</v>
      </c>
      <c r="D1240" s="9">
        <v>4699</v>
      </c>
      <c r="E1240" s="9">
        <v>975</v>
      </c>
      <c r="F1240" s="9"/>
      <c r="G1240" s="9">
        <v>4165</v>
      </c>
      <c r="H1240" s="9">
        <v>2395</v>
      </c>
      <c r="I1240" s="9">
        <v>6270</v>
      </c>
      <c r="J1240" s="2">
        <v>29.45000076293945</v>
      </c>
      <c r="K1240" s="23">
        <f t="shared" si="158"/>
        <v>35161.760000000002</v>
      </c>
      <c r="L1240" s="23">
        <f t="shared" si="159"/>
        <v>8.4421992797118861</v>
      </c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AA1240" s="11"/>
      <c r="AB1240" s="11"/>
      <c r="AC1240" s="11"/>
      <c r="AD1240" s="11"/>
      <c r="AE1240" s="11"/>
    </row>
    <row r="1241" spans="1:31" x14ac:dyDescent="0.25">
      <c r="A1241" s="18" t="s">
        <v>2</v>
      </c>
      <c r="B1241" s="21">
        <v>45927</v>
      </c>
      <c r="C1241" s="10">
        <v>2992</v>
      </c>
      <c r="D1241" s="10">
        <v>5635</v>
      </c>
      <c r="E1241" s="10">
        <v>0</v>
      </c>
      <c r="F1241" s="10"/>
      <c r="G1241" s="10">
        <v>2385</v>
      </c>
      <c r="H1241" s="10">
        <v>3510</v>
      </c>
      <c r="I1241" s="10">
        <v>0</v>
      </c>
      <c r="J1241" s="2">
        <v>26.70000076293945</v>
      </c>
      <c r="K1241" s="23">
        <f t="shared" si="158"/>
        <v>26679.7</v>
      </c>
      <c r="L1241" s="23">
        <f t="shared" si="159"/>
        <v>11.186457023060797</v>
      </c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AA1241" s="11"/>
      <c r="AB1241" s="11"/>
      <c r="AC1241" s="11"/>
      <c r="AD1241" s="11"/>
      <c r="AE1241" s="11"/>
    </row>
    <row r="1242" spans="1:31" x14ac:dyDescent="0.25">
      <c r="A1242" s="18" t="s">
        <v>2</v>
      </c>
      <c r="B1242" s="21">
        <v>45928</v>
      </c>
      <c r="C1242" s="7">
        <v>3360</v>
      </c>
      <c r="D1242" s="7">
        <v>1214</v>
      </c>
      <c r="E1242" s="7">
        <v>0</v>
      </c>
      <c r="F1242" s="7"/>
      <c r="G1242" s="7">
        <v>1864.1200000000001</v>
      </c>
      <c r="H1242" s="7">
        <v>658.87</v>
      </c>
      <c r="I1242" s="7">
        <v>0</v>
      </c>
      <c r="J1242" s="2">
        <v>26.14999961853027</v>
      </c>
      <c r="K1242" s="23">
        <f t="shared" si="158"/>
        <v>27199.56</v>
      </c>
      <c r="L1242" s="23">
        <f t="shared" si="159"/>
        <v>14.591099285453726</v>
      </c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AA1242" s="11"/>
      <c r="AB1242" s="11"/>
      <c r="AC1242" s="11"/>
      <c r="AD1242" s="11"/>
      <c r="AE1242" s="11"/>
    </row>
    <row r="1243" spans="1:31" x14ac:dyDescent="0.25">
      <c r="A1243" s="18" t="s">
        <v>2</v>
      </c>
      <c r="B1243" s="21">
        <v>45929</v>
      </c>
      <c r="C1243" s="7">
        <v>1305</v>
      </c>
      <c r="D1243" s="7">
        <v>4616</v>
      </c>
      <c r="E1243" s="7">
        <v>0</v>
      </c>
      <c r="F1243" s="7"/>
      <c r="G1243" s="7">
        <v>1519.9085416666667</v>
      </c>
      <c r="H1243" s="7">
        <v>3206.84</v>
      </c>
      <c r="I1243" s="7">
        <v>0</v>
      </c>
      <c r="J1243" s="2">
        <v>27.75</v>
      </c>
      <c r="K1243" s="23">
        <f t="shared" si="158"/>
        <v>12802.14</v>
      </c>
      <c r="L1243" s="23">
        <f t="shared" si="159"/>
        <v>8.4229673358909611</v>
      </c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AA1243" s="11"/>
      <c r="AB1243" s="11"/>
      <c r="AC1243" s="11"/>
      <c r="AD1243" s="11"/>
      <c r="AE1243" s="11"/>
    </row>
    <row r="1244" spans="1:31" x14ac:dyDescent="0.25">
      <c r="A1244" s="18" t="s">
        <v>2</v>
      </c>
      <c r="B1244" s="21">
        <v>45930</v>
      </c>
      <c r="C1244" s="7">
        <v>2068</v>
      </c>
      <c r="D1244" s="7">
        <v>5995</v>
      </c>
      <c r="E1244" s="7">
        <v>0</v>
      </c>
      <c r="F1244" s="7"/>
      <c r="G1244" s="7">
        <v>623.6335433070866</v>
      </c>
      <c r="H1244" s="7">
        <v>4281.16</v>
      </c>
      <c r="I1244" s="7">
        <v>0</v>
      </c>
      <c r="J1244" s="2">
        <v>29.29999923706055</v>
      </c>
      <c r="K1244" s="23">
        <f t="shared" si="158"/>
        <v>19574.5</v>
      </c>
      <c r="L1244" s="23">
        <f t="shared" si="159"/>
        <v>31.387824163847487</v>
      </c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AA1244" s="11"/>
      <c r="AB1244" s="11"/>
      <c r="AC1244" s="11"/>
      <c r="AD1244" s="11"/>
      <c r="AE1244" s="11"/>
    </row>
    <row r="1245" spans="1:31" x14ac:dyDescent="0.25">
      <c r="A1245" s="18" t="s">
        <v>2</v>
      </c>
      <c r="B1245" s="21">
        <v>45931</v>
      </c>
      <c r="C1245" s="7">
        <v>2113</v>
      </c>
      <c r="D1245" s="7">
        <v>6219</v>
      </c>
      <c r="E1245" s="7">
        <v>1400</v>
      </c>
      <c r="F1245" s="7"/>
      <c r="G1245" s="7">
        <v>2310</v>
      </c>
      <c r="H1245" s="7">
        <v>3615</v>
      </c>
      <c r="I1245" s="7">
        <v>9000</v>
      </c>
      <c r="J1245" s="2">
        <v>30.20000076293945</v>
      </c>
      <c r="K1245" s="23">
        <f>C1245*7.804+D1245*0.53+E1245*7.5+F1245*5</f>
        <v>30285.921999999999</v>
      </c>
      <c r="L1245" s="23">
        <f t="shared" si="159"/>
        <v>13.110788744588744</v>
      </c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AA1245" s="11"/>
      <c r="AB1245" s="11"/>
      <c r="AC1245" s="11"/>
      <c r="AD1245" s="11"/>
      <c r="AE1245" s="11"/>
    </row>
    <row r="1246" spans="1:31" x14ac:dyDescent="0.25">
      <c r="A1246" s="18" t="s">
        <v>2</v>
      </c>
      <c r="B1246" s="21">
        <v>45932</v>
      </c>
      <c r="C1246" s="7">
        <v>3764</v>
      </c>
      <c r="D1246" s="7">
        <v>6523</v>
      </c>
      <c r="E1246" s="7">
        <v>0</v>
      </c>
      <c r="F1246" s="7"/>
      <c r="G1246" s="7">
        <v>1984</v>
      </c>
      <c r="H1246" s="7">
        <v>3859.5</v>
      </c>
      <c r="I1246" s="7">
        <v>0</v>
      </c>
      <c r="J1246" s="2">
        <v>30.10000038146973</v>
      </c>
      <c r="K1246" s="23">
        <f t="shared" ref="K1246:K1275" si="160">C1246*7.804+D1246*0.53+E1246*7.5+F1246*5</f>
        <v>32831.446000000004</v>
      </c>
      <c r="L1246" s="23">
        <f t="shared" si="159"/>
        <v>16.548107862903226</v>
      </c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AA1246" s="11"/>
      <c r="AB1246" s="11"/>
      <c r="AC1246" s="11"/>
      <c r="AD1246" s="11"/>
      <c r="AE1246" s="11"/>
    </row>
    <row r="1247" spans="1:31" x14ac:dyDescent="0.25">
      <c r="A1247" s="18" t="s">
        <v>2</v>
      </c>
      <c r="B1247" s="21">
        <v>45933</v>
      </c>
      <c r="C1247" s="7">
        <v>2827</v>
      </c>
      <c r="D1247" s="7">
        <v>5703</v>
      </c>
      <c r="E1247" s="7">
        <v>900</v>
      </c>
      <c r="F1247" s="7"/>
      <c r="G1247" s="7">
        <v>3021.5103875968989</v>
      </c>
      <c r="H1247" s="7">
        <v>4283.24</v>
      </c>
      <c r="I1247" s="7">
        <v>8550</v>
      </c>
      <c r="J1247" s="2">
        <v>29.64999961853027</v>
      </c>
      <c r="K1247" s="23">
        <f t="shared" si="160"/>
        <v>31834.498</v>
      </c>
      <c r="L1247" s="23">
        <f t="shared" si="159"/>
        <v>10.535955173504787</v>
      </c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AA1247" s="11"/>
      <c r="AB1247" s="11"/>
      <c r="AC1247" s="11"/>
      <c r="AD1247" s="11"/>
      <c r="AE1247" s="11"/>
    </row>
    <row r="1248" spans="1:31" x14ac:dyDescent="0.25">
      <c r="A1248" s="18" t="s">
        <v>2</v>
      </c>
      <c r="B1248" s="21">
        <v>45934</v>
      </c>
      <c r="C1248" s="7">
        <v>2569</v>
      </c>
      <c r="D1248" s="7">
        <v>5269</v>
      </c>
      <c r="E1248" s="7">
        <v>0</v>
      </c>
      <c r="F1248" s="7"/>
      <c r="G1248" s="7">
        <v>2646.4467469879519</v>
      </c>
      <c r="H1248" s="7">
        <v>4132.4400000000005</v>
      </c>
      <c r="I1248" s="7">
        <v>0</v>
      </c>
      <c r="J1248" s="2">
        <v>28.79999923706055</v>
      </c>
      <c r="K1248" s="23">
        <f t="shared" si="160"/>
        <v>22841.046000000002</v>
      </c>
      <c r="L1248" s="23">
        <f t="shared" si="159"/>
        <v>8.6308352986873782</v>
      </c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AA1248" s="11"/>
      <c r="AB1248" s="11"/>
      <c r="AC1248" s="11"/>
      <c r="AD1248" s="11"/>
      <c r="AE1248" s="11"/>
    </row>
    <row r="1249" spans="1:31" x14ac:dyDescent="0.25">
      <c r="A1249" s="18" t="s">
        <v>2</v>
      </c>
      <c r="B1249" s="21">
        <v>45935</v>
      </c>
      <c r="C1249" s="8">
        <v>2711</v>
      </c>
      <c r="D1249" s="8">
        <v>1597</v>
      </c>
      <c r="E1249" s="8">
        <v>0</v>
      </c>
      <c r="F1249" s="8"/>
      <c r="G1249" s="8">
        <v>3418.3381818181815</v>
      </c>
      <c r="H1249" s="8">
        <v>1128.92</v>
      </c>
      <c r="I1249" s="8">
        <v>0</v>
      </c>
      <c r="J1249" s="2">
        <v>32.650001525878913</v>
      </c>
      <c r="K1249" s="23">
        <f t="shared" si="160"/>
        <v>22003.054</v>
      </c>
      <c r="L1249" s="23">
        <f t="shared" si="159"/>
        <v>6.4367692222589827</v>
      </c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AA1249" s="11"/>
      <c r="AB1249" s="11"/>
      <c r="AC1249" s="11"/>
      <c r="AD1249" s="11"/>
      <c r="AE1249" s="11"/>
    </row>
    <row r="1250" spans="1:31" x14ac:dyDescent="0.25">
      <c r="A1250" s="18" t="s">
        <v>2</v>
      </c>
      <c r="B1250" s="21">
        <v>45936</v>
      </c>
      <c r="C1250" s="7">
        <v>1649</v>
      </c>
      <c r="D1250" s="7">
        <v>4217</v>
      </c>
      <c r="E1250" s="7">
        <v>3875</v>
      </c>
      <c r="F1250" s="7"/>
      <c r="G1250" s="7">
        <v>2443</v>
      </c>
      <c r="H1250" s="7">
        <v>2698.8</v>
      </c>
      <c r="I1250" s="7">
        <v>20808</v>
      </c>
      <c r="J1250" s="2">
        <v>31.85000038146973</v>
      </c>
      <c r="K1250" s="23">
        <f t="shared" si="160"/>
        <v>44166.305999999997</v>
      </c>
      <c r="L1250" s="23">
        <f t="shared" si="159"/>
        <v>18.078717151043797</v>
      </c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AA1250" s="11"/>
      <c r="AB1250" s="11"/>
      <c r="AC1250" s="11"/>
      <c r="AD1250" s="11"/>
      <c r="AE1250" s="11"/>
    </row>
    <row r="1251" spans="1:31" x14ac:dyDescent="0.25">
      <c r="A1251" s="18" t="s">
        <v>2</v>
      </c>
      <c r="B1251" s="21">
        <v>45937</v>
      </c>
      <c r="C1251" s="7">
        <v>3052</v>
      </c>
      <c r="D1251" s="7">
        <v>7002</v>
      </c>
      <c r="E1251" s="7">
        <v>0</v>
      </c>
      <c r="F1251" s="7"/>
      <c r="G1251" s="7">
        <v>2510.8516996047433</v>
      </c>
      <c r="H1251" s="7">
        <v>4229.1600000000008</v>
      </c>
      <c r="I1251" s="7">
        <v>0</v>
      </c>
      <c r="J1251" s="2">
        <v>28.70000076293945</v>
      </c>
      <c r="K1251" s="23">
        <f t="shared" si="160"/>
        <v>27528.868000000002</v>
      </c>
      <c r="L1251" s="23">
        <f t="shared" si="159"/>
        <v>10.963956176437494</v>
      </c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AA1251" s="11"/>
      <c r="AB1251" s="11"/>
      <c r="AC1251" s="11"/>
      <c r="AD1251" s="11"/>
      <c r="AE1251" s="11"/>
    </row>
    <row r="1252" spans="1:31" x14ac:dyDescent="0.25">
      <c r="A1252" s="18" t="s">
        <v>2</v>
      </c>
      <c r="B1252" s="21">
        <v>45938</v>
      </c>
      <c r="C1252" s="7">
        <v>2540</v>
      </c>
      <c r="D1252" s="7">
        <v>6344</v>
      </c>
      <c r="E1252" s="7">
        <v>800</v>
      </c>
      <c r="F1252" s="7"/>
      <c r="G1252" s="7">
        <v>2025</v>
      </c>
      <c r="H1252" s="7">
        <v>3120</v>
      </c>
      <c r="I1252" s="7">
        <v>6300</v>
      </c>
      <c r="J1252" s="2">
        <v>26.14999961853027</v>
      </c>
      <c r="K1252" s="23">
        <f t="shared" si="160"/>
        <v>29184.48</v>
      </c>
      <c r="L1252" s="23">
        <f t="shared" si="159"/>
        <v>14.412088888888889</v>
      </c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AA1252" s="11"/>
      <c r="AB1252" s="11"/>
      <c r="AC1252" s="11"/>
      <c r="AD1252" s="11"/>
      <c r="AE1252" s="11"/>
    </row>
    <row r="1253" spans="1:31" x14ac:dyDescent="0.25">
      <c r="A1253" s="18" t="s">
        <v>2</v>
      </c>
      <c r="B1253" s="21">
        <v>45939</v>
      </c>
      <c r="C1253" s="7">
        <v>2785</v>
      </c>
      <c r="D1253" s="7">
        <v>4582</v>
      </c>
      <c r="E1253" s="7">
        <v>0</v>
      </c>
      <c r="F1253" s="7"/>
      <c r="G1253" s="7">
        <v>4932.4200113058232</v>
      </c>
      <c r="H1253" s="7">
        <v>3258</v>
      </c>
      <c r="I1253" s="7">
        <v>0</v>
      </c>
      <c r="J1253" s="2">
        <v>25.25</v>
      </c>
      <c r="K1253" s="23">
        <f t="shared" si="160"/>
        <v>24162.6</v>
      </c>
      <c r="L1253" s="23">
        <f t="shared" si="159"/>
        <v>4.898731240367975</v>
      </c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AA1253" s="11"/>
      <c r="AB1253" s="11"/>
      <c r="AC1253" s="11"/>
      <c r="AD1253" s="11"/>
      <c r="AE1253" s="11"/>
    </row>
    <row r="1254" spans="1:31" x14ac:dyDescent="0.25">
      <c r="A1254" s="18" t="s">
        <v>2</v>
      </c>
      <c r="B1254" s="21">
        <v>45940</v>
      </c>
      <c r="C1254" s="8">
        <v>2632</v>
      </c>
      <c r="D1254" s="8">
        <v>6440</v>
      </c>
      <c r="E1254" s="8">
        <v>0</v>
      </c>
      <c r="F1254" s="8"/>
      <c r="G1254" s="8">
        <v>5451.7500827540553</v>
      </c>
      <c r="H1254" s="8">
        <v>4038</v>
      </c>
      <c r="I1254" s="8">
        <v>0</v>
      </c>
      <c r="J1254" s="2">
        <v>28.04999923706055</v>
      </c>
      <c r="K1254" s="23">
        <f t="shared" si="160"/>
        <v>23953.328000000001</v>
      </c>
      <c r="L1254" s="23">
        <f t="shared" si="159"/>
        <v>4.3936951687813837</v>
      </c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AA1254" s="11"/>
      <c r="AB1254" s="11"/>
      <c r="AC1254" s="11"/>
      <c r="AD1254" s="11"/>
      <c r="AE1254" s="11"/>
    </row>
    <row r="1255" spans="1:31" x14ac:dyDescent="0.25">
      <c r="A1255" s="18" t="s">
        <v>2</v>
      </c>
      <c r="B1255" s="21">
        <v>45941</v>
      </c>
      <c r="C1255" s="7">
        <v>2435</v>
      </c>
      <c r="D1255" s="7">
        <v>7135</v>
      </c>
      <c r="E1255" s="7">
        <v>0</v>
      </c>
      <c r="F1255" s="7"/>
      <c r="G1255" s="7">
        <v>3070.1131797235021</v>
      </c>
      <c r="H1255" s="7">
        <v>3512.08</v>
      </c>
      <c r="I1255" s="7">
        <v>0</v>
      </c>
      <c r="J1255" s="2">
        <v>28.25</v>
      </c>
      <c r="K1255" s="23">
        <f t="shared" si="160"/>
        <v>22784.29</v>
      </c>
      <c r="L1255" s="23">
        <f t="shared" si="159"/>
        <v>7.4213192368536651</v>
      </c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AA1255" s="11"/>
      <c r="AB1255" s="11"/>
      <c r="AC1255" s="11"/>
      <c r="AD1255" s="11"/>
      <c r="AE1255" s="11"/>
    </row>
    <row r="1256" spans="1:31" x14ac:dyDescent="0.25">
      <c r="A1256" s="18" t="s">
        <v>2</v>
      </c>
      <c r="B1256" s="21">
        <v>45942</v>
      </c>
      <c r="C1256" s="7">
        <v>3414</v>
      </c>
      <c r="D1256" s="7">
        <v>2039</v>
      </c>
      <c r="E1256" s="7">
        <v>0</v>
      </c>
      <c r="F1256" s="7"/>
      <c r="G1256" s="7">
        <v>1679.3114754098358</v>
      </c>
      <c r="H1256" s="7">
        <v>982.8</v>
      </c>
      <c r="I1256" s="7">
        <v>0</v>
      </c>
      <c r="J1256" s="2">
        <v>30.79999923706055</v>
      </c>
      <c r="K1256" s="23">
        <f t="shared" si="160"/>
        <v>27723.525999999998</v>
      </c>
      <c r="L1256" s="23">
        <f t="shared" si="159"/>
        <v>16.508864737694996</v>
      </c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AA1256" s="11"/>
      <c r="AB1256" s="11"/>
      <c r="AC1256" s="11"/>
      <c r="AD1256" s="11"/>
      <c r="AE1256" s="11"/>
    </row>
    <row r="1257" spans="1:31" x14ac:dyDescent="0.25">
      <c r="A1257" s="18" t="s">
        <v>2</v>
      </c>
      <c r="B1257" s="21">
        <v>45943</v>
      </c>
      <c r="C1257" s="7">
        <v>2033</v>
      </c>
      <c r="D1257" s="7">
        <v>4427</v>
      </c>
      <c r="E1257" s="7">
        <v>675</v>
      </c>
      <c r="F1257" s="7"/>
      <c r="G1257" s="7">
        <v>2413.3811377245511</v>
      </c>
      <c r="H1257" s="7">
        <v>3173.95</v>
      </c>
      <c r="I1257" s="7">
        <v>5292</v>
      </c>
      <c r="J1257" s="2">
        <v>31.70000076293945</v>
      </c>
      <c r="K1257" s="23">
        <f t="shared" si="160"/>
        <v>23274.342000000001</v>
      </c>
      <c r="L1257" s="23">
        <f t="shared" si="159"/>
        <v>9.6438733344639225</v>
      </c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AA1257" s="11"/>
      <c r="AB1257" s="11"/>
      <c r="AC1257" s="11"/>
      <c r="AD1257" s="11"/>
      <c r="AE1257" s="11"/>
    </row>
    <row r="1258" spans="1:31" x14ac:dyDescent="0.25">
      <c r="A1258" s="18" t="s">
        <v>2</v>
      </c>
      <c r="B1258" s="21">
        <v>45944</v>
      </c>
      <c r="C1258" s="7">
        <v>3085</v>
      </c>
      <c r="D1258" s="7">
        <v>4500</v>
      </c>
      <c r="E1258" s="7">
        <v>0</v>
      </c>
      <c r="F1258" s="7"/>
      <c r="G1258" s="7">
        <v>2041.0400000000002</v>
      </c>
      <c r="H1258" s="7">
        <v>3802.84</v>
      </c>
      <c r="I1258" s="7">
        <v>0</v>
      </c>
      <c r="J1258" s="2">
        <v>28.75</v>
      </c>
      <c r="K1258" s="23">
        <f t="shared" si="160"/>
        <v>26460.34</v>
      </c>
      <c r="L1258" s="23">
        <f t="shared" si="159"/>
        <v>12.964145729628031</v>
      </c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AA1258" s="11"/>
      <c r="AB1258" s="11"/>
      <c r="AC1258" s="11"/>
      <c r="AD1258" s="11"/>
      <c r="AE1258" s="11"/>
    </row>
    <row r="1259" spans="1:31" x14ac:dyDescent="0.25">
      <c r="A1259" s="18" t="s">
        <v>2</v>
      </c>
      <c r="B1259" s="21">
        <v>45945</v>
      </c>
      <c r="C1259" s="8">
        <v>3113</v>
      </c>
      <c r="D1259" s="8">
        <v>6250</v>
      </c>
      <c r="E1259" s="8">
        <v>950</v>
      </c>
      <c r="F1259" s="8"/>
      <c r="G1259" s="8">
        <v>2664.0080672268905</v>
      </c>
      <c r="H1259" s="8">
        <v>4064.3199999999997</v>
      </c>
      <c r="I1259" s="8">
        <v>3060</v>
      </c>
      <c r="J1259" s="2">
        <v>28.10000038146973</v>
      </c>
      <c r="K1259" s="23">
        <f t="shared" si="160"/>
        <v>34731.351999999999</v>
      </c>
      <c r="L1259" s="23">
        <f t="shared" si="159"/>
        <v>13.037254814379647</v>
      </c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AA1259" s="11"/>
      <c r="AB1259" s="11"/>
      <c r="AC1259" s="11"/>
      <c r="AD1259" s="11"/>
      <c r="AE1259" s="11"/>
    </row>
    <row r="1260" spans="1:31" x14ac:dyDescent="0.25">
      <c r="A1260" s="18" t="s">
        <v>2</v>
      </c>
      <c r="B1260" s="21">
        <v>45946</v>
      </c>
      <c r="C1260" s="7">
        <v>3968</v>
      </c>
      <c r="D1260" s="7">
        <v>7100</v>
      </c>
      <c r="E1260" s="7">
        <v>0</v>
      </c>
      <c r="F1260" s="7"/>
      <c r="G1260" s="7">
        <v>2110.6096654275093</v>
      </c>
      <c r="H1260" s="7">
        <v>4334</v>
      </c>
      <c r="I1260" s="7">
        <v>0</v>
      </c>
      <c r="J1260" s="2">
        <v>27.89999961853027</v>
      </c>
      <c r="K1260" s="23">
        <f t="shared" si="160"/>
        <v>34729.271999999997</v>
      </c>
      <c r="L1260" s="23">
        <f t="shared" si="159"/>
        <v>16.454616203496585</v>
      </c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AA1260" s="11"/>
      <c r="AB1260" s="11"/>
      <c r="AC1260" s="11"/>
      <c r="AD1260" s="11"/>
      <c r="AE1260" s="11"/>
    </row>
    <row r="1261" spans="1:31" x14ac:dyDescent="0.25">
      <c r="A1261" s="18" t="s">
        <v>2</v>
      </c>
      <c r="B1261" s="21">
        <v>45947</v>
      </c>
      <c r="C1261" s="7">
        <v>4306</v>
      </c>
      <c r="D1261" s="7">
        <v>6400</v>
      </c>
      <c r="E1261" s="7">
        <v>0</v>
      </c>
      <c r="F1261" s="7"/>
      <c r="G1261" s="7">
        <v>2914.2672985781987</v>
      </c>
      <c r="H1261" s="7">
        <v>3323.8399999999997</v>
      </c>
      <c r="I1261" s="7">
        <v>0</v>
      </c>
      <c r="J1261" s="2">
        <v>30.75</v>
      </c>
      <c r="K1261" s="23">
        <f t="shared" si="160"/>
        <v>36996.023999999998</v>
      </c>
      <c r="L1261" s="23">
        <f t="shared" si="159"/>
        <v>12.694794337516491</v>
      </c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AA1261" s="11"/>
      <c r="AB1261" s="11"/>
      <c r="AC1261" s="11"/>
      <c r="AD1261" s="11"/>
      <c r="AE1261" s="11"/>
    </row>
    <row r="1262" spans="1:31" x14ac:dyDescent="0.25">
      <c r="A1262" s="18" t="s">
        <v>2</v>
      </c>
      <c r="B1262" s="21">
        <v>45948</v>
      </c>
      <c r="C1262" s="7">
        <v>3260</v>
      </c>
      <c r="D1262" s="7">
        <v>6800</v>
      </c>
      <c r="E1262" s="7">
        <v>0</v>
      </c>
      <c r="F1262" s="7"/>
      <c r="G1262" s="7">
        <v>2452.5248484848485</v>
      </c>
      <c r="H1262" s="7">
        <v>3518.84</v>
      </c>
      <c r="I1262" s="7">
        <v>0</v>
      </c>
      <c r="J1262" s="2">
        <v>31</v>
      </c>
      <c r="K1262" s="23">
        <f t="shared" si="160"/>
        <v>29045.040000000001</v>
      </c>
      <c r="L1262" s="23">
        <f t="shared" si="159"/>
        <v>11.842913647926466</v>
      </c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AA1262" s="11"/>
      <c r="AB1262" s="11"/>
      <c r="AC1262" s="11"/>
      <c r="AD1262" s="11"/>
      <c r="AE1262" s="11"/>
    </row>
    <row r="1263" spans="1:31" x14ac:dyDescent="0.25">
      <c r="A1263" s="18" t="s">
        <v>2</v>
      </c>
      <c r="B1263" s="21">
        <v>45949</v>
      </c>
      <c r="C1263" s="7">
        <v>3691</v>
      </c>
      <c r="D1263" s="7">
        <v>1500</v>
      </c>
      <c r="E1263" s="7">
        <v>0</v>
      </c>
      <c r="F1263" s="7"/>
      <c r="G1263" s="7">
        <v>1991.3833333333334</v>
      </c>
      <c r="H1263" s="7">
        <v>735.28</v>
      </c>
      <c r="I1263" s="7">
        <v>0</v>
      </c>
      <c r="J1263" s="2">
        <v>28.04999923706055</v>
      </c>
      <c r="K1263" s="23">
        <f t="shared" si="160"/>
        <v>29599.564000000002</v>
      </c>
      <c r="L1263" s="23">
        <f t="shared" si="159"/>
        <v>14.863820292426539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AA1263" s="11"/>
      <c r="AB1263" s="11"/>
      <c r="AC1263" s="11"/>
      <c r="AD1263" s="11"/>
      <c r="AE1263" s="11"/>
    </row>
    <row r="1264" spans="1:31" x14ac:dyDescent="0.25">
      <c r="A1264" s="18" t="s">
        <v>2</v>
      </c>
      <c r="B1264" s="21">
        <v>45950</v>
      </c>
      <c r="C1264" s="8">
        <v>2780</v>
      </c>
      <c r="D1264" s="8">
        <v>4200</v>
      </c>
      <c r="E1264" s="8">
        <v>3725</v>
      </c>
      <c r="F1264" s="8"/>
      <c r="G1264" s="8">
        <v>1759.2487804878049</v>
      </c>
      <c r="H1264" s="8">
        <v>2622.88</v>
      </c>
      <c r="I1264" s="8">
        <v>20808</v>
      </c>
      <c r="J1264" s="2">
        <v>27.89999961853027</v>
      </c>
      <c r="K1264" s="23">
        <f t="shared" si="160"/>
        <v>51858.619999999995</v>
      </c>
      <c r="L1264" s="23">
        <f t="shared" si="159"/>
        <v>29.477706948087597</v>
      </c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AA1264" s="11"/>
      <c r="AB1264" s="11"/>
      <c r="AC1264" s="11"/>
      <c r="AD1264" s="11"/>
      <c r="AE1264" s="11"/>
    </row>
    <row r="1265" spans="1:31" x14ac:dyDescent="0.25">
      <c r="A1265" s="18" t="s">
        <v>2</v>
      </c>
      <c r="B1265" s="21">
        <v>45951</v>
      </c>
      <c r="C1265" s="7">
        <v>3850</v>
      </c>
      <c r="D1265" s="7">
        <v>1850</v>
      </c>
      <c r="E1265" s="7">
        <v>0</v>
      </c>
      <c r="F1265" s="7"/>
      <c r="G1265" s="7">
        <v>4250.9228571428575</v>
      </c>
      <c r="H1265" s="7">
        <v>875.16</v>
      </c>
      <c r="I1265" s="7">
        <v>0</v>
      </c>
      <c r="J1265" s="2">
        <v>31</v>
      </c>
      <c r="K1265" s="23">
        <f t="shared" si="160"/>
        <v>31025.9</v>
      </c>
      <c r="L1265" s="23">
        <f t="shared" si="159"/>
        <v>7.2986269200032527</v>
      </c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AA1265" s="11"/>
      <c r="AB1265" s="11"/>
      <c r="AC1265" s="11"/>
      <c r="AD1265" s="11"/>
      <c r="AE1265" s="11"/>
    </row>
    <row r="1266" spans="1:31" x14ac:dyDescent="0.25">
      <c r="A1266" s="18" t="s">
        <v>2</v>
      </c>
      <c r="B1266" s="21">
        <v>45952</v>
      </c>
      <c r="C1266" s="7">
        <v>2471</v>
      </c>
      <c r="D1266" s="7">
        <v>900</v>
      </c>
      <c r="E1266" s="7">
        <v>1375</v>
      </c>
      <c r="F1266" s="7"/>
      <c r="G1266" s="7">
        <v>4937</v>
      </c>
      <c r="H1266" s="7">
        <v>0</v>
      </c>
      <c r="I1266" s="7">
        <v>7800</v>
      </c>
      <c r="J1266" s="2">
        <v>32.349998474121087</v>
      </c>
      <c r="K1266" s="23">
        <f t="shared" si="160"/>
        <v>30073.184000000001</v>
      </c>
      <c r="L1266" s="23">
        <f t="shared" si="159"/>
        <v>6.0913882924853153</v>
      </c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AA1266" s="11"/>
      <c r="AB1266" s="11"/>
      <c r="AC1266" s="11"/>
      <c r="AD1266" s="11"/>
      <c r="AE1266" s="11"/>
    </row>
    <row r="1267" spans="1:31" x14ac:dyDescent="0.25">
      <c r="A1267" s="18" t="s">
        <v>2</v>
      </c>
      <c r="B1267" s="21">
        <v>45953</v>
      </c>
      <c r="C1267" s="7">
        <v>4390</v>
      </c>
      <c r="D1267" s="7">
        <v>4200</v>
      </c>
      <c r="E1267" s="7">
        <v>0</v>
      </c>
      <c r="F1267" s="7"/>
      <c r="G1267" s="7">
        <v>3148.3</v>
      </c>
      <c r="H1267" s="7">
        <v>2551.7800000000002</v>
      </c>
      <c r="I1267" s="7">
        <v>0</v>
      </c>
      <c r="J1267" s="2">
        <v>32.099998474121087</v>
      </c>
      <c r="K1267" s="23">
        <f t="shared" si="160"/>
        <v>36485.56</v>
      </c>
      <c r="L1267" s="23">
        <f t="shared" si="159"/>
        <v>11.588971826064858</v>
      </c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AA1267" s="11"/>
      <c r="AB1267" s="11"/>
      <c r="AC1267" s="11"/>
      <c r="AD1267" s="11"/>
      <c r="AE1267" s="11"/>
    </row>
    <row r="1268" spans="1:31" x14ac:dyDescent="0.25">
      <c r="A1268" s="18" t="s">
        <v>2</v>
      </c>
      <c r="B1268" s="21">
        <v>45954</v>
      </c>
      <c r="C1268" s="7">
        <v>3123</v>
      </c>
      <c r="D1268" s="7">
        <v>4600</v>
      </c>
      <c r="E1268" s="7">
        <v>0</v>
      </c>
      <c r="F1268" s="7"/>
      <c r="G1268" s="7">
        <v>3077.4575</v>
      </c>
      <c r="H1268" s="7">
        <v>3025.8799999999997</v>
      </c>
      <c r="I1268" s="7">
        <v>0</v>
      </c>
      <c r="J1268" s="2">
        <v>24.89999961853027</v>
      </c>
      <c r="K1268" s="23">
        <f t="shared" si="160"/>
        <v>26809.892</v>
      </c>
      <c r="L1268" s="23">
        <f t="shared" si="159"/>
        <v>8.7117017862959933</v>
      </c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AA1268" s="11"/>
      <c r="AB1268" s="11"/>
      <c r="AC1268" s="11"/>
      <c r="AD1268" s="11"/>
      <c r="AE1268" s="11"/>
    </row>
    <row r="1269" spans="1:31" x14ac:dyDescent="0.25">
      <c r="A1269" s="18" t="s">
        <v>2</v>
      </c>
      <c r="B1269" s="21">
        <v>45955</v>
      </c>
      <c r="C1269" s="8">
        <v>4317</v>
      </c>
      <c r="D1269" s="8">
        <v>1700</v>
      </c>
      <c r="E1269" s="8">
        <v>1325</v>
      </c>
      <c r="F1269" s="8"/>
      <c r="G1269" s="8">
        <v>5184.0559999999996</v>
      </c>
      <c r="H1269" s="8">
        <v>865.8</v>
      </c>
      <c r="I1269" s="8">
        <v>6953</v>
      </c>
      <c r="J1269" s="2">
        <v>24.95000076293945</v>
      </c>
      <c r="K1269" s="23">
        <f t="shared" si="160"/>
        <v>44528.368000000002</v>
      </c>
      <c r="L1269" s="23">
        <f t="shared" si="159"/>
        <v>8.5894843728539989</v>
      </c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AA1269" s="11"/>
      <c r="AB1269" s="11"/>
      <c r="AC1269" s="11"/>
      <c r="AD1269" s="11"/>
      <c r="AE1269" s="11"/>
    </row>
    <row r="1270" spans="1:31" x14ac:dyDescent="0.25">
      <c r="A1270" s="18" t="s">
        <v>2</v>
      </c>
      <c r="B1270" s="21">
        <v>45956</v>
      </c>
      <c r="C1270" s="9">
        <v>3570</v>
      </c>
      <c r="D1270" s="9">
        <v>1400</v>
      </c>
      <c r="E1270" s="9">
        <v>0</v>
      </c>
      <c r="F1270" s="9"/>
      <c r="G1270" s="9">
        <v>2823.0150000000003</v>
      </c>
      <c r="H1270" s="9">
        <v>728.52</v>
      </c>
      <c r="I1270" s="9">
        <v>0</v>
      </c>
      <c r="J1270" s="2">
        <v>29.14999961853027</v>
      </c>
      <c r="K1270" s="23">
        <f t="shared" si="160"/>
        <v>28602.280000000002</v>
      </c>
      <c r="L1270" s="23">
        <f t="shared" si="159"/>
        <v>10.131820057633416</v>
      </c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AA1270" s="11"/>
      <c r="AB1270" s="11"/>
      <c r="AC1270" s="11"/>
      <c r="AD1270" s="11"/>
      <c r="AE1270" s="11"/>
    </row>
    <row r="1271" spans="1:31" x14ac:dyDescent="0.25">
      <c r="A1271" s="18" t="s">
        <v>2</v>
      </c>
      <c r="B1271" s="21">
        <v>45957</v>
      </c>
      <c r="C1271" s="10">
        <v>1775</v>
      </c>
      <c r="D1271" s="10">
        <v>4200</v>
      </c>
      <c r="E1271" s="10">
        <v>1275</v>
      </c>
      <c r="F1271" s="10"/>
      <c r="G1271" s="10">
        <v>3288.6486486486488</v>
      </c>
      <c r="H1271" s="10">
        <v>2756</v>
      </c>
      <c r="I1271" s="10">
        <v>6953</v>
      </c>
      <c r="J1271" s="2">
        <v>29.5</v>
      </c>
      <c r="K1271" s="23">
        <f t="shared" si="160"/>
        <v>25640.6</v>
      </c>
      <c r="L1271" s="23">
        <f t="shared" si="159"/>
        <v>7.7966978961209721</v>
      </c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AA1271" s="11"/>
      <c r="AB1271" s="11"/>
      <c r="AC1271" s="11"/>
      <c r="AD1271" s="11"/>
      <c r="AE1271" s="11"/>
    </row>
    <row r="1272" spans="1:31" x14ac:dyDescent="0.25">
      <c r="A1272" s="18" t="s">
        <v>2</v>
      </c>
      <c r="B1272" s="21">
        <v>45958</v>
      </c>
      <c r="C1272" s="7">
        <v>1710</v>
      </c>
      <c r="D1272" s="7">
        <v>6700</v>
      </c>
      <c r="E1272" s="7">
        <v>0</v>
      </c>
      <c r="F1272" s="7"/>
      <c r="G1272" s="7">
        <v>3459.5579766536966</v>
      </c>
      <c r="H1272" s="7">
        <v>5292.3</v>
      </c>
      <c r="I1272" s="7">
        <v>0</v>
      </c>
      <c r="J1272" s="2">
        <v>25.39999961853027</v>
      </c>
      <c r="K1272" s="23">
        <f t="shared" si="160"/>
        <v>16895.84</v>
      </c>
      <c r="L1272" s="23">
        <f t="shared" si="159"/>
        <v>4.883814670550116</v>
      </c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AA1272" s="11"/>
      <c r="AB1272" s="11"/>
      <c r="AC1272" s="11"/>
      <c r="AD1272" s="11"/>
      <c r="AE1272" s="11"/>
    </row>
    <row r="1273" spans="1:31" x14ac:dyDescent="0.25">
      <c r="A1273" s="18" t="s">
        <v>2</v>
      </c>
      <c r="B1273" s="21">
        <v>45959</v>
      </c>
      <c r="C1273" s="7">
        <v>3358</v>
      </c>
      <c r="D1273" s="7">
        <v>7000</v>
      </c>
      <c r="E1273" s="7">
        <v>0</v>
      </c>
      <c r="F1273" s="7"/>
      <c r="G1273" s="7">
        <v>3333.6235955056181</v>
      </c>
      <c r="H1273" s="7">
        <v>5235.75</v>
      </c>
      <c r="I1273" s="7">
        <v>0</v>
      </c>
      <c r="J1273" s="2">
        <v>25.60000038146973</v>
      </c>
      <c r="K1273" s="23">
        <f t="shared" si="160"/>
        <v>29915.832000000002</v>
      </c>
      <c r="L1273" s="23">
        <f t="shared" si="159"/>
        <v>8.9739681589524505</v>
      </c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AA1273" s="11"/>
      <c r="AB1273" s="11"/>
      <c r="AC1273" s="11"/>
      <c r="AD1273" s="11"/>
      <c r="AE1273" s="11"/>
    </row>
    <row r="1274" spans="1:31" x14ac:dyDescent="0.25">
      <c r="A1274" s="18" t="s">
        <v>2</v>
      </c>
      <c r="B1274" s="21">
        <v>45960</v>
      </c>
      <c r="C1274" s="7">
        <v>3988</v>
      </c>
      <c r="D1274" s="7">
        <v>6500</v>
      </c>
      <c r="E1274" s="7">
        <v>0</v>
      </c>
      <c r="F1274" s="7"/>
      <c r="G1274" s="7">
        <v>3864</v>
      </c>
      <c r="H1274" s="7">
        <v>4426.5</v>
      </c>
      <c r="I1274" s="7">
        <v>0</v>
      </c>
      <c r="J1274" s="2">
        <v>24.95000076293945</v>
      </c>
      <c r="K1274" s="23">
        <f t="shared" si="160"/>
        <v>34567.351999999999</v>
      </c>
      <c r="L1274" s="23">
        <f t="shared" si="159"/>
        <v>8.9460020703933747</v>
      </c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AA1274" s="11"/>
      <c r="AB1274" s="11"/>
      <c r="AC1274" s="11"/>
      <c r="AD1274" s="11"/>
      <c r="AE1274" s="11"/>
    </row>
    <row r="1275" spans="1:31" x14ac:dyDescent="0.25">
      <c r="A1275" s="18" t="s">
        <v>2</v>
      </c>
      <c r="B1275" s="21">
        <v>45961</v>
      </c>
      <c r="C1275" s="7">
        <v>3203</v>
      </c>
      <c r="D1275" s="7">
        <v>5900</v>
      </c>
      <c r="E1275" s="7">
        <v>700</v>
      </c>
      <c r="F1275" s="7"/>
      <c r="G1275" s="7">
        <v>3449</v>
      </c>
      <c r="H1275" s="7">
        <v>3044</v>
      </c>
      <c r="I1275" s="7">
        <v>2450</v>
      </c>
      <c r="J1275" s="2">
        <v>26.29999923706055</v>
      </c>
      <c r="K1275" s="23">
        <f t="shared" si="160"/>
        <v>33373.212</v>
      </c>
      <c r="L1275" s="23">
        <f t="shared" si="159"/>
        <v>9.6761994781095968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AA1275" s="11"/>
      <c r="AB1275" s="11"/>
      <c r="AC1275" s="11"/>
      <c r="AD1275" s="11"/>
      <c r="AE1275" s="11"/>
    </row>
    <row r="1276" spans="1:31" x14ac:dyDescent="0.25">
      <c r="A1276" s="18" t="s">
        <v>2</v>
      </c>
      <c r="B1276" s="21">
        <v>45962</v>
      </c>
      <c r="C1276" s="7">
        <v>2347</v>
      </c>
      <c r="D1276" s="7">
        <v>5600</v>
      </c>
      <c r="E1276" s="7">
        <v>0</v>
      </c>
      <c r="F1276" s="7"/>
      <c r="G1276" s="7">
        <v>3851.6967213114754</v>
      </c>
      <c r="H1276" s="7">
        <v>2809.2295081967213</v>
      </c>
      <c r="I1276" s="7">
        <v>0</v>
      </c>
      <c r="J1276" s="2">
        <v>25.70000076293945</v>
      </c>
      <c r="K1276" s="23">
        <f>C1276*7.756+D1276*0.53+E1276*7.2+F1276*5</f>
        <v>21171.332000000002</v>
      </c>
      <c r="L1276" s="23">
        <f t="shared" si="159"/>
        <v>5.4966248725811706</v>
      </c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AA1276" s="11"/>
      <c r="AB1276" s="11"/>
      <c r="AC1276" s="11"/>
      <c r="AD1276" s="11"/>
      <c r="AE1276" s="11"/>
    </row>
    <row r="1277" spans="1:31" x14ac:dyDescent="0.25">
      <c r="A1277" s="18" t="s">
        <v>2</v>
      </c>
      <c r="B1277" s="21">
        <v>45963</v>
      </c>
      <c r="C1277" s="7">
        <v>2740</v>
      </c>
      <c r="D1277" s="7">
        <v>1900</v>
      </c>
      <c r="E1277" s="7">
        <v>0</v>
      </c>
      <c r="F1277" s="7"/>
      <c r="G1277" s="7">
        <v>1942.3500000000001</v>
      </c>
      <c r="H1277" s="7">
        <v>810.72</v>
      </c>
      <c r="I1277" s="7">
        <v>0</v>
      </c>
      <c r="J1277" s="2">
        <v>27.39999961853027</v>
      </c>
      <c r="K1277" s="23">
        <f t="shared" ref="K1277:K1304" si="161">C1277*7.756+D1277*0.53+E1277*7.2+F1277*5</f>
        <v>22258.440000000002</v>
      </c>
      <c r="L1277" s="23">
        <f t="shared" si="159"/>
        <v>11.459541277318712</v>
      </c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AA1277" s="11"/>
      <c r="AB1277" s="11"/>
      <c r="AC1277" s="11"/>
      <c r="AD1277" s="11"/>
      <c r="AE1277" s="11"/>
    </row>
    <row r="1278" spans="1:31" x14ac:dyDescent="0.25">
      <c r="A1278" s="18" t="s">
        <v>2</v>
      </c>
      <c r="B1278" s="21">
        <v>45964</v>
      </c>
      <c r="C1278" s="7">
        <v>2304</v>
      </c>
      <c r="D1278" s="7">
        <v>5700</v>
      </c>
      <c r="E1278" s="7">
        <v>750</v>
      </c>
      <c r="F1278" s="7"/>
      <c r="G1278" s="7">
        <v>3513.251368421053</v>
      </c>
      <c r="H1278" s="7">
        <v>3090.3600000000006</v>
      </c>
      <c r="I1278" s="7">
        <v>2736</v>
      </c>
      <c r="J1278" s="2">
        <v>32.349998474121087</v>
      </c>
      <c r="K1278" s="23">
        <f t="shared" si="161"/>
        <v>26290.824000000001</v>
      </c>
      <c r="L1278" s="23">
        <f t="shared" si="159"/>
        <v>7.4833313199037574</v>
      </c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AA1278" s="11"/>
      <c r="AB1278" s="11"/>
      <c r="AC1278" s="11"/>
      <c r="AD1278" s="11"/>
      <c r="AE1278" s="11"/>
    </row>
    <row r="1279" spans="1:31" x14ac:dyDescent="0.25">
      <c r="A1279" s="18" t="s">
        <v>2</v>
      </c>
      <c r="B1279" s="21">
        <v>45965</v>
      </c>
      <c r="C1279" s="7">
        <v>2965</v>
      </c>
      <c r="D1279" s="7">
        <v>6300</v>
      </c>
      <c r="E1279" s="7">
        <v>0</v>
      </c>
      <c r="F1279" s="7"/>
      <c r="G1279" s="7">
        <v>4044.0577021276604</v>
      </c>
      <c r="H1279" s="7">
        <v>3910.9200000000005</v>
      </c>
      <c r="I1279" s="7">
        <v>0</v>
      </c>
      <c r="J1279" s="2">
        <v>29.64999961853027</v>
      </c>
      <c r="K1279" s="23">
        <f t="shared" si="161"/>
        <v>26335.54</v>
      </c>
      <c r="L1279" s="23">
        <f t="shared" si="159"/>
        <v>6.5121573280579907</v>
      </c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AA1279" s="11"/>
      <c r="AB1279" s="11"/>
      <c r="AC1279" s="11"/>
      <c r="AD1279" s="11"/>
      <c r="AE1279" s="11"/>
    </row>
    <row r="1280" spans="1:31" x14ac:dyDescent="0.25">
      <c r="A1280" s="18" t="s">
        <v>2</v>
      </c>
      <c r="B1280" s="21">
        <v>45966</v>
      </c>
      <c r="C1280" s="8">
        <v>2661</v>
      </c>
      <c r="D1280" s="8">
        <v>6100</v>
      </c>
      <c r="E1280" s="8">
        <v>0</v>
      </c>
      <c r="F1280" s="8"/>
      <c r="G1280" s="8">
        <v>2906.4964028776976</v>
      </c>
      <c r="H1280" s="8">
        <v>3769</v>
      </c>
      <c r="I1280" s="8">
        <v>0</v>
      </c>
      <c r="J1280" s="2">
        <v>22.95000076293945</v>
      </c>
      <c r="K1280" s="23">
        <f t="shared" si="161"/>
        <v>23871.716</v>
      </c>
      <c r="L1280" s="23">
        <f t="shared" si="159"/>
        <v>8.2132274364299285</v>
      </c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AA1280" s="11"/>
      <c r="AB1280" s="11"/>
      <c r="AC1280" s="11"/>
      <c r="AD1280" s="11"/>
      <c r="AE1280" s="11"/>
    </row>
    <row r="1281" spans="1:31" x14ac:dyDescent="0.25">
      <c r="A1281" s="18" t="s">
        <v>2</v>
      </c>
      <c r="B1281" s="21">
        <v>45967</v>
      </c>
      <c r="C1281" s="7">
        <v>3251</v>
      </c>
      <c r="D1281" s="7">
        <v>6260</v>
      </c>
      <c r="E1281" s="7">
        <v>0</v>
      </c>
      <c r="F1281" s="7"/>
      <c r="G1281" s="7">
        <v>2911.1150442477874</v>
      </c>
      <c r="H1281" s="7">
        <v>4254</v>
      </c>
      <c r="I1281" s="7">
        <v>0</v>
      </c>
      <c r="J1281" s="2">
        <v>22</v>
      </c>
      <c r="K1281" s="23">
        <f t="shared" si="161"/>
        <v>28532.556</v>
      </c>
      <c r="L1281" s="23">
        <f t="shared" si="159"/>
        <v>9.8012464524130891</v>
      </c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AA1281" s="11"/>
      <c r="AB1281" s="11"/>
      <c r="AC1281" s="11"/>
      <c r="AD1281" s="11"/>
      <c r="AE1281" s="11"/>
    </row>
    <row r="1282" spans="1:31" x14ac:dyDescent="0.25">
      <c r="A1282" s="18" t="s">
        <v>2</v>
      </c>
      <c r="B1282" s="21">
        <v>45968</v>
      </c>
      <c r="C1282" s="7">
        <v>3503</v>
      </c>
      <c r="D1282" s="7">
        <v>4250</v>
      </c>
      <c r="E1282" s="7">
        <v>0</v>
      </c>
      <c r="F1282" s="7"/>
      <c r="G1282" s="7">
        <v>3437.2388059701489</v>
      </c>
      <c r="H1282" s="7">
        <v>2160</v>
      </c>
      <c r="I1282" s="7">
        <v>0</v>
      </c>
      <c r="J1282" s="2">
        <v>25.60000038146973</v>
      </c>
      <c r="K1282" s="23">
        <f t="shared" si="161"/>
        <v>29421.768</v>
      </c>
      <c r="L1282" s="23">
        <f t="shared" si="159"/>
        <v>8.5597101804207654</v>
      </c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AA1282" s="11"/>
      <c r="AB1282" s="11"/>
      <c r="AC1282" s="11"/>
      <c r="AD1282" s="11"/>
      <c r="AE1282" s="11"/>
    </row>
    <row r="1283" spans="1:31" x14ac:dyDescent="0.25">
      <c r="A1283" s="18" t="s">
        <v>2</v>
      </c>
      <c r="B1283" s="21">
        <v>45969</v>
      </c>
      <c r="C1283" s="7">
        <v>3732</v>
      </c>
      <c r="D1283" s="7">
        <v>1700</v>
      </c>
      <c r="E1283" s="7">
        <v>3800</v>
      </c>
      <c r="F1283" s="7"/>
      <c r="G1283" s="7">
        <v>3439.5299999999997</v>
      </c>
      <c r="H1283" s="7">
        <v>790.89</v>
      </c>
      <c r="I1283" s="7">
        <v>20064</v>
      </c>
      <c r="J1283" s="2">
        <v>24.10000038146973</v>
      </c>
      <c r="K1283" s="23">
        <f t="shared" si="161"/>
        <v>57206.392</v>
      </c>
      <c r="L1283" s="23">
        <f t="shared" si="159"/>
        <v>16.632037516753744</v>
      </c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AA1283" s="11"/>
      <c r="AB1283" s="11"/>
      <c r="AC1283" s="11"/>
      <c r="AD1283" s="11"/>
      <c r="AE1283" s="11"/>
    </row>
    <row r="1284" spans="1:31" x14ac:dyDescent="0.25">
      <c r="A1284" s="18" t="s">
        <v>2</v>
      </c>
      <c r="B1284" s="21">
        <v>45970</v>
      </c>
      <c r="C1284" s="7">
        <v>3409</v>
      </c>
      <c r="D1284" s="7">
        <v>900</v>
      </c>
      <c r="E1284" s="7">
        <v>0</v>
      </c>
      <c r="F1284" s="7"/>
      <c r="G1284" s="7">
        <v>1305</v>
      </c>
      <c r="H1284" s="7">
        <v>0</v>
      </c>
      <c r="I1284" s="7">
        <v>0</v>
      </c>
      <c r="J1284" s="2">
        <v>25.5</v>
      </c>
      <c r="K1284" s="23">
        <f t="shared" si="161"/>
        <v>26917.204000000002</v>
      </c>
      <c r="L1284" s="23">
        <f t="shared" si="159"/>
        <v>20.626209961685824</v>
      </c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AA1284" s="11"/>
      <c r="AB1284" s="11"/>
      <c r="AC1284" s="11"/>
      <c r="AD1284" s="11"/>
      <c r="AE1284" s="11"/>
    </row>
    <row r="1285" spans="1:31" x14ac:dyDescent="0.25">
      <c r="A1285" s="18" t="s">
        <v>2</v>
      </c>
      <c r="B1285" s="21">
        <v>45971</v>
      </c>
      <c r="C1285" s="8">
        <v>3489</v>
      </c>
      <c r="D1285" s="8">
        <v>4000</v>
      </c>
      <c r="E1285" s="8">
        <v>775</v>
      </c>
      <c r="F1285" s="8"/>
      <c r="G1285" s="8">
        <v>3506.9105691056911</v>
      </c>
      <c r="H1285" s="8">
        <v>2365</v>
      </c>
      <c r="I1285" s="8">
        <v>2635</v>
      </c>
      <c r="J1285" s="2">
        <v>30.75</v>
      </c>
      <c r="K1285" s="23">
        <f t="shared" si="161"/>
        <v>34760.684000000001</v>
      </c>
      <c r="L1285" s="23">
        <f t="shared" si="159"/>
        <v>9.9120531633244457</v>
      </c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AA1285" s="11"/>
      <c r="AB1285" s="11"/>
      <c r="AC1285" s="11"/>
      <c r="AD1285" s="11"/>
      <c r="AE1285" s="11"/>
    </row>
    <row r="1286" spans="1:31" x14ac:dyDescent="0.25">
      <c r="A1286" s="18" t="s">
        <v>2</v>
      </c>
      <c r="B1286" s="21">
        <v>45972</v>
      </c>
      <c r="C1286" s="7">
        <v>2730</v>
      </c>
      <c r="D1286" s="7">
        <v>5700</v>
      </c>
      <c r="E1286" s="7">
        <v>0</v>
      </c>
      <c r="F1286" s="7"/>
      <c r="G1286" s="7">
        <v>5721.2486486486487</v>
      </c>
      <c r="H1286" s="7">
        <v>3538</v>
      </c>
      <c r="I1286" s="7">
        <v>0</v>
      </c>
      <c r="J1286" s="2">
        <v>28.79999923706055</v>
      </c>
      <c r="K1286" s="23">
        <f t="shared" si="161"/>
        <v>24194.880000000001</v>
      </c>
      <c r="L1286" s="23">
        <f t="shared" si="159"/>
        <v>4.2289509660998217</v>
      </c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AA1286" s="11"/>
      <c r="AB1286" s="11"/>
      <c r="AC1286" s="11"/>
      <c r="AD1286" s="11"/>
      <c r="AE1286" s="11"/>
    </row>
    <row r="1287" spans="1:31" x14ac:dyDescent="0.25">
      <c r="A1287" s="18" t="s">
        <v>2</v>
      </c>
      <c r="B1287" s="21">
        <v>45973</v>
      </c>
      <c r="C1287" s="7">
        <v>3458</v>
      </c>
      <c r="D1287" s="7">
        <v>5700</v>
      </c>
      <c r="E1287" s="7">
        <v>2900</v>
      </c>
      <c r="F1287" s="7"/>
      <c r="G1287" s="7">
        <v>5821</v>
      </c>
      <c r="H1287" s="7">
        <v>3421</v>
      </c>
      <c r="I1287" s="7">
        <v>15470</v>
      </c>
      <c r="J1287" s="2">
        <v>20.25</v>
      </c>
      <c r="K1287" s="23">
        <f t="shared" si="161"/>
        <v>50721.248</v>
      </c>
      <c r="L1287" s="23">
        <f t="shared" si="159"/>
        <v>8.713493901391514</v>
      </c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AA1287" s="11"/>
      <c r="AB1287" s="11"/>
      <c r="AC1287" s="11"/>
      <c r="AD1287" s="11"/>
      <c r="AE1287" s="11"/>
    </row>
    <row r="1288" spans="1:31" x14ac:dyDescent="0.25">
      <c r="A1288" s="18" t="s">
        <v>2</v>
      </c>
      <c r="B1288" s="21">
        <v>45974</v>
      </c>
      <c r="C1288" s="7">
        <v>4023</v>
      </c>
      <c r="D1288" s="7">
        <v>5200</v>
      </c>
      <c r="E1288" s="7">
        <v>0</v>
      </c>
      <c r="F1288" s="7"/>
      <c r="G1288" s="7">
        <v>4422.4203821656047</v>
      </c>
      <c r="H1288" s="7">
        <v>2836</v>
      </c>
      <c r="I1288" s="7">
        <v>0</v>
      </c>
      <c r="J1288" s="2">
        <v>20.79999923706055</v>
      </c>
      <c r="K1288" s="23">
        <f t="shared" si="161"/>
        <v>33958.388000000006</v>
      </c>
      <c r="L1288" s="23">
        <f t="shared" si="159"/>
        <v>7.6786883799976975</v>
      </c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AA1288" s="11"/>
      <c r="AB1288" s="11"/>
      <c r="AC1288" s="11"/>
      <c r="AD1288" s="11"/>
      <c r="AE1288" s="11"/>
    </row>
    <row r="1289" spans="1:31" x14ac:dyDescent="0.25">
      <c r="A1289" s="18" t="s">
        <v>2</v>
      </c>
      <c r="B1289" s="21">
        <v>45975</v>
      </c>
      <c r="C1289" s="7">
        <v>3416</v>
      </c>
      <c r="D1289" s="7">
        <v>5200</v>
      </c>
      <c r="E1289" s="7">
        <v>0</v>
      </c>
      <c r="F1289" s="7"/>
      <c r="G1289" s="7">
        <v>4442.5789473684208</v>
      </c>
      <c r="H1289" s="7">
        <v>2916.9999999999995</v>
      </c>
      <c r="I1289" s="7">
        <v>0</v>
      </c>
      <c r="J1289" s="2">
        <v>21.79999923706055</v>
      </c>
      <c r="K1289" s="23">
        <f t="shared" si="161"/>
        <v>29250.495999999999</v>
      </c>
      <c r="L1289" s="23">
        <f t="shared" ref="L1289:L1352" si="162">K1289/G1289</f>
        <v>6.5841251999194403</v>
      </c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AA1289" s="11"/>
      <c r="AB1289" s="11"/>
      <c r="AC1289" s="11"/>
      <c r="AD1289" s="11"/>
      <c r="AE1289" s="11"/>
    </row>
    <row r="1290" spans="1:31" x14ac:dyDescent="0.25">
      <c r="A1290" s="18" t="s">
        <v>2</v>
      </c>
      <c r="B1290" s="21">
        <v>45976</v>
      </c>
      <c r="C1290" s="8">
        <v>4462</v>
      </c>
      <c r="D1290" s="8">
        <v>4250</v>
      </c>
      <c r="E1290" s="8">
        <v>0</v>
      </c>
      <c r="F1290" s="8"/>
      <c r="G1290" s="8">
        <v>4093.4782608695655</v>
      </c>
      <c r="H1290" s="8">
        <v>2868.0000000000005</v>
      </c>
      <c r="I1290" s="8">
        <v>0</v>
      </c>
      <c r="J1290" s="2">
        <v>19.25</v>
      </c>
      <c r="K1290" s="23">
        <f t="shared" si="161"/>
        <v>36859.772000000004</v>
      </c>
      <c r="L1290" s="23">
        <f t="shared" si="162"/>
        <v>9.0045114816781737</v>
      </c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AA1290" s="11"/>
      <c r="AB1290" s="11"/>
      <c r="AC1290" s="11"/>
      <c r="AD1290" s="11"/>
      <c r="AE1290" s="11"/>
    </row>
    <row r="1291" spans="1:31" x14ac:dyDescent="0.25">
      <c r="A1291" s="18" t="s">
        <v>2</v>
      </c>
      <c r="B1291" s="21">
        <v>45977</v>
      </c>
      <c r="C1291" s="7">
        <v>4181</v>
      </c>
      <c r="D1291" s="7">
        <v>900</v>
      </c>
      <c r="E1291" s="7">
        <v>0</v>
      </c>
      <c r="F1291" s="7"/>
      <c r="G1291" s="7">
        <v>896</v>
      </c>
      <c r="H1291" s="7">
        <v>536</v>
      </c>
      <c r="I1291" s="7">
        <v>0</v>
      </c>
      <c r="J1291" s="2">
        <v>17.95000076293945</v>
      </c>
      <c r="K1291" s="23">
        <f t="shared" si="161"/>
        <v>32904.835999999996</v>
      </c>
      <c r="L1291" s="23">
        <f t="shared" si="162"/>
        <v>36.724147321428568</v>
      </c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AA1291" s="11"/>
      <c r="AB1291" s="11"/>
      <c r="AC1291" s="11"/>
      <c r="AD1291" s="11"/>
      <c r="AE1291" s="11"/>
    </row>
    <row r="1292" spans="1:31" x14ac:dyDescent="0.25">
      <c r="A1292" s="18" t="s">
        <v>2</v>
      </c>
      <c r="B1292" s="21">
        <v>45978</v>
      </c>
      <c r="C1292" s="7">
        <v>2257</v>
      </c>
      <c r="D1292" s="7">
        <v>4100</v>
      </c>
      <c r="E1292" s="7">
        <v>4050</v>
      </c>
      <c r="F1292" s="7"/>
      <c r="G1292" s="7">
        <v>4289.7910447761196</v>
      </c>
      <c r="H1292" s="7">
        <v>2809</v>
      </c>
      <c r="I1292" s="7">
        <v>21600</v>
      </c>
      <c r="J1292" s="2">
        <v>18.20000076293945</v>
      </c>
      <c r="K1292" s="23">
        <f t="shared" si="161"/>
        <v>48838.292000000001</v>
      </c>
      <c r="L1292" s="23">
        <f t="shared" si="162"/>
        <v>11.384771773318118</v>
      </c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AA1292" s="11"/>
      <c r="AB1292" s="11"/>
      <c r="AC1292" s="11"/>
      <c r="AD1292" s="11"/>
      <c r="AE1292" s="11"/>
    </row>
    <row r="1293" spans="1:31" x14ac:dyDescent="0.25">
      <c r="A1293" s="18" t="s">
        <v>2</v>
      </c>
      <c r="B1293" s="21">
        <v>45979</v>
      </c>
      <c r="C1293" s="7">
        <v>4249</v>
      </c>
      <c r="D1293" s="7">
        <v>900</v>
      </c>
      <c r="E1293" s="7">
        <v>0</v>
      </c>
      <c r="F1293" s="7"/>
      <c r="G1293" s="7">
        <v>3120</v>
      </c>
      <c r="H1293" s="7">
        <v>0</v>
      </c>
      <c r="I1293" s="7">
        <v>0</v>
      </c>
      <c r="J1293" s="2">
        <v>18.89999961853027</v>
      </c>
      <c r="K1293" s="23">
        <f t="shared" si="161"/>
        <v>33432.243999999999</v>
      </c>
      <c r="L1293" s="23">
        <f t="shared" si="162"/>
        <v>10.715462820512821</v>
      </c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AA1293" s="11"/>
      <c r="AB1293" s="11"/>
      <c r="AC1293" s="11"/>
      <c r="AD1293" s="11"/>
      <c r="AE1293" s="11"/>
    </row>
    <row r="1294" spans="1:31" x14ac:dyDescent="0.25">
      <c r="A1294" s="18" t="s">
        <v>2</v>
      </c>
      <c r="B1294" s="21">
        <v>45980</v>
      </c>
      <c r="C1294" s="7">
        <v>4115</v>
      </c>
      <c r="D1294" s="7">
        <v>900</v>
      </c>
      <c r="E1294" s="7">
        <v>0</v>
      </c>
      <c r="F1294" s="7"/>
      <c r="G1294" s="7">
        <v>3570</v>
      </c>
      <c r="H1294" s="7">
        <v>0</v>
      </c>
      <c r="I1294" s="7">
        <v>0</v>
      </c>
      <c r="J1294" s="2">
        <v>18.95000076293945</v>
      </c>
      <c r="K1294" s="23">
        <f t="shared" si="161"/>
        <v>32392.940000000002</v>
      </c>
      <c r="L1294" s="23">
        <f t="shared" si="162"/>
        <v>9.0736526610644272</v>
      </c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AA1294" s="11"/>
      <c r="AB1294" s="11"/>
      <c r="AC1294" s="11"/>
      <c r="AD1294" s="11"/>
      <c r="AE1294" s="11"/>
    </row>
    <row r="1295" spans="1:31" x14ac:dyDescent="0.25">
      <c r="A1295" s="18" t="s">
        <v>2</v>
      </c>
      <c r="B1295" s="21">
        <v>45981</v>
      </c>
      <c r="C1295" s="8">
        <v>3991</v>
      </c>
      <c r="D1295" s="8">
        <v>950</v>
      </c>
      <c r="E1295" s="8">
        <v>4225</v>
      </c>
      <c r="F1295" s="8"/>
      <c r="G1295" s="8">
        <v>3510</v>
      </c>
      <c r="H1295" s="8">
        <v>0</v>
      </c>
      <c r="I1295" s="8">
        <v>22140</v>
      </c>
      <c r="J1295" s="2">
        <v>18.14999961853027</v>
      </c>
      <c r="K1295" s="23">
        <f t="shared" si="161"/>
        <v>61877.695999999996</v>
      </c>
      <c r="L1295" s="23">
        <f t="shared" si="162"/>
        <v>17.628973219373218</v>
      </c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AA1295" s="11"/>
      <c r="AB1295" s="11"/>
      <c r="AC1295" s="11"/>
      <c r="AD1295" s="11"/>
      <c r="AE1295" s="11"/>
    </row>
    <row r="1296" spans="1:31" x14ac:dyDescent="0.25">
      <c r="A1296" s="18" t="s">
        <v>2</v>
      </c>
      <c r="B1296" s="21">
        <v>45982</v>
      </c>
      <c r="C1296" s="7">
        <v>3880</v>
      </c>
      <c r="D1296" s="7">
        <v>950</v>
      </c>
      <c r="E1296" s="7">
        <v>0</v>
      </c>
      <c r="F1296" s="7"/>
      <c r="G1296" s="7">
        <v>3529</v>
      </c>
      <c r="H1296" s="7">
        <v>0</v>
      </c>
      <c r="I1296" s="7">
        <v>0</v>
      </c>
      <c r="J1296" s="2">
        <v>20</v>
      </c>
      <c r="K1296" s="23">
        <f t="shared" si="161"/>
        <v>30596.780000000002</v>
      </c>
      <c r="L1296" s="23">
        <f t="shared" si="162"/>
        <v>8.6700991782374626</v>
      </c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AA1296" s="11"/>
      <c r="AB1296" s="11"/>
      <c r="AC1296" s="11"/>
      <c r="AD1296" s="11"/>
      <c r="AE1296" s="11"/>
    </row>
    <row r="1297" spans="1:31" x14ac:dyDescent="0.25">
      <c r="A1297" s="18" t="s">
        <v>2</v>
      </c>
      <c r="B1297" s="21">
        <v>45983</v>
      </c>
      <c r="C1297" s="7">
        <v>3779</v>
      </c>
      <c r="D1297" s="7">
        <v>900</v>
      </c>
      <c r="E1297" s="7">
        <v>0</v>
      </c>
      <c r="F1297" s="7"/>
      <c r="G1297" s="7">
        <v>4122</v>
      </c>
      <c r="H1297" s="7">
        <v>0</v>
      </c>
      <c r="I1297" s="7">
        <v>0</v>
      </c>
      <c r="J1297" s="2">
        <v>25.14999961853027</v>
      </c>
      <c r="K1297" s="23">
        <f t="shared" si="161"/>
        <v>29786.923999999999</v>
      </c>
      <c r="L1297" s="23">
        <f t="shared" si="162"/>
        <v>7.2263279961183891</v>
      </c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AA1297" s="11"/>
      <c r="AB1297" s="11"/>
      <c r="AC1297" s="11"/>
      <c r="AD1297" s="11"/>
      <c r="AE1297" s="11"/>
    </row>
    <row r="1298" spans="1:31" x14ac:dyDescent="0.25">
      <c r="A1298" s="18" t="s">
        <v>2</v>
      </c>
      <c r="B1298" s="21">
        <v>45984</v>
      </c>
      <c r="C1298" s="7">
        <v>3323</v>
      </c>
      <c r="D1298" s="7">
        <v>900</v>
      </c>
      <c r="E1298" s="7">
        <v>0</v>
      </c>
      <c r="F1298" s="7"/>
      <c r="G1298" s="7">
        <v>2198</v>
      </c>
      <c r="H1298" s="7">
        <v>0</v>
      </c>
      <c r="I1298" s="7">
        <v>0</v>
      </c>
      <c r="J1298" s="2">
        <v>24.54999923706055</v>
      </c>
      <c r="K1298" s="23">
        <f t="shared" si="161"/>
        <v>26250.188000000002</v>
      </c>
      <c r="L1298" s="23">
        <f t="shared" si="162"/>
        <v>11.942760691537762</v>
      </c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AA1298" s="11"/>
      <c r="AB1298" s="11"/>
      <c r="AC1298" s="11"/>
      <c r="AD1298" s="11"/>
      <c r="AE1298" s="11"/>
    </row>
    <row r="1299" spans="1:31" x14ac:dyDescent="0.25">
      <c r="A1299" s="18" t="s">
        <v>2</v>
      </c>
      <c r="B1299" s="21">
        <v>45985</v>
      </c>
      <c r="C1299" s="7">
        <v>3217</v>
      </c>
      <c r="D1299" s="7">
        <v>1200</v>
      </c>
      <c r="E1299" s="7">
        <v>3175</v>
      </c>
      <c r="F1299" s="7"/>
      <c r="G1299" s="7">
        <v>2609</v>
      </c>
      <c r="H1299" s="7">
        <v>1230</v>
      </c>
      <c r="I1299" s="7">
        <v>16416</v>
      </c>
      <c r="J1299" s="2">
        <v>20.25</v>
      </c>
      <c r="K1299" s="23">
        <f t="shared" si="161"/>
        <v>48447.051999999996</v>
      </c>
      <c r="L1299" s="23">
        <f t="shared" si="162"/>
        <v>18.569203526255269</v>
      </c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AA1299" s="11"/>
      <c r="AB1299" s="11"/>
      <c r="AC1299" s="11"/>
      <c r="AD1299" s="11"/>
      <c r="AE1299" s="11"/>
    </row>
    <row r="1300" spans="1:31" x14ac:dyDescent="0.25">
      <c r="A1300" s="18" t="s">
        <v>2</v>
      </c>
      <c r="B1300" s="21">
        <v>45986</v>
      </c>
      <c r="C1300" s="8">
        <v>3383</v>
      </c>
      <c r="D1300" s="8">
        <v>5600</v>
      </c>
      <c r="E1300" s="8">
        <v>0</v>
      </c>
      <c r="F1300" s="8"/>
      <c r="G1300" s="8">
        <v>2883</v>
      </c>
      <c r="H1300" s="8">
        <v>3180</v>
      </c>
      <c r="I1300" s="8">
        <v>0</v>
      </c>
      <c r="J1300" s="2">
        <v>19.39999961853027</v>
      </c>
      <c r="K1300" s="23">
        <f t="shared" si="161"/>
        <v>29206.548000000003</v>
      </c>
      <c r="L1300" s="23">
        <f t="shared" si="162"/>
        <v>10.130609781477629</v>
      </c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AA1300" s="11"/>
      <c r="AB1300" s="11"/>
      <c r="AC1300" s="11"/>
      <c r="AD1300" s="11"/>
      <c r="AE1300" s="11"/>
    </row>
    <row r="1301" spans="1:31" x14ac:dyDescent="0.25">
      <c r="A1301" s="18" t="s">
        <v>2</v>
      </c>
      <c r="B1301" s="21">
        <v>45987</v>
      </c>
      <c r="C1301" s="9">
        <v>3880</v>
      </c>
      <c r="D1301" s="9">
        <v>6200</v>
      </c>
      <c r="E1301" s="9">
        <v>0</v>
      </c>
      <c r="F1301" s="9"/>
      <c r="G1301" s="9">
        <v>645</v>
      </c>
      <c r="H1301" s="9">
        <v>3540</v>
      </c>
      <c r="I1301" s="9">
        <v>0</v>
      </c>
      <c r="J1301" s="2">
        <v>21.75</v>
      </c>
      <c r="K1301" s="23">
        <f t="shared" si="161"/>
        <v>33379.279999999999</v>
      </c>
      <c r="L1301" s="23">
        <f t="shared" si="162"/>
        <v>51.750821705426354</v>
      </c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AA1301" s="11"/>
      <c r="AB1301" s="11"/>
      <c r="AC1301" s="11"/>
      <c r="AD1301" s="11"/>
      <c r="AE1301" s="11"/>
    </row>
    <row r="1302" spans="1:31" x14ac:dyDescent="0.25">
      <c r="A1302" s="18" t="s">
        <v>2</v>
      </c>
      <c r="B1302" s="21">
        <v>45988</v>
      </c>
      <c r="C1302" s="10">
        <v>4232</v>
      </c>
      <c r="D1302" s="10">
        <v>1300</v>
      </c>
      <c r="E1302" s="10">
        <v>0</v>
      </c>
      <c r="F1302" s="10"/>
      <c r="G1302" s="10">
        <v>2595.4285714285716</v>
      </c>
      <c r="H1302" s="10">
        <v>1374</v>
      </c>
      <c r="I1302" s="10">
        <v>0</v>
      </c>
      <c r="J1302" s="2">
        <v>21.95000076293945</v>
      </c>
      <c r="K1302" s="23">
        <f t="shared" si="161"/>
        <v>33512.392</v>
      </c>
      <c r="L1302" s="23">
        <f t="shared" si="162"/>
        <v>12.912084103918978</v>
      </c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AA1302" s="11"/>
      <c r="AB1302" s="11"/>
      <c r="AC1302" s="11"/>
      <c r="AD1302" s="11"/>
      <c r="AE1302" s="11"/>
    </row>
    <row r="1303" spans="1:31" x14ac:dyDescent="0.25">
      <c r="A1303" s="18" t="s">
        <v>2</v>
      </c>
      <c r="B1303" s="21">
        <v>45989</v>
      </c>
      <c r="C1303" s="7">
        <v>4166</v>
      </c>
      <c r="D1303" s="7">
        <v>6500</v>
      </c>
      <c r="E1303" s="7">
        <v>825</v>
      </c>
      <c r="F1303" s="7"/>
      <c r="G1303" s="7">
        <v>4439.369294605809</v>
      </c>
      <c r="H1303" s="7">
        <v>4672</v>
      </c>
      <c r="I1303" s="7">
        <v>4554</v>
      </c>
      <c r="J1303" s="2">
        <v>19.79999923706055</v>
      </c>
      <c r="K1303" s="23">
        <f t="shared" si="161"/>
        <v>41696.495999999999</v>
      </c>
      <c r="L1303" s="23">
        <f t="shared" si="162"/>
        <v>9.392436905545253</v>
      </c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AA1303" s="11"/>
      <c r="AB1303" s="11"/>
      <c r="AC1303" s="11"/>
      <c r="AD1303" s="11"/>
      <c r="AE1303" s="11"/>
    </row>
    <row r="1304" spans="1:31" x14ac:dyDescent="0.25">
      <c r="A1304" s="18" t="s">
        <v>2</v>
      </c>
      <c r="B1304" s="21">
        <v>45990</v>
      </c>
      <c r="C1304" s="7">
        <v>3025</v>
      </c>
      <c r="D1304" s="7">
        <v>5900</v>
      </c>
      <c r="E1304" s="7">
        <v>0</v>
      </c>
      <c r="F1304" s="7"/>
      <c r="G1304" s="7">
        <v>5604.5</v>
      </c>
      <c r="H1304" s="7">
        <v>3811</v>
      </c>
      <c r="I1304" s="7">
        <v>0</v>
      </c>
      <c r="J1304" s="2">
        <v>17.89999961853027</v>
      </c>
      <c r="K1304" s="23">
        <f t="shared" si="161"/>
        <v>26588.9</v>
      </c>
      <c r="L1304" s="23">
        <f t="shared" si="162"/>
        <v>4.744205549112321</v>
      </c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AA1304" s="11"/>
      <c r="AB1304" s="11"/>
      <c r="AC1304" s="11"/>
      <c r="AD1304" s="11"/>
      <c r="AE1304" s="11"/>
    </row>
    <row r="1305" spans="1:31" x14ac:dyDescent="0.25">
      <c r="A1305" s="18" t="s">
        <v>2</v>
      </c>
      <c r="B1305" s="21">
        <v>45991</v>
      </c>
      <c r="C1305" s="7">
        <v>3534</v>
      </c>
      <c r="D1305" s="7">
        <v>1200</v>
      </c>
      <c r="E1305" s="7">
        <v>0</v>
      </c>
      <c r="F1305" s="7"/>
      <c r="G1305" s="7">
        <v>1346.98</v>
      </c>
      <c r="H1305" s="7">
        <v>851.98</v>
      </c>
      <c r="I1305" s="7">
        <v>0</v>
      </c>
      <c r="J1305" s="2">
        <v>16.14999961853027</v>
      </c>
      <c r="K1305" s="23">
        <f>C1305*7.756+D1305*0.53+E1305*7.2+F1305*5</f>
        <v>28045.704000000002</v>
      </c>
      <c r="L1305" s="23">
        <f t="shared" si="162"/>
        <v>20.8211732913629</v>
      </c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AA1305" s="11"/>
      <c r="AB1305" s="11"/>
      <c r="AC1305" s="11"/>
      <c r="AD1305" s="11"/>
      <c r="AE1305" s="11"/>
    </row>
    <row r="1306" spans="1:31" x14ac:dyDescent="0.25">
      <c r="A1306" s="18" t="s">
        <v>2</v>
      </c>
      <c r="B1306" s="21">
        <v>45992</v>
      </c>
      <c r="C1306" s="7">
        <v>2260</v>
      </c>
      <c r="D1306" s="7">
        <v>3800</v>
      </c>
      <c r="E1306" s="7">
        <v>775</v>
      </c>
      <c r="F1306" s="7"/>
      <c r="G1306" s="7">
        <v>3029.1464968152868</v>
      </c>
      <c r="H1306" s="7">
        <v>2821.0000000000005</v>
      </c>
      <c r="I1306" s="7">
        <v>4224</v>
      </c>
      <c r="J1306" s="2">
        <v>17.29999923706055</v>
      </c>
      <c r="K1306" s="23">
        <f>C1306*7.7+D1306*0.52+E1306*6.9+F1306*5</f>
        <v>24725.5</v>
      </c>
      <c r="L1306" s="23">
        <f t="shared" si="162"/>
        <v>8.162530279072115</v>
      </c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AA1306" s="11"/>
      <c r="AB1306" s="11"/>
      <c r="AC1306" s="11"/>
      <c r="AD1306" s="11"/>
      <c r="AE1306" s="11"/>
    </row>
    <row r="1307" spans="1:31" x14ac:dyDescent="0.25">
      <c r="A1307" s="18" t="s">
        <v>2</v>
      </c>
      <c r="B1307" s="21">
        <v>45993</v>
      </c>
      <c r="C1307" s="7">
        <v>4300</v>
      </c>
      <c r="D1307" s="7">
        <v>6700</v>
      </c>
      <c r="E1307" s="7">
        <v>0</v>
      </c>
      <c r="F1307" s="7"/>
      <c r="G1307" s="7">
        <v>5162.7106227106233</v>
      </c>
      <c r="H1307" s="7">
        <v>5150</v>
      </c>
      <c r="I1307" s="7">
        <v>0</v>
      </c>
      <c r="J1307" s="2">
        <v>17.54999923706055</v>
      </c>
      <c r="K1307" s="23">
        <f t="shared" ref="K1307:K1336" si="163">C1307*7.7+D1307*0.52+E1307*6.9+F1307*5</f>
        <v>36594</v>
      </c>
      <c r="L1307" s="23">
        <f t="shared" si="162"/>
        <v>7.0881369641412775</v>
      </c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AA1307" s="11"/>
      <c r="AB1307" s="11"/>
      <c r="AC1307" s="11"/>
      <c r="AD1307" s="11"/>
      <c r="AE1307" s="11"/>
    </row>
    <row r="1308" spans="1:31" x14ac:dyDescent="0.25">
      <c r="A1308" s="18" t="s">
        <v>2</v>
      </c>
      <c r="B1308" s="21">
        <v>45994</v>
      </c>
      <c r="C1308" s="7">
        <v>3786</v>
      </c>
      <c r="D1308" s="7">
        <v>5800</v>
      </c>
      <c r="E1308" s="7">
        <v>0</v>
      </c>
      <c r="F1308" s="7"/>
      <c r="G1308" s="7">
        <v>3875.4932126696831</v>
      </c>
      <c r="H1308" s="7">
        <v>4253</v>
      </c>
      <c r="I1308" s="7">
        <v>0</v>
      </c>
      <c r="J1308" s="2">
        <v>17.54999923706055</v>
      </c>
      <c r="K1308" s="23">
        <f t="shared" si="163"/>
        <v>32168.2</v>
      </c>
      <c r="L1308" s="23">
        <f t="shared" si="162"/>
        <v>8.3004144852676767</v>
      </c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AA1308" s="11"/>
      <c r="AB1308" s="11"/>
      <c r="AC1308" s="11"/>
      <c r="AD1308" s="11"/>
      <c r="AE1308" s="11"/>
    </row>
    <row r="1309" spans="1:31" x14ac:dyDescent="0.25">
      <c r="A1309" s="18" t="s">
        <v>2</v>
      </c>
      <c r="B1309" s="21">
        <v>45995</v>
      </c>
      <c r="C1309" s="7">
        <v>2985</v>
      </c>
      <c r="D1309" s="7">
        <v>3900</v>
      </c>
      <c r="E1309" s="7">
        <v>0</v>
      </c>
      <c r="F1309" s="7"/>
      <c r="G1309" s="7">
        <v>5244.2967032967035</v>
      </c>
      <c r="H1309" s="7">
        <v>3561</v>
      </c>
      <c r="I1309" s="7">
        <v>0</v>
      </c>
      <c r="J1309" s="2">
        <v>19.85000038146973</v>
      </c>
      <c r="K1309" s="23">
        <f t="shared" si="163"/>
        <v>25012.5</v>
      </c>
      <c r="L1309" s="23">
        <f t="shared" si="162"/>
        <v>4.7694669876852087</v>
      </c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AA1309" s="11"/>
      <c r="AB1309" s="11"/>
      <c r="AC1309" s="11"/>
      <c r="AD1309" s="11"/>
      <c r="AE1309" s="11"/>
    </row>
    <row r="1310" spans="1:31" x14ac:dyDescent="0.25">
      <c r="A1310" s="18" t="s">
        <v>2</v>
      </c>
      <c r="B1310" s="21">
        <v>45996</v>
      </c>
      <c r="C1310" s="8">
        <v>3055</v>
      </c>
      <c r="D1310" s="8">
        <v>6100</v>
      </c>
      <c r="E1310" s="8">
        <v>0</v>
      </c>
      <c r="F1310" s="8"/>
      <c r="G1310" s="8">
        <v>6174.7245762711864</v>
      </c>
      <c r="H1310" s="8">
        <v>4635</v>
      </c>
      <c r="I1310" s="8">
        <v>0</v>
      </c>
      <c r="J1310" s="2">
        <v>20.75</v>
      </c>
      <c r="K1310" s="23">
        <f t="shared" si="163"/>
        <v>26695.5</v>
      </c>
      <c r="L1310" s="23">
        <f t="shared" si="162"/>
        <v>4.3233507292921187</v>
      </c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AA1310" s="11"/>
      <c r="AB1310" s="11"/>
      <c r="AC1310" s="11"/>
      <c r="AD1310" s="11"/>
      <c r="AE1310" s="11"/>
    </row>
    <row r="1311" spans="1:31" x14ac:dyDescent="0.25">
      <c r="A1311" s="18" t="s">
        <v>2</v>
      </c>
      <c r="B1311" s="21">
        <v>45997</v>
      </c>
      <c r="C1311" s="7">
        <v>4288</v>
      </c>
      <c r="D1311" s="7">
        <v>3700</v>
      </c>
      <c r="E1311" s="7">
        <v>0</v>
      </c>
      <c r="F1311" s="7"/>
      <c r="G1311" s="7">
        <v>6589.9480519480521</v>
      </c>
      <c r="H1311" s="7">
        <v>3006</v>
      </c>
      <c r="I1311" s="7">
        <v>0</v>
      </c>
      <c r="J1311" s="2">
        <v>22.79999923706055</v>
      </c>
      <c r="K1311" s="23">
        <f t="shared" si="163"/>
        <v>34941.599999999999</v>
      </c>
      <c r="L1311" s="23">
        <f t="shared" si="162"/>
        <v>5.3022572749524066</v>
      </c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AA1311" s="11"/>
      <c r="AB1311" s="11"/>
      <c r="AC1311" s="11"/>
      <c r="AD1311" s="11"/>
      <c r="AE1311" s="11"/>
    </row>
    <row r="1312" spans="1:31" x14ac:dyDescent="0.25">
      <c r="A1312" s="18" t="s">
        <v>2</v>
      </c>
      <c r="B1312" s="21">
        <v>45998</v>
      </c>
      <c r="C1312" s="7">
        <v>3160</v>
      </c>
      <c r="D1312" s="7">
        <v>900</v>
      </c>
      <c r="E1312" s="7">
        <v>0</v>
      </c>
      <c r="F1312" s="7"/>
      <c r="G1312" s="7">
        <v>1605</v>
      </c>
      <c r="H1312" s="7">
        <v>0</v>
      </c>
      <c r="I1312" s="7">
        <v>0</v>
      </c>
      <c r="J1312" s="2">
        <v>22.60000038146973</v>
      </c>
      <c r="K1312" s="23">
        <f t="shared" si="163"/>
        <v>24800</v>
      </c>
      <c r="L1312" s="23">
        <f t="shared" si="162"/>
        <v>15.451713395638629</v>
      </c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AA1312" s="11"/>
      <c r="AB1312" s="11"/>
      <c r="AC1312" s="11"/>
      <c r="AD1312" s="11"/>
      <c r="AE1312" s="11"/>
    </row>
    <row r="1313" spans="1:31" x14ac:dyDescent="0.25">
      <c r="A1313" s="18" t="s">
        <v>2</v>
      </c>
      <c r="B1313" s="21">
        <v>45999</v>
      </c>
      <c r="C1313" s="7">
        <v>2235</v>
      </c>
      <c r="D1313" s="7">
        <v>2900</v>
      </c>
      <c r="E1313" s="7">
        <v>1975</v>
      </c>
      <c r="F1313" s="7"/>
      <c r="G1313" s="7">
        <v>5373.6637168141588</v>
      </c>
      <c r="H1313" s="7">
        <v>2076</v>
      </c>
      <c r="I1313" s="7">
        <v>10206</v>
      </c>
      <c r="J1313" s="2">
        <v>23.54999923706055</v>
      </c>
      <c r="K1313" s="23">
        <f t="shared" si="163"/>
        <v>32345</v>
      </c>
      <c r="L1313" s="23">
        <f t="shared" si="162"/>
        <v>6.0191708496370371</v>
      </c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AA1313" s="11"/>
      <c r="AB1313" s="11"/>
      <c r="AC1313" s="11"/>
      <c r="AD1313" s="11"/>
      <c r="AE1313" s="11"/>
    </row>
    <row r="1314" spans="1:31" x14ac:dyDescent="0.25">
      <c r="A1314" s="18" t="s">
        <v>2</v>
      </c>
      <c r="B1314" s="21">
        <v>46000</v>
      </c>
      <c r="C1314" s="7">
        <v>2420</v>
      </c>
      <c r="D1314" s="7">
        <v>6600</v>
      </c>
      <c r="E1314" s="7">
        <v>0</v>
      </c>
      <c r="F1314" s="7"/>
      <c r="G1314" s="7">
        <v>6117.487218045113</v>
      </c>
      <c r="H1314" s="7">
        <v>4773</v>
      </c>
      <c r="I1314" s="7">
        <v>0</v>
      </c>
      <c r="J1314" s="2">
        <v>15.80000019073486</v>
      </c>
      <c r="K1314" s="23">
        <f t="shared" si="163"/>
        <v>22066</v>
      </c>
      <c r="L1314" s="23">
        <f t="shared" si="162"/>
        <v>3.6070365516924365</v>
      </c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AA1314" s="11"/>
      <c r="AB1314" s="11"/>
      <c r="AC1314" s="11"/>
      <c r="AD1314" s="11"/>
      <c r="AE1314" s="11"/>
    </row>
    <row r="1315" spans="1:31" x14ac:dyDescent="0.25">
      <c r="A1315" s="18" t="s">
        <v>2</v>
      </c>
      <c r="B1315" s="21">
        <v>46001</v>
      </c>
      <c r="C1315" s="8">
        <v>3867</v>
      </c>
      <c r="D1315" s="8">
        <v>3800</v>
      </c>
      <c r="E1315" s="8">
        <v>0</v>
      </c>
      <c r="F1315" s="8"/>
      <c r="G1315" s="8">
        <v>6533.8588235294119</v>
      </c>
      <c r="H1315" s="8">
        <v>3055.65</v>
      </c>
      <c r="I1315" s="8">
        <v>0</v>
      </c>
      <c r="J1315" s="2">
        <v>15.60000038146973</v>
      </c>
      <c r="K1315" s="23">
        <f t="shared" si="163"/>
        <v>31751.9</v>
      </c>
      <c r="L1315" s="23">
        <f t="shared" si="162"/>
        <v>4.8595938261868499</v>
      </c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AA1315" s="11"/>
      <c r="AB1315" s="11"/>
      <c r="AC1315" s="11"/>
      <c r="AD1315" s="11"/>
      <c r="AE1315" s="11"/>
    </row>
    <row r="1316" spans="1:31" x14ac:dyDescent="0.25">
      <c r="A1316" s="18" t="s">
        <v>2</v>
      </c>
      <c r="B1316" s="21">
        <v>46002</v>
      </c>
      <c r="C1316" s="7">
        <v>3530</v>
      </c>
      <c r="D1316" s="7">
        <v>6000</v>
      </c>
      <c r="E1316" s="7">
        <v>0</v>
      </c>
      <c r="F1316" s="7"/>
      <c r="G1316" s="7">
        <v>5086.181990521327</v>
      </c>
      <c r="H1316" s="7">
        <v>4163.9000000000005</v>
      </c>
      <c r="I1316" s="7">
        <v>0</v>
      </c>
      <c r="J1316" s="2">
        <v>14.89999961853027</v>
      </c>
      <c r="K1316" s="23">
        <f t="shared" si="163"/>
        <v>30301</v>
      </c>
      <c r="L1316" s="23">
        <f t="shared" si="162"/>
        <v>5.9575139183909123</v>
      </c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AA1316" s="11"/>
      <c r="AB1316" s="11"/>
      <c r="AC1316" s="11"/>
      <c r="AD1316" s="11"/>
      <c r="AE1316" s="11"/>
    </row>
    <row r="1317" spans="1:31" x14ac:dyDescent="0.25">
      <c r="A1317" s="18" t="s">
        <v>2</v>
      </c>
      <c r="B1317" s="21">
        <v>46003</v>
      </c>
      <c r="C1317" s="7">
        <v>3298</v>
      </c>
      <c r="D1317" s="7">
        <v>6500</v>
      </c>
      <c r="E1317" s="7">
        <v>1800</v>
      </c>
      <c r="F1317" s="7"/>
      <c r="G1317" s="7">
        <v>5548.3031250000004</v>
      </c>
      <c r="H1317" s="7">
        <v>4748.25</v>
      </c>
      <c r="I1317" s="7">
        <v>9765</v>
      </c>
      <c r="J1317" s="2">
        <v>14.75</v>
      </c>
      <c r="K1317" s="23">
        <f t="shared" si="163"/>
        <v>41194.600000000006</v>
      </c>
      <c r="L1317" s="23">
        <f t="shared" si="162"/>
        <v>7.4247205085789183</v>
      </c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AA1317" s="11"/>
      <c r="AB1317" s="11"/>
      <c r="AC1317" s="11"/>
      <c r="AD1317" s="11"/>
      <c r="AE1317" s="11"/>
    </row>
    <row r="1318" spans="1:31" x14ac:dyDescent="0.25">
      <c r="A1318" s="18" t="s">
        <v>2</v>
      </c>
      <c r="B1318" s="21">
        <v>46004</v>
      </c>
      <c r="C1318" s="7">
        <v>3418</v>
      </c>
      <c r="D1318" s="7">
        <v>3700</v>
      </c>
      <c r="E1318" s="7">
        <v>0</v>
      </c>
      <c r="F1318" s="7"/>
      <c r="G1318" s="7">
        <v>6815.6506849315074</v>
      </c>
      <c r="H1318" s="7">
        <v>2925.0000000000005</v>
      </c>
      <c r="I1318" s="7">
        <v>0</v>
      </c>
      <c r="J1318" s="2">
        <v>15.75</v>
      </c>
      <c r="K1318" s="23">
        <f t="shared" si="163"/>
        <v>28242.600000000002</v>
      </c>
      <c r="L1318" s="23">
        <f t="shared" si="162"/>
        <v>4.1437863097122358</v>
      </c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AA1318" s="11"/>
      <c r="AB1318" s="11"/>
      <c r="AC1318" s="11"/>
      <c r="AD1318" s="11"/>
      <c r="AE1318" s="11"/>
    </row>
    <row r="1319" spans="1:31" x14ac:dyDescent="0.25">
      <c r="A1319" s="18" t="s">
        <v>2</v>
      </c>
      <c r="B1319" s="21">
        <v>46005</v>
      </c>
      <c r="C1319" s="7">
        <v>3026</v>
      </c>
      <c r="D1319" s="7">
        <v>1700</v>
      </c>
      <c r="E1319" s="7">
        <v>0</v>
      </c>
      <c r="F1319" s="7"/>
      <c r="G1319" s="7">
        <v>2864</v>
      </c>
      <c r="H1319" s="7">
        <v>793</v>
      </c>
      <c r="I1319" s="7">
        <v>0</v>
      </c>
      <c r="J1319" s="2">
        <v>15.39999961853027</v>
      </c>
      <c r="K1319" s="23">
        <f t="shared" si="163"/>
        <v>24184.2</v>
      </c>
      <c r="L1319" s="23">
        <f t="shared" si="162"/>
        <v>8.4442039106145259</v>
      </c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AA1319" s="11"/>
      <c r="AB1319" s="11"/>
      <c r="AC1319" s="11"/>
      <c r="AD1319" s="11"/>
      <c r="AE1319" s="11"/>
    </row>
    <row r="1320" spans="1:31" x14ac:dyDescent="0.25">
      <c r="A1320" s="18" t="s">
        <v>2</v>
      </c>
      <c r="B1320" s="21">
        <v>46006</v>
      </c>
      <c r="C1320" s="8">
        <v>1831</v>
      </c>
      <c r="D1320" s="8">
        <v>3900</v>
      </c>
      <c r="E1320" s="8">
        <v>0</v>
      </c>
      <c r="F1320" s="8"/>
      <c r="G1320" s="8">
        <v>4504.32</v>
      </c>
      <c r="H1320" s="8">
        <v>3076.5987096774193</v>
      </c>
      <c r="I1320" s="8">
        <v>0</v>
      </c>
      <c r="J1320" s="2">
        <v>13.10000038146973</v>
      </c>
      <c r="K1320" s="23">
        <f t="shared" si="163"/>
        <v>16126.7</v>
      </c>
      <c r="L1320" s="23">
        <f t="shared" si="162"/>
        <v>3.5802740480250077</v>
      </c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AA1320" s="11"/>
      <c r="AB1320" s="11"/>
      <c r="AC1320" s="11"/>
      <c r="AD1320" s="11"/>
      <c r="AE1320" s="11"/>
    </row>
    <row r="1321" spans="1:31" x14ac:dyDescent="0.25">
      <c r="A1321" s="18" t="s">
        <v>2</v>
      </c>
      <c r="B1321" s="21">
        <v>46007</v>
      </c>
      <c r="C1321" s="7">
        <v>2027</v>
      </c>
      <c r="D1321" s="7">
        <v>1700</v>
      </c>
      <c r="E1321" s="7">
        <v>0</v>
      </c>
      <c r="F1321" s="7"/>
      <c r="G1321" s="7">
        <v>1478.744680851064</v>
      </c>
      <c r="H1321" s="7">
        <v>876.00000000000011</v>
      </c>
      <c r="I1321" s="7">
        <v>0</v>
      </c>
      <c r="J1321" s="2">
        <v>13.35000038146973</v>
      </c>
      <c r="K1321" s="23">
        <f t="shared" si="163"/>
        <v>16491.900000000001</v>
      </c>
      <c r="L1321" s="23">
        <f t="shared" si="162"/>
        <v>11.152635213881814</v>
      </c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AA1321" s="11"/>
      <c r="AB1321" s="11"/>
      <c r="AC1321" s="11"/>
      <c r="AD1321" s="11"/>
      <c r="AE1321" s="11"/>
    </row>
    <row r="1322" spans="1:31" x14ac:dyDescent="0.25">
      <c r="A1322" s="18" t="s">
        <v>2</v>
      </c>
      <c r="B1322" s="21">
        <v>46008</v>
      </c>
      <c r="C1322" s="7">
        <v>2311</v>
      </c>
      <c r="D1322" s="7">
        <v>800</v>
      </c>
      <c r="E1322" s="7">
        <v>0</v>
      </c>
      <c r="F1322" s="7"/>
      <c r="G1322" s="7">
        <v>1173</v>
      </c>
      <c r="H1322" s="7">
        <v>0</v>
      </c>
      <c r="I1322" s="7">
        <v>0</v>
      </c>
      <c r="J1322" s="2">
        <v>15.10000038146973</v>
      </c>
      <c r="K1322" s="23">
        <f t="shared" si="163"/>
        <v>18210.7</v>
      </c>
      <c r="L1322" s="23">
        <f t="shared" si="162"/>
        <v>15.524893435635125</v>
      </c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AA1322" s="11"/>
      <c r="AB1322" s="11"/>
      <c r="AC1322" s="11"/>
      <c r="AD1322" s="11"/>
      <c r="AE1322" s="11"/>
    </row>
    <row r="1323" spans="1:31" x14ac:dyDescent="0.25">
      <c r="A1323" s="18" t="s">
        <v>2</v>
      </c>
      <c r="B1323" s="21">
        <v>46009</v>
      </c>
      <c r="C1323" s="7">
        <v>3206</v>
      </c>
      <c r="D1323" s="7">
        <v>2900</v>
      </c>
      <c r="E1323" s="7">
        <v>0</v>
      </c>
      <c r="F1323" s="7"/>
      <c r="G1323" s="7">
        <v>4678.7837837837833</v>
      </c>
      <c r="H1323" s="7">
        <v>1469.9999999999998</v>
      </c>
      <c r="I1323" s="7">
        <v>0</v>
      </c>
      <c r="J1323" s="2">
        <v>15.35000038146973</v>
      </c>
      <c r="K1323" s="23">
        <f t="shared" si="163"/>
        <v>26194.2</v>
      </c>
      <c r="L1323" s="23">
        <f t="shared" si="162"/>
        <v>5.5985061953037007</v>
      </c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AA1323" s="11"/>
      <c r="AB1323" s="11"/>
      <c r="AC1323" s="11"/>
      <c r="AD1323" s="11"/>
      <c r="AE1323" s="11"/>
    </row>
    <row r="1324" spans="1:31" x14ac:dyDescent="0.25">
      <c r="A1324" s="18" t="s">
        <v>2</v>
      </c>
      <c r="B1324" s="21">
        <v>46010</v>
      </c>
      <c r="C1324" s="7">
        <v>2433</v>
      </c>
      <c r="D1324" s="7">
        <v>5900</v>
      </c>
      <c r="E1324" s="7">
        <v>0</v>
      </c>
      <c r="F1324" s="7"/>
      <c r="G1324" s="7">
        <v>6024.3236714975837</v>
      </c>
      <c r="H1324" s="7">
        <v>4115</v>
      </c>
      <c r="I1324" s="7">
        <v>0</v>
      </c>
      <c r="J1324" s="2">
        <v>15.10000038146973</v>
      </c>
      <c r="K1324" s="23">
        <f t="shared" si="163"/>
        <v>21802.100000000002</v>
      </c>
      <c r="L1324" s="23">
        <f t="shared" si="162"/>
        <v>3.619012056598252</v>
      </c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AA1324" s="11"/>
      <c r="AB1324" s="11"/>
      <c r="AC1324" s="11"/>
      <c r="AD1324" s="11"/>
      <c r="AE1324" s="11"/>
    </row>
    <row r="1325" spans="1:31" x14ac:dyDescent="0.25">
      <c r="A1325" s="18" t="s">
        <v>2</v>
      </c>
      <c r="B1325" s="21">
        <v>46011</v>
      </c>
      <c r="C1325" s="8">
        <v>2561</v>
      </c>
      <c r="D1325" s="8">
        <v>6000</v>
      </c>
      <c r="E1325" s="8">
        <v>0</v>
      </c>
      <c r="F1325" s="8"/>
      <c r="G1325" s="8">
        <v>5355.7162790697676</v>
      </c>
      <c r="H1325" s="8">
        <v>4249</v>
      </c>
      <c r="I1325" s="8">
        <v>0</v>
      </c>
      <c r="J1325" s="2">
        <v>15.25</v>
      </c>
      <c r="K1325" s="23">
        <f t="shared" si="163"/>
        <v>22839.7</v>
      </c>
      <c r="L1325" s="23">
        <f t="shared" si="162"/>
        <v>4.2645462922033319</v>
      </c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AA1325" s="11"/>
      <c r="AB1325" s="11"/>
      <c r="AC1325" s="11"/>
      <c r="AD1325" s="11"/>
      <c r="AE1325" s="11"/>
    </row>
    <row r="1326" spans="1:31" x14ac:dyDescent="0.25">
      <c r="A1326" s="18" t="s">
        <v>2</v>
      </c>
      <c r="B1326" s="21">
        <v>46012</v>
      </c>
      <c r="C1326" s="7">
        <v>2406</v>
      </c>
      <c r="D1326" s="7">
        <v>3500</v>
      </c>
      <c r="E1326" s="7">
        <v>0</v>
      </c>
      <c r="F1326" s="7"/>
      <c r="G1326" s="7">
        <v>1035.1094890510949</v>
      </c>
      <c r="H1326" s="7">
        <v>2445</v>
      </c>
      <c r="I1326" s="7">
        <v>0</v>
      </c>
      <c r="J1326" s="2">
        <v>13.80000019073486</v>
      </c>
      <c r="K1326" s="23">
        <f t="shared" si="163"/>
        <v>20346.2</v>
      </c>
      <c r="L1326" s="23">
        <f t="shared" si="162"/>
        <v>19.656084902334111</v>
      </c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AA1326" s="11"/>
      <c r="AB1326" s="11"/>
      <c r="AC1326" s="11"/>
      <c r="AD1326" s="11"/>
      <c r="AE1326" s="11"/>
    </row>
    <row r="1327" spans="1:31" x14ac:dyDescent="0.25">
      <c r="A1327" s="18" t="s">
        <v>2</v>
      </c>
      <c r="B1327" s="21">
        <v>46013</v>
      </c>
      <c r="C1327" s="7">
        <v>2816</v>
      </c>
      <c r="D1327" s="7">
        <v>2600</v>
      </c>
      <c r="E1327" s="7">
        <v>0</v>
      </c>
      <c r="F1327" s="7"/>
      <c r="G1327" s="7">
        <v>3457.85</v>
      </c>
      <c r="H1327" s="7">
        <v>1747</v>
      </c>
      <c r="I1327" s="7">
        <v>0</v>
      </c>
      <c r="J1327" s="2">
        <v>15.60000038146973</v>
      </c>
      <c r="K1327" s="23">
        <f t="shared" si="163"/>
        <v>23035.200000000001</v>
      </c>
      <c r="L1327" s="23">
        <f t="shared" si="162"/>
        <v>6.6617117573058406</v>
      </c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AA1327" s="11"/>
      <c r="AB1327" s="11"/>
      <c r="AC1327" s="11"/>
      <c r="AD1327" s="11"/>
      <c r="AE1327" s="11"/>
    </row>
    <row r="1328" spans="1:31" x14ac:dyDescent="0.25">
      <c r="A1328" s="18" t="s">
        <v>2</v>
      </c>
      <c r="B1328" s="21">
        <v>46014</v>
      </c>
      <c r="C1328" s="7">
        <v>3999</v>
      </c>
      <c r="D1328" s="7">
        <v>4200</v>
      </c>
      <c r="E1328" s="7">
        <v>0</v>
      </c>
      <c r="F1328" s="7"/>
      <c r="G1328" s="7">
        <v>5100.9764705882353</v>
      </c>
      <c r="H1328" s="7">
        <v>3376</v>
      </c>
      <c r="I1328" s="7">
        <v>0</v>
      </c>
      <c r="J1328" s="2">
        <v>14.75</v>
      </c>
      <c r="K1328" s="23">
        <f t="shared" si="163"/>
        <v>32976.300000000003</v>
      </c>
      <c r="L1328" s="23">
        <f t="shared" si="162"/>
        <v>6.4647034131873253</v>
      </c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AA1328" s="11"/>
      <c r="AB1328" s="11"/>
      <c r="AC1328" s="11"/>
      <c r="AD1328" s="11"/>
      <c r="AE1328" s="11"/>
    </row>
    <row r="1329" spans="1:31" x14ac:dyDescent="0.25">
      <c r="A1329" s="18" t="s">
        <v>2</v>
      </c>
      <c r="B1329" s="21">
        <v>46015</v>
      </c>
      <c r="C1329" s="7">
        <v>3079</v>
      </c>
      <c r="D1329" s="7">
        <v>3400</v>
      </c>
      <c r="E1329" s="7">
        <v>0</v>
      </c>
      <c r="F1329" s="7"/>
      <c r="G1329" s="7">
        <v>3448.7674418604647</v>
      </c>
      <c r="H1329" s="7">
        <v>2331</v>
      </c>
      <c r="I1329" s="7">
        <v>0</v>
      </c>
      <c r="J1329" s="2">
        <v>13.55000019073486</v>
      </c>
      <c r="K1329" s="23">
        <f t="shared" si="163"/>
        <v>25476.3</v>
      </c>
      <c r="L1329" s="23">
        <f t="shared" si="162"/>
        <v>7.3870739124864295</v>
      </c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AA1329" s="11"/>
      <c r="AB1329" s="11"/>
      <c r="AC1329" s="11"/>
      <c r="AD1329" s="11"/>
      <c r="AE1329" s="11"/>
    </row>
    <row r="1330" spans="1:31" x14ac:dyDescent="0.25">
      <c r="A1330" s="18" t="s">
        <v>2</v>
      </c>
      <c r="B1330" s="21">
        <v>46016</v>
      </c>
      <c r="C1330" s="8">
        <v>3108</v>
      </c>
      <c r="D1330" s="8">
        <v>3900</v>
      </c>
      <c r="E1330" s="8">
        <v>0</v>
      </c>
      <c r="F1330" s="8"/>
      <c r="G1330" s="8">
        <v>3808.8176795580112</v>
      </c>
      <c r="H1330" s="8">
        <v>3285.9999999999995</v>
      </c>
      <c r="I1330" s="8">
        <v>0</v>
      </c>
      <c r="J1330" s="2">
        <v>13.75</v>
      </c>
      <c r="K1330" s="23">
        <f t="shared" si="163"/>
        <v>25959.600000000002</v>
      </c>
      <c r="L1330" s="23">
        <f t="shared" si="162"/>
        <v>6.8156583444058283</v>
      </c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AA1330" s="11"/>
      <c r="AB1330" s="11"/>
      <c r="AC1330" s="11"/>
      <c r="AD1330" s="11"/>
      <c r="AE1330" s="11"/>
    </row>
    <row r="1331" spans="1:31" x14ac:dyDescent="0.25">
      <c r="A1331" s="18" t="s">
        <v>2</v>
      </c>
      <c r="B1331" s="21">
        <v>46017</v>
      </c>
      <c r="C1331" s="9">
        <v>3961</v>
      </c>
      <c r="D1331" s="9">
        <v>3200</v>
      </c>
      <c r="E1331" s="9">
        <v>1900</v>
      </c>
      <c r="F1331" s="9"/>
      <c r="G1331" s="9">
        <v>5770.2807017543855</v>
      </c>
      <c r="H1331" s="9">
        <v>2042.0000000000002</v>
      </c>
      <c r="I1331" s="9">
        <v>10362</v>
      </c>
      <c r="J1331" s="2">
        <v>14.25</v>
      </c>
      <c r="K1331" s="23">
        <f t="shared" si="163"/>
        <v>45273.7</v>
      </c>
      <c r="L1331" s="23">
        <f t="shared" si="162"/>
        <v>7.8460134506515544</v>
      </c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AA1331" s="11"/>
      <c r="AB1331" s="11"/>
      <c r="AC1331" s="11"/>
      <c r="AD1331" s="11"/>
      <c r="AE1331" s="11"/>
    </row>
    <row r="1332" spans="1:31" x14ac:dyDescent="0.25">
      <c r="A1332" s="18" t="s">
        <v>2</v>
      </c>
      <c r="B1332" s="21">
        <v>46018</v>
      </c>
      <c r="C1332" s="10">
        <v>3871</v>
      </c>
      <c r="D1332" s="10">
        <v>900</v>
      </c>
      <c r="E1332" s="10">
        <v>0</v>
      </c>
      <c r="F1332" s="10"/>
      <c r="G1332" s="10">
        <v>1765</v>
      </c>
      <c r="H1332" s="10">
        <v>0</v>
      </c>
      <c r="I1332" s="10">
        <v>0</v>
      </c>
      <c r="J1332" s="2">
        <v>13.39999961853027</v>
      </c>
      <c r="K1332" s="23">
        <f t="shared" si="163"/>
        <v>30274.7</v>
      </c>
      <c r="L1332" s="23">
        <f t="shared" si="162"/>
        <v>17.152804532577903</v>
      </c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AA1332" s="11"/>
      <c r="AB1332" s="11"/>
      <c r="AC1332" s="11"/>
      <c r="AD1332" s="11"/>
      <c r="AE1332" s="11"/>
    </row>
    <row r="1333" spans="1:31" x14ac:dyDescent="0.25">
      <c r="A1333" s="18" t="s">
        <v>2</v>
      </c>
      <c r="B1333" s="21">
        <v>46019</v>
      </c>
      <c r="C1333" s="7">
        <v>3368</v>
      </c>
      <c r="D1333" s="7">
        <v>900</v>
      </c>
      <c r="E1333" s="7">
        <v>0</v>
      </c>
      <c r="F1333" s="7"/>
      <c r="G1333" s="7">
        <v>1080</v>
      </c>
      <c r="H1333" s="7">
        <v>0</v>
      </c>
      <c r="I1333" s="7">
        <v>0</v>
      </c>
      <c r="J1333" s="2">
        <v>15.05000019073486</v>
      </c>
      <c r="K1333" s="23">
        <f t="shared" si="163"/>
        <v>26401.600000000002</v>
      </c>
      <c r="L1333" s="23">
        <f t="shared" si="162"/>
        <v>24.445925925925927</v>
      </c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AA1333" s="11"/>
      <c r="AB1333" s="11"/>
      <c r="AC1333" s="11"/>
      <c r="AD1333" s="11"/>
      <c r="AE1333" s="11"/>
    </row>
    <row r="1334" spans="1:31" x14ac:dyDescent="0.25">
      <c r="A1334" s="18" t="s">
        <v>2</v>
      </c>
      <c r="B1334" s="21">
        <v>46020</v>
      </c>
      <c r="C1334" s="7">
        <v>2360</v>
      </c>
      <c r="D1334" s="7">
        <v>1500</v>
      </c>
      <c r="E1334" s="7">
        <v>1650</v>
      </c>
      <c r="F1334" s="7"/>
      <c r="G1334" s="7">
        <v>2863</v>
      </c>
      <c r="H1334" s="7">
        <v>600</v>
      </c>
      <c r="I1334" s="7">
        <v>10148</v>
      </c>
      <c r="J1334" s="2">
        <v>16.54999923706055</v>
      </c>
      <c r="K1334" s="23">
        <f t="shared" si="163"/>
        <v>30337</v>
      </c>
      <c r="L1334" s="23">
        <f t="shared" si="162"/>
        <v>10.596227733147048</v>
      </c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AA1334" s="11"/>
      <c r="AB1334" s="11"/>
      <c r="AC1334" s="11"/>
      <c r="AD1334" s="11"/>
      <c r="AE1334" s="11"/>
    </row>
    <row r="1335" spans="1:31" x14ac:dyDescent="0.25">
      <c r="A1335" s="18" t="s">
        <v>2</v>
      </c>
      <c r="B1335" s="21">
        <v>46021</v>
      </c>
      <c r="C1335" s="7">
        <v>2543</v>
      </c>
      <c r="D1335" s="7">
        <v>2500</v>
      </c>
      <c r="E1335" s="7">
        <v>0</v>
      </c>
      <c r="F1335" s="7"/>
      <c r="G1335" s="7">
        <v>5198</v>
      </c>
      <c r="H1335" s="7">
        <v>1590</v>
      </c>
      <c r="I1335" s="7">
        <v>0</v>
      </c>
      <c r="J1335" s="2">
        <v>18.39999961853027</v>
      </c>
      <c r="K1335" s="23">
        <f t="shared" si="163"/>
        <v>20881.100000000002</v>
      </c>
      <c r="L1335" s="23">
        <f t="shared" si="162"/>
        <v>4.0171412081569837</v>
      </c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AA1335" s="11"/>
      <c r="AB1335" s="11"/>
      <c r="AC1335" s="11"/>
      <c r="AD1335" s="11"/>
      <c r="AE1335" s="11"/>
    </row>
    <row r="1336" spans="1:31" x14ac:dyDescent="0.25">
      <c r="A1336" s="18" t="s">
        <v>2</v>
      </c>
      <c r="B1336" s="21">
        <v>46022</v>
      </c>
      <c r="C1336" s="7">
        <v>3464</v>
      </c>
      <c r="D1336" s="7">
        <v>3500</v>
      </c>
      <c r="E1336" s="7">
        <v>0</v>
      </c>
      <c r="F1336" s="7"/>
      <c r="G1336" s="7">
        <v>4846</v>
      </c>
      <c r="H1336" s="7">
        <v>2760</v>
      </c>
      <c r="I1336" s="7">
        <v>0</v>
      </c>
      <c r="J1336" s="2">
        <v>20.85000038146973</v>
      </c>
      <c r="K1336" s="23">
        <f t="shared" si="163"/>
        <v>28492.799999999999</v>
      </c>
      <c r="L1336" s="23">
        <f t="shared" si="162"/>
        <v>5.8796533223276928</v>
      </c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AA1336" s="11"/>
      <c r="AB1336" s="11"/>
      <c r="AC1336" s="11"/>
      <c r="AD1336" s="11"/>
      <c r="AE1336" s="11"/>
    </row>
    <row r="1337" spans="1:31" x14ac:dyDescent="0.25">
      <c r="A1337" s="18" t="s">
        <v>2</v>
      </c>
      <c r="B1337" s="21">
        <v>46023</v>
      </c>
      <c r="C1337" s="7">
        <v>2640</v>
      </c>
      <c r="D1337" s="7">
        <v>1100</v>
      </c>
      <c r="E1337" s="7">
        <v>0</v>
      </c>
      <c r="F1337" s="7"/>
      <c r="G1337" s="7">
        <v>4380</v>
      </c>
      <c r="H1337" s="7">
        <v>0</v>
      </c>
      <c r="I1337" s="7">
        <v>0</v>
      </c>
      <c r="J1337" s="2">
        <v>21.25</v>
      </c>
      <c r="K1337" s="23">
        <f>C1337*8.601+D1337*0.52+E1337*7.2+F1337*5</f>
        <v>23278.640000000003</v>
      </c>
      <c r="L1337" s="23">
        <f t="shared" si="162"/>
        <v>5.3147579908675811</v>
      </c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AA1337" s="11"/>
      <c r="AB1337" s="11"/>
      <c r="AC1337" s="11"/>
      <c r="AD1337" s="11"/>
      <c r="AE1337" s="11"/>
    </row>
    <row r="1338" spans="1:31" x14ac:dyDescent="0.25">
      <c r="A1338" s="18" t="s">
        <v>2</v>
      </c>
      <c r="B1338" s="21">
        <v>46024</v>
      </c>
      <c r="C1338" s="7">
        <v>2852</v>
      </c>
      <c r="D1338" s="7">
        <v>1600</v>
      </c>
      <c r="E1338" s="7">
        <v>0</v>
      </c>
      <c r="F1338" s="7"/>
      <c r="G1338" s="7">
        <v>4506</v>
      </c>
      <c r="H1338" s="7">
        <v>855</v>
      </c>
      <c r="I1338" s="7">
        <v>0</v>
      </c>
      <c r="J1338" s="2">
        <v>17.5</v>
      </c>
      <c r="K1338" s="23">
        <f t="shared" ref="K1338:K1367" si="164">C1338*8.601+D1338*0.52+E1338*7.2+F1338*5</f>
        <v>25362.052000000003</v>
      </c>
      <c r="L1338" s="23">
        <f t="shared" si="162"/>
        <v>5.6285068797159354</v>
      </c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AA1338" s="11"/>
      <c r="AB1338" s="11"/>
      <c r="AC1338" s="11"/>
      <c r="AD1338" s="11"/>
      <c r="AE1338" s="11"/>
    </row>
    <row r="1339" spans="1:31" x14ac:dyDescent="0.25">
      <c r="A1339" s="18" t="s">
        <v>2</v>
      </c>
      <c r="B1339" s="21">
        <v>46025</v>
      </c>
      <c r="C1339" s="7">
        <v>1385</v>
      </c>
      <c r="D1339" s="7">
        <v>1400</v>
      </c>
      <c r="E1339" s="7">
        <v>0</v>
      </c>
      <c r="F1339" s="7"/>
      <c r="G1339" s="7">
        <v>773</v>
      </c>
      <c r="H1339" s="7">
        <v>450</v>
      </c>
      <c r="I1339" s="7">
        <v>0</v>
      </c>
      <c r="J1339" s="2">
        <v>16.54999923706055</v>
      </c>
      <c r="K1339" s="23">
        <f t="shared" si="164"/>
        <v>12640.385000000002</v>
      </c>
      <c r="L1339" s="23">
        <f t="shared" si="162"/>
        <v>16.352373868046573</v>
      </c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AA1339" s="11"/>
      <c r="AB1339" s="11"/>
      <c r="AC1339" s="11"/>
      <c r="AD1339" s="11"/>
      <c r="AE1339" s="11"/>
    </row>
    <row r="1340" spans="1:31" x14ac:dyDescent="0.25">
      <c r="A1340" s="18" t="s">
        <v>2</v>
      </c>
      <c r="B1340" s="21">
        <v>46026</v>
      </c>
      <c r="C1340" s="7">
        <v>980</v>
      </c>
      <c r="D1340" s="7">
        <v>1000</v>
      </c>
      <c r="E1340" s="7">
        <v>0</v>
      </c>
      <c r="F1340" s="7"/>
      <c r="G1340" s="28">
        <v>1005.3333333330229</v>
      </c>
      <c r="H1340" s="7">
        <v>0</v>
      </c>
      <c r="I1340" s="7">
        <v>0</v>
      </c>
      <c r="J1340" s="2">
        <v>14.55000019073486</v>
      </c>
      <c r="K1340" s="23">
        <f t="shared" si="164"/>
        <v>8948.9800000000014</v>
      </c>
      <c r="L1340" s="23">
        <f t="shared" si="162"/>
        <v>8.9015053050425372</v>
      </c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AA1340" s="11"/>
      <c r="AB1340" s="11"/>
      <c r="AC1340" s="11"/>
      <c r="AD1340" s="11"/>
      <c r="AE1340" s="11"/>
    </row>
    <row r="1341" spans="1:31" x14ac:dyDescent="0.25">
      <c r="A1341" s="18" t="s">
        <v>2</v>
      </c>
      <c r="B1341" s="21">
        <v>46027</v>
      </c>
      <c r="C1341" s="8">
        <v>1028</v>
      </c>
      <c r="D1341" s="8">
        <v>1200</v>
      </c>
      <c r="E1341" s="8">
        <v>0</v>
      </c>
      <c r="F1341" s="8"/>
      <c r="G1341" s="28">
        <v>1237.6666666660458</v>
      </c>
      <c r="H1341" s="8">
        <v>225</v>
      </c>
      <c r="I1341" s="8">
        <v>0</v>
      </c>
      <c r="J1341" s="2">
        <v>11.64999961853027</v>
      </c>
      <c r="K1341" s="23">
        <f t="shared" si="164"/>
        <v>9465.8280000000013</v>
      </c>
      <c r="L1341" s="23">
        <f t="shared" si="162"/>
        <v>7.6481238890423509</v>
      </c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AA1341" s="11"/>
      <c r="AB1341" s="11"/>
      <c r="AC1341" s="11"/>
      <c r="AD1341" s="11"/>
      <c r="AE1341" s="11"/>
    </row>
    <row r="1342" spans="1:31" x14ac:dyDescent="0.25">
      <c r="A1342" s="18" t="s">
        <v>2</v>
      </c>
      <c r="B1342" s="21">
        <v>46028</v>
      </c>
      <c r="C1342" s="7">
        <v>3378</v>
      </c>
      <c r="D1342" s="7">
        <v>2100</v>
      </c>
      <c r="E1342" s="7">
        <v>0</v>
      </c>
      <c r="F1342" s="7"/>
      <c r="G1342" s="7">
        <v>1470</v>
      </c>
      <c r="H1342" s="7">
        <v>1200</v>
      </c>
      <c r="I1342" s="7">
        <v>0</v>
      </c>
      <c r="J1342" s="2">
        <v>12.05000019073486</v>
      </c>
      <c r="K1342" s="23">
        <f t="shared" si="164"/>
        <v>30146.178000000004</v>
      </c>
      <c r="L1342" s="23">
        <f t="shared" si="162"/>
        <v>20.507604081632657</v>
      </c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AA1342" s="11"/>
      <c r="AB1342" s="11"/>
      <c r="AC1342" s="11"/>
      <c r="AD1342" s="11"/>
      <c r="AE1342" s="11"/>
    </row>
    <row r="1343" spans="1:31" x14ac:dyDescent="0.25">
      <c r="A1343" s="18" t="s">
        <v>2</v>
      </c>
      <c r="B1343" s="21">
        <v>46029</v>
      </c>
      <c r="C1343" s="7">
        <v>3372</v>
      </c>
      <c r="D1343" s="7">
        <v>2500</v>
      </c>
      <c r="E1343" s="7">
        <v>0</v>
      </c>
      <c r="F1343" s="7"/>
      <c r="G1343" s="7">
        <v>2535</v>
      </c>
      <c r="H1343" s="7">
        <v>1080</v>
      </c>
      <c r="I1343" s="7">
        <v>0</v>
      </c>
      <c r="J1343" s="2">
        <v>15.30000019073486</v>
      </c>
      <c r="K1343" s="23">
        <f t="shared" si="164"/>
        <v>30302.572000000004</v>
      </c>
      <c r="L1343" s="23">
        <f t="shared" si="162"/>
        <v>11.953677317554241</v>
      </c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AA1343" s="11"/>
      <c r="AB1343" s="11"/>
      <c r="AC1343" s="11"/>
      <c r="AD1343" s="11"/>
      <c r="AE1343" s="11"/>
    </row>
    <row r="1344" spans="1:31" x14ac:dyDescent="0.25">
      <c r="A1344" s="18" t="s">
        <v>2</v>
      </c>
      <c r="B1344" s="21">
        <v>46030</v>
      </c>
      <c r="C1344" s="7">
        <v>1948</v>
      </c>
      <c r="D1344" s="7">
        <v>4500</v>
      </c>
      <c r="E1344" s="7">
        <v>10000</v>
      </c>
      <c r="F1344" s="7"/>
      <c r="G1344" s="7">
        <v>3690</v>
      </c>
      <c r="H1344" s="7">
        <v>3330</v>
      </c>
      <c r="I1344" s="7">
        <v>51615</v>
      </c>
      <c r="J1344" s="2">
        <v>15</v>
      </c>
      <c r="K1344" s="23">
        <f t="shared" si="164"/>
        <v>91094.748000000007</v>
      </c>
      <c r="L1344" s="23">
        <f t="shared" si="162"/>
        <v>24.686923577235774</v>
      </c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AA1344" s="11"/>
      <c r="AB1344" s="11"/>
      <c r="AC1344" s="11"/>
      <c r="AD1344" s="11"/>
      <c r="AE1344" s="11"/>
    </row>
    <row r="1345" spans="1:31" x14ac:dyDescent="0.25">
      <c r="A1345" s="18" t="s">
        <v>2</v>
      </c>
      <c r="B1345" s="21">
        <v>46031</v>
      </c>
      <c r="C1345" s="7">
        <v>2610</v>
      </c>
      <c r="D1345" s="7">
        <v>4800</v>
      </c>
      <c r="E1345" s="7">
        <v>0</v>
      </c>
      <c r="F1345" s="7"/>
      <c r="G1345" s="7">
        <v>3820</v>
      </c>
      <c r="H1345" s="7">
        <v>4095</v>
      </c>
      <c r="I1345" s="7">
        <v>0</v>
      </c>
      <c r="J1345" s="2">
        <v>16.25</v>
      </c>
      <c r="K1345" s="23">
        <f t="shared" si="164"/>
        <v>24944.61</v>
      </c>
      <c r="L1345" s="23">
        <f t="shared" si="162"/>
        <v>6.5300026178010473</v>
      </c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AA1345" s="11"/>
      <c r="AB1345" s="11"/>
      <c r="AC1345" s="11"/>
      <c r="AD1345" s="11"/>
      <c r="AE1345" s="11"/>
    </row>
    <row r="1346" spans="1:31" x14ac:dyDescent="0.25">
      <c r="A1346" s="18" t="s">
        <v>2</v>
      </c>
      <c r="B1346" s="21">
        <v>46032</v>
      </c>
      <c r="C1346" s="8">
        <v>1996</v>
      </c>
      <c r="D1346" s="8">
        <v>3400</v>
      </c>
      <c r="E1346" s="8">
        <v>0</v>
      </c>
      <c r="F1346" s="8"/>
      <c r="G1346" s="8">
        <v>3240</v>
      </c>
      <c r="H1346" s="8">
        <v>2820</v>
      </c>
      <c r="I1346" s="8">
        <v>0</v>
      </c>
      <c r="J1346" s="2">
        <v>15.64999961853027</v>
      </c>
      <c r="K1346" s="23">
        <f t="shared" si="164"/>
        <v>18935.596000000001</v>
      </c>
      <c r="L1346" s="23">
        <f t="shared" si="162"/>
        <v>5.8443197530864204</v>
      </c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AA1346" s="11"/>
      <c r="AB1346" s="11"/>
      <c r="AC1346" s="11"/>
      <c r="AD1346" s="11"/>
      <c r="AE1346" s="11"/>
    </row>
    <row r="1347" spans="1:31" x14ac:dyDescent="0.25">
      <c r="A1347" s="18" t="s">
        <v>2</v>
      </c>
      <c r="B1347" s="21">
        <v>46033</v>
      </c>
      <c r="C1347" s="7">
        <v>2215</v>
      </c>
      <c r="D1347" s="7">
        <v>1100</v>
      </c>
      <c r="E1347" s="7">
        <v>0</v>
      </c>
      <c r="F1347" s="7"/>
      <c r="G1347" s="7">
        <v>3430</v>
      </c>
      <c r="H1347" s="7">
        <v>0</v>
      </c>
      <c r="I1347" s="7">
        <v>0</v>
      </c>
      <c r="J1347" s="2">
        <v>18.54999923706055</v>
      </c>
      <c r="K1347" s="23">
        <f t="shared" si="164"/>
        <v>19623.215</v>
      </c>
      <c r="L1347" s="23">
        <f t="shared" si="162"/>
        <v>5.7210539358600583</v>
      </c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AA1347" s="11"/>
      <c r="AB1347" s="11"/>
      <c r="AC1347" s="11"/>
      <c r="AD1347" s="11"/>
      <c r="AE1347" s="11"/>
    </row>
    <row r="1348" spans="1:31" x14ac:dyDescent="0.25">
      <c r="A1348" s="18" t="s">
        <v>2</v>
      </c>
      <c r="B1348" s="21">
        <v>46034</v>
      </c>
      <c r="C1348" s="7">
        <v>2293</v>
      </c>
      <c r="D1348" s="7">
        <v>1600</v>
      </c>
      <c r="E1348" s="7">
        <v>1400</v>
      </c>
      <c r="F1348" s="7"/>
      <c r="G1348" s="7">
        <v>3463</v>
      </c>
      <c r="H1348" s="7">
        <v>1005</v>
      </c>
      <c r="I1348" s="7">
        <v>7410</v>
      </c>
      <c r="J1348" s="2">
        <v>16.89999961853027</v>
      </c>
      <c r="K1348" s="23">
        <f t="shared" si="164"/>
        <v>30634.093000000001</v>
      </c>
      <c r="L1348" s="23">
        <f t="shared" si="162"/>
        <v>8.8461140629511981</v>
      </c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AA1348" s="11"/>
      <c r="AB1348" s="11"/>
      <c r="AC1348" s="11"/>
      <c r="AD1348" s="11"/>
      <c r="AE1348" s="11"/>
    </row>
    <row r="1349" spans="1:31" x14ac:dyDescent="0.25">
      <c r="A1349" s="18" t="s">
        <v>2</v>
      </c>
      <c r="B1349" s="21">
        <v>46035</v>
      </c>
      <c r="C1349" s="7">
        <v>2217</v>
      </c>
      <c r="D1349" s="7">
        <v>5500</v>
      </c>
      <c r="E1349" s="7">
        <v>0</v>
      </c>
      <c r="F1349" s="7"/>
      <c r="G1349" s="7">
        <v>3600.2</v>
      </c>
      <c r="H1349" s="7">
        <v>3847</v>
      </c>
      <c r="I1349" s="7">
        <v>0</v>
      </c>
      <c r="J1349" s="2">
        <v>14.30000019073486</v>
      </c>
      <c r="K1349" s="23">
        <f t="shared" si="164"/>
        <v>21928.417000000001</v>
      </c>
      <c r="L1349" s="23">
        <f t="shared" si="162"/>
        <v>6.0908885617465707</v>
      </c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AA1349" s="11"/>
      <c r="AB1349" s="11"/>
      <c r="AC1349" s="11"/>
      <c r="AD1349" s="11"/>
      <c r="AE1349" s="11"/>
    </row>
    <row r="1350" spans="1:31" x14ac:dyDescent="0.25">
      <c r="A1350" s="18" t="s">
        <v>2</v>
      </c>
      <c r="B1350" s="21">
        <v>46036</v>
      </c>
      <c r="C1350" s="7">
        <v>2221</v>
      </c>
      <c r="D1350" s="7">
        <v>5000</v>
      </c>
      <c r="E1350" s="7">
        <v>0</v>
      </c>
      <c r="F1350" s="7"/>
      <c r="G1350" s="7">
        <v>1995.6000000000001</v>
      </c>
      <c r="H1350" s="7">
        <v>3697.2000000000003</v>
      </c>
      <c r="I1350" s="7">
        <v>0</v>
      </c>
      <c r="J1350" s="2">
        <v>14.64999961853027</v>
      </c>
      <c r="K1350" s="23">
        <f t="shared" si="164"/>
        <v>21702.821000000004</v>
      </c>
      <c r="L1350" s="23">
        <f t="shared" si="162"/>
        <v>10.875336239727401</v>
      </c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AA1350" s="11"/>
      <c r="AB1350" s="11"/>
      <c r="AC1350" s="11"/>
      <c r="AD1350" s="11"/>
      <c r="AE1350" s="11"/>
    </row>
    <row r="1351" spans="1:31" x14ac:dyDescent="0.25">
      <c r="A1351" s="18" t="s">
        <v>2</v>
      </c>
      <c r="B1351" s="21">
        <v>46037</v>
      </c>
      <c r="C1351" s="8">
        <v>2242</v>
      </c>
      <c r="D1351" s="8">
        <v>4800</v>
      </c>
      <c r="E1351" s="8">
        <v>0</v>
      </c>
      <c r="F1351" s="8"/>
      <c r="G1351" s="8">
        <v>2667.677419354839</v>
      </c>
      <c r="H1351" s="8">
        <v>3759</v>
      </c>
      <c r="I1351" s="8">
        <v>0</v>
      </c>
      <c r="J1351" s="2">
        <v>14.39999961853027</v>
      </c>
      <c r="K1351" s="23">
        <f t="shared" si="164"/>
        <v>21779.442000000003</v>
      </c>
      <c r="L1351" s="23">
        <f t="shared" si="162"/>
        <v>8.1641962562577088</v>
      </c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AA1351" s="11"/>
      <c r="AB1351" s="11"/>
      <c r="AC1351" s="11"/>
      <c r="AD1351" s="11"/>
      <c r="AE1351" s="11"/>
    </row>
    <row r="1352" spans="1:31" x14ac:dyDescent="0.25">
      <c r="A1352" s="18" t="s">
        <v>2</v>
      </c>
      <c r="B1352" s="21">
        <v>46038</v>
      </c>
      <c r="C1352" s="7">
        <v>1562</v>
      </c>
      <c r="D1352" s="7">
        <v>4700</v>
      </c>
      <c r="E1352" s="7">
        <v>1300</v>
      </c>
      <c r="F1352" s="7"/>
      <c r="G1352" s="7">
        <v>4087.3728813559319</v>
      </c>
      <c r="H1352" s="7">
        <v>3495</v>
      </c>
      <c r="I1352" s="7">
        <v>8832</v>
      </c>
      <c r="J1352" s="2">
        <v>12.05000019073486</v>
      </c>
      <c r="K1352" s="23">
        <f t="shared" si="164"/>
        <v>25238.762000000002</v>
      </c>
      <c r="L1352" s="23">
        <f t="shared" si="162"/>
        <v>6.1748127055213464</v>
      </c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AA1352" s="11"/>
      <c r="AB1352" s="11"/>
      <c r="AC1352" s="11"/>
      <c r="AD1352" s="11"/>
      <c r="AE1352" s="11"/>
    </row>
    <row r="1353" spans="1:31" x14ac:dyDescent="0.25">
      <c r="A1353" s="18" t="s">
        <v>2</v>
      </c>
      <c r="B1353" s="21">
        <v>46039</v>
      </c>
      <c r="C1353" s="7">
        <v>2480</v>
      </c>
      <c r="D1353" s="7">
        <v>4000</v>
      </c>
      <c r="E1353" s="7">
        <v>0</v>
      </c>
      <c r="F1353" s="7"/>
      <c r="G1353" s="7">
        <v>5124.9333333333334</v>
      </c>
      <c r="H1353" s="7">
        <v>3363</v>
      </c>
      <c r="I1353" s="7">
        <v>0</v>
      </c>
      <c r="J1353" s="2">
        <v>10.39999961853027</v>
      </c>
      <c r="K1353" s="23">
        <f t="shared" si="164"/>
        <v>23410.480000000003</v>
      </c>
      <c r="L1353" s="23">
        <f t="shared" ref="L1353:L1416" si="165">K1353/G1353</f>
        <v>4.5679579571766791</v>
      </c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AA1353" s="11"/>
      <c r="AB1353" s="11"/>
      <c r="AC1353" s="11"/>
      <c r="AD1353" s="11"/>
      <c r="AE1353" s="11"/>
    </row>
    <row r="1354" spans="1:31" x14ac:dyDescent="0.25">
      <c r="A1354" s="18" t="s">
        <v>2</v>
      </c>
      <c r="B1354" s="21">
        <v>46040</v>
      </c>
      <c r="C1354" s="7">
        <v>1330</v>
      </c>
      <c r="D1354" s="7">
        <v>1000</v>
      </c>
      <c r="E1354" s="7">
        <v>0</v>
      </c>
      <c r="F1354" s="7"/>
      <c r="G1354" s="7">
        <v>1059.279069767442</v>
      </c>
      <c r="H1354" s="7">
        <v>754.00000000000011</v>
      </c>
      <c r="I1354" s="7">
        <v>0</v>
      </c>
      <c r="J1354" s="2">
        <v>12.10000038146973</v>
      </c>
      <c r="K1354" s="23">
        <f t="shared" si="164"/>
        <v>11959.330000000002</v>
      </c>
      <c r="L1354" s="23">
        <f t="shared" si="165"/>
        <v>11.290065424048827</v>
      </c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AA1354" s="11"/>
      <c r="AB1354" s="11"/>
      <c r="AC1354" s="11"/>
      <c r="AD1354" s="11"/>
      <c r="AE1354" s="11"/>
    </row>
    <row r="1355" spans="1:31" x14ac:dyDescent="0.25">
      <c r="A1355" s="18" t="s">
        <v>2</v>
      </c>
      <c r="B1355" s="21">
        <v>46041</v>
      </c>
      <c r="C1355" s="7">
        <v>1659</v>
      </c>
      <c r="D1355" s="7">
        <v>1200</v>
      </c>
      <c r="E1355" s="7">
        <v>0</v>
      </c>
      <c r="F1355" s="7"/>
      <c r="G1355" s="7">
        <v>2085</v>
      </c>
      <c r="H1355" s="7">
        <v>907</v>
      </c>
      <c r="I1355" s="7">
        <v>0</v>
      </c>
      <c r="J1355" s="2">
        <v>13.44999980926514</v>
      </c>
      <c r="K1355" s="23">
        <f t="shared" si="164"/>
        <v>14893.059000000001</v>
      </c>
      <c r="L1355" s="23">
        <f t="shared" si="165"/>
        <v>7.1429539568345328</v>
      </c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AA1355" s="11"/>
      <c r="AB1355" s="11"/>
      <c r="AC1355" s="11"/>
      <c r="AD1355" s="11"/>
      <c r="AE1355" s="11"/>
    </row>
    <row r="1356" spans="1:31" x14ac:dyDescent="0.25">
      <c r="A1356" s="18" t="s">
        <v>2</v>
      </c>
      <c r="B1356" s="21">
        <v>46042</v>
      </c>
      <c r="C1356" s="8">
        <v>2466</v>
      </c>
      <c r="D1356" s="8">
        <v>4500</v>
      </c>
      <c r="E1356" s="8">
        <v>0</v>
      </c>
      <c r="F1356" s="8"/>
      <c r="G1356" s="8">
        <v>4993.2655999999997</v>
      </c>
      <c r="H1356" s="8">
        <v>3411.72</v>
      </c>
      <c r="I1356" s="8">
        <v>0</v>
      </c>
      <c r="J1356" s="2">
        <v>14.5</v>
      </c>
      <c r="K1356" s="23">
        <f t="shared" si="164"/>
        <v>23550.066000000003</v>
      </c>
      <c r="L1356" s="23">
        <f t="shared" si="165"/>
        <v>4.7163655784703309</v>
      </c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AA1356" s="11"/>
      <c r="AB1356" s="11"/>
      <c r="AC1356" s="11"/>
      <c r="AD1356" s="11"/>
      <c r="AE1356" s="11"/>
    </row>
    <row r="1357" spans="1:31" x14ac:dyDescent="0.25">
      <c r="A1357" s="18" t="s">
        <v>2</v>
      </c>
      <c r="B1357" s="21">
        <v>46043</v>
      </c>
      <c r="C1357" s="7">
        <v>1583</v>
      </c>
      <c r="D1357" s="7">
        <v>4900</v>
      </c>
      <c r="E1357" s="7">
        <v>1025</v>
      </c>
      <c r="F1357" s="7"/>
      <c r="G1357" s="7">
        <v>4641</v>
      </c>
      <c r="H1357" s="7">
        <v>3493</v>
      </c>
      <c r="I1357" s="7">
        <v>7688</v>
      </c>
      <c r="J1357" s="2">
        <v>17.60000038146973</v>
      </c>
      <c r="K1357" s="23">
        <f t="shared" si="164"/>
        <v>23543.383000000002</v>
      </c>
      <c r="L1357" s="23">
        <f t="shared" si="165"/>
        <v>5.0729116569704811</v>
      </c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AA1357" s="11"/>
      <c r="AB1357" s="11"/>
      <c r="AC1357" s="11"/>
      <c r="AD1357" s="11"/>
      <c r="AE1357" s="11"/>
    </row>
    <row r="1358" spans="1:31" x14ac:dyDescent="0.25">
      <c r="A1358" s="18" t="s">
        <v>2</v>
      </c>
      <c r="B1358" s="21">
        <v>46044</v>
      </c>
      <c r="C1358" s="7">
        <v>2332</v>
      </c>
      <c r="D1358" s="7">
        <v>4500</v>
      </c>
      <c r="E1358" s="7">
        <v>0</v>
      </c>
      <c r="F1358" s="7"/>
      <c r="G1358" s="7">
        <v>4931</v>
      </c>
      <c r="H1358" s="7">
        <v>2550</v>
      </c>
      <c r="I1358" s="7">
        <v>0</v>
      </c>
      <c r="J1358" s="2">
        <v>15.10000038146973</v>
      </c>
      <c r="K1358" s="23">
        <f t="shared" si="164"/>
        <v>22397.532000000003</v>
      </c>
      <c r="L1358" s="23">
        <f t="shared" si="165"/>
        <v>4.542188602717502</v>
      </c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AA1358" s="11"/>
      <c r="AB1358" s="11"/>
      <c r="AC1358" s="11"/>
      <c r="AD1358" s="11"/>
      <c r="AE1358" s="11"/>
    </row>
    <row r="1359" spans="1:31" x14ac:dyDescent="0.25">
      <c r="A1359" s="18" t="s">
        <v>2</v>
      </c>
      <c r="B1359" s="21">
        <v>46045</v>
      </c>
      <c r="C1359" s="7">
        <v>1520</v>
      </c>
      <c r="D1359" s="7">
        <v>5700</v>
      </c>
      <c r="E1359" s="7">
        <v>0</v>
      </c>
      <c r="F1359" s="7"/>
      <c r="G1359" s="7">
        <v>6195</v>
      </c>
      <c r="H1359" s="7">
        <v>3420</v>
      </c>
      <c r="I1359" s="7">
        <v>0</v>
      </c>
      <c r="J1359" s="2">
        <v>12.39999961853027</v>
      </c>
      <c r="K1359" s="23">
        <f t="shared" si="164"/>
        <v>16037.52</v>
      </c>
      <c r="L1359" s="23">
        <f t="shared" si="165"/>
        <v>2.5887845036319614</v>
      </c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AA1359" s="11"/>
      <c r="AB1359" s="11"/>
      <c r="AC1359" s="11"/>
      <c r="AD1359" s="11"/>
      <c r="AE1359" s="11"/>
    </row>
    <row r="1360" spans="1:31" x14ac:dyDescent="0.25">
      <c r="A1360" s="18" t="s">
        <v>2</v>
      </c>
      <c r="B1360" s="21">
        <v>46046</v>
      </c>
      <c r="C1360" s="7">
        <v>2717</v>
      </c>
      <c r="D1360" s="7">
        <v>1500</v>
      </c>
      <c r="E1360" s="7">
        <v>0</v>
      </c>
      <c r="F1360" s="7"/>
      <c r="G1360" s="7">
        <v>1185</v>
      </c>
      <c r="H1360" s="7">
        <v>3225</v>
      </c>
      <c r="I1360" s="7">
        <v>0</v>
      </c>
      <c r="J1360" s="2">
        <v>15.10000038146973</v>
      </c>
      <c r="K1360" s="23">
        <f t="shared" si="164"/>
        <v>24148.917000000001</v>
      </c>
      <c r="L1360" s="23">
        <f t="shared" si="165"/>
        <v>20.378832911392408</v>
      </c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AA1360" s="11"/>
      <c r="AB1360" s="11"/>
      <c r="AC1360" s="11"/>
      <c r="AD1360" s="11"/>
      <c r="AE1360" s="11"/>
    </row>
    <row r="1361" spans="1:31" x14ac:dyDescent="0.25">
      <c r="A1361" s="18" t="s">
        <v>2</v>
      </c>
      <c r="B1361" s="21">
        <v>46047</v>
      </c>
      <c r="C1361" s="8">
        <v>1359</v>
      </c>
      <c r="D1361" s="8">
        <v>1000</v>
      </c>
      <c r="E1361" s="8">
        <v>0</v>
      </c>
      <c r="F1361" s="8"/>
      <c r="G1361" s="8">
        <v>2602</v>
      </c>
      <c r="H1361" s="8">
        <v>681</v>
      </c>
      <c r="I1361" s="8">
        <v>0</v>
      </c>
      <c r="J1361" s="2">
        <v>16.35000038146973</v>
      </c>
      <c r="K1361" s="23">
        <f t="shared" si="164"/>
        <v>12208.759000000002</v>
      </c>
      <c r="L1361" s="23">
        <f t="shared" si="165"/>
        <v>4.6920672559569567</v>
      </c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AA1361" s="11"/>
      <c r="AB1361" s="11"/>
      <c r="AC1361" s="11"/>
      <c r="AD1361" s="11"/>
      <c r="AE1361" s="11"/>
    </row>
    <row r="1362" spans="1:31" x14ac:dyDescent="0.25">
      <c r="A1362" s="18" t="s">
        <v>2</v>
      </c>
      <c r="B1362" s="21">
        <v>46048</v>
      </c>
      <c r="C1362" s="7">
        <v>1493</v>
      </c>
      <c r="D1362" s="7">
        <v>4000</v>
      </c>
      <c r="E1362" s="7">
        <v>1100</v>
      </c>
      <c r="F1362" s="7"/>
      <c r="G1362" s="7">
        <v>4020.5784615384619</v>
      </c>
      <c r="H1362" s="7">
        <v>2498.08</v>
      </c>
      <c r="I1362" s="7">
        <v>6780</v>
      </c>
      <c r="J1362" s="2">
        <v>16.89999961853027</v>
      </c>
      <c r="K1362" s="23">
        <f t="shared" si="164"/>
        <v>22841.293000000001</v>
      </c>
      <c r="L1362" s="23">
        <f t="shared" si="165"/>
        <v>5.6810961951131409</v>
      </c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AA1362" s="11"/>
      <c r="AB1362" s="11"/>
      <c r="AC1362" s="11"/>
      <c r="AD1362" s="11"/>
      <c r="AE1362" s="11"/>
    </row>
    <row r="1363" spans="1:31" x14ac:dyDescent="0.25">
      <c r="A1363" s="18" t="s">
        <v>2</v>
      </c>
      <c r="B1363" s="21">
        <v>46049</v>
      </c>
      <c r="C1363" s="7">
        <v>1405</v>
      </c>
      <c r="D1363" s="7">
        <v>3500</v>
      </c>
      <c r="E1363" s="7">
        <v>0</v>
      </c>
      <c r="F1363" s="7"/>
      <c r="G1363" s="7">
        <v>5403.9485294117649</v>
      </c>
      <c r="H1363" s="7">
        <v>2015</v>
      </c>
      <c r="I1363" s="7">
        <v>0</v>
      </c>
      <c r="J1363" s="2">
        <v>17.75</v>
      </c>
      <c r="K1363" s="23">
        <f t="shared" si="164"/>
        <v>13904.405000000001</v>
      </c>
      <c r="L1363" s="23">
        <f t="shared" si="165"/>
        <v>2.5730084075233659</v>
      </c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AA1363" s="11"/>
      <c r="AB1363" s="11"/>
      <c r="AC1363" s="11"/>
      <c r="AD1363" s="11"/>
      <c r="AE1363" s="11"/>
    </row>
    <row r="1364" spans="1:31" x14ac:dyDescent="0.25">
      <c r="A1364" s="18" t="s">
        <v>2</v>
      </c>
      <c r="B1364" s="21">
        <v>46050</v>
      </c>
      <c r="C1364" s="7">
        <v>1268</v>
      </c>
      <c r="D1364" s="7">
        <v>4000</v>
      </c>
      <c r="E1364" s="7">
        <v>0</v>
      </c>
      <c r="F1364" s="7"/>
      <c r="G1364" s="7">
        <v>6175.4086438152008</v>
      </c>
      <c r="H1364" s="7">
        <v>1910</v>
      </c>
      <c r="I1364" s="7">
        <v>0</v>
      </c>
      <c r="J1364" s="2">
        <v>18.10000038146973</v>
      </c>
      <c r="K1364" s="23">
        <f t="shared" si="164"/>
        <v>12986.068000000001</v>
      </c>
      <c r="L1364" s="23">
        <f t="shared" si="165"/>
        <v>2.1028678017941074</v>
      </c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AA1364" s="11"/>
      <c r="AB1364" s="11"/>
      <c r="AC1364" s="11"/>
      <c r="AD1364" s="11"/>
      <c r="AE1364" s="11"/>
    </row>
    <row r="1365" spans="1:31" x14ac:dyDescent="0.25">
      <c r="A1365" s="18" t="s">
        <v>2</v>
      </c>
      <c r="B1365" s="21">
        <v>46051</v>
      </c>
      <c r="C1365" s="7">
        <v>1107</v>
      </c>
      <c r="D1365" s="7">
        <v>4200</v>
      </c>
      <c r="E1365" s="7">
        <v>0</v>
      </c>
      <c r="F1365" s="7"/>
      <c r="G1365" s="7">
        <v>5405.1176470588234</v>
      </c>
      <c r="H1365" s="7">
        <v>1824</v>
      </c>
      <c r="I1365" s="7">
        <v>0</v>
      </c>
      <c r="J1365" s="2">
        <v>18.39999961853027</v>
      </c>
      <c r="K1365" s="23">
        <f t="shared" si="164"/>
        <v>11705.307000000001</v>
      </c>
      <c r="L1365" s="23">
        <f t="shared" si="165"/>
        <v>2.165597081197558</v>
      </c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AA1365" s="11"/>
      <c r="AB1365" s="11"/>
      <c r="AC1365" s="11"/>
      <c r="AD1365" s="11"/>
      <c r="AE1365" s="11"/>
    </row>
    <row r="1366" spans="1:31" x14ac:dyDescent="0.25">
      <c r="A1366" s="18" t="s">
        <v>2</v>
      </c>
      <c r="B1366" s="21">
        <v>46052</v>
      </c>
      <c r="C1366" s="8">
        <v>2702</v>
      </c>
      <c r="D1366" s="8">
        <v>4500</v>
      </c>
      <c r="E1366" s="8">
        <v>1175</v>
      </c>
      <c r="F1366" s="8"/>
      <c r="G1366" s="8">
        <v>4800</v>
      </c>
      <c r="H1366" s="8">
        <v>2250</v>
      </c>
      <c r="I1366" s="8">
        <v>7320</v>
      </c>
      <c r="J1366" s="2">
        <v>18.70000076293945</v>
      </c>
      <c r="K1366" s="23">
        <f t="shared" si="164"/>
        <v>34039.902000000002</v>
      </c>
      <c r="L1366" s="23">
        <f t="shared" si="165"/>
        <v>7.0916462500000002</v>
      </c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AA1366" s="11"/>
      <c r="AB1366" s="11"/>
      <c r="AC1366" s="11"/>
      <c r="AD1366" s="11"/>
      <c r="AE1366" s="11"/>
    </row>
    <row r="1367" spans="1:31" x14ac:dyDescent="0.25">
      <c r="A1367" s="18" t="s">
        <v>2</v>
      </c>
      <c r="B1367" s="21">
        <v>46053</v>
      </c>
      <c r="C1367" s="7">
        <v>1760</v>
      </c>
      <c r="D1367" s="7">
        <v>4300</v>
      </c>
      <c r="E1367" s="7">
        <v>0</v>
      </c>
      <c r="F1367" s="7"/>
      <c r="G1367" s="7">
        <v>5149.4520547945203</v>
      </c>
      <c r="H1367" s="7">
        <v>2449</v>
      </c>
      <c r="I1367" s="7">
        <v>0</v>
      </c>
      <c r="J1367" s="2">
        <v>19.89999961853027</v>
      </c>
      <c r="K1367" s="23">
        <f t="shared" si="164"/>
        <v>17373.760000000002</v>
      </c>
      <c r="L1367" s="23">
        <f t="shared" si="165"/>
        <v>3.3739046048256238</v>
      </c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AA1367" s="11"/>
      <c r="AB1367" s="11"/>
      <c r="AC1367" s="11"/>
      <c r="AD1367" s="11"/>
      <c r="AE1367" s="11"/>
    </row>
    <row r="1368" spans="1:31" x14ac:dyDescent="0.25">
      <c r="A1368" s="18" t="s">
        <v>2</v>
      </c>
      <c r="B1368" s="21">
        <v>46054</v>
      </c>
      <c r="C1368" s="7">
        <v>1546</v>
      </c>
      <c r="D1368" s="7">
        <v>4500</v>
      </c>
      <c r="E1368" s="7">
        <v>0</v>
      </c>
      <c r="F1368" s="7"/>
      <c r="G1368" s="7">
        <v>1938.7916666666667</v>
      </c>
      <c r="H1368" s="7">
        <v>2449</v>
      </c>
      <c r="I1368" s="7">
        <v>0</v>
      </c>
      <c r="J1368" s="2">
        <v>14.75</v>
      </c>
      <c r="K1368" s="23">
        <f>C1368*9.203+D1368*0.51+E1368*7.5+F1368*5</f>
        <v>16522.838</v>
      </c>
      <c r="L1368" s="23">
        <f t="shared" si="165"/>
        <v>8.5222348971653297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AA1368" s="11"/>
      <c r="AB1368" s="11"/>
      <c r="AC1368" s="11"/>
      <c r="AD1368" s="11"/>
      <c r="AE1368" s="11"/>
    </row>
    <row r="1369" spans="1:31" x14ac:dyDescent="0.25">
      <c r="A1369" s="18" t="s">
        <v>2</v>
      </c>
      <c r="B1369" s="21">
        <v>46055</v>
      </c>
      <c r="C1369" s="7">
        <v>1599</v>
      </c>
      <c r="D1369" s="7">
        <v>4700</v>
      </c>
      <c r="E1369" s="7">
        <v>1325</v>
      </c>
      <c r="F1369" s="7"/>
      <c r="G1369" s="7">
        <v>3114.0846242774564</v>
      </c>
      <c r="H1369" s="7">
        <v>2529.2799999999997</v>
      </c>
      <c r="I1369" s="7">
        <v>8064</v>
      </c>
      <c r="J1369" s="2">
        <v>14.25</v>
      </c>
      <c r="K1369" s="23">
        <f t="shared" ref="K1369:K1395" si="166">C1369*9.203+D1369*0.51+E1369*7.5+F1369*5</f>
        <v>27050.097000000002</v>
      </c>
      <c r="L1369" s="23">
        <f t="shared" si="165"/>
        <v>8.6863718439495798</v>
      </c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AA1369" s="11"/>
      <c r="AB1369" s="11"/>
      <c r="AC1369" s="11"/>
      <c r="AD1369" s="11"/>
      <c r="AE1369" s="11"/>
    </row>
    <row r="1370" spans="1:31" x14ac:dyDescent="0.25">
      <c r="A1370" s="18" t="s">
        <v>2</v>
      </c>
      <c r="B1370" s="21">
        <v>46056</v>
      </c>
      <c r="C1370" s="7">
        <v>1935</v>
      </c>
      <c r="D1370" s="7">
        <v>6500</v>
      </c>
      <c r="E1370" s="7">
        <v>0</v>
      </c>
      <c r="F1370" s="7"/>
      <c r="G1370" s="7">
        <v>3425.5890410958905</v>
      </c>
      <c r="H1370" s="7">
        <v>4368</v>
      </c>
      <c r="I1370" s="7">
        <v>0</v>
      </c>
      <c r="J1370" s="2">
        <v>19.89999961853027</v>
      </c>
      <c r="K1370" s="23">
        <f t="shared" si="166"/>
        <v>21122.805</v>
      </c>
      <c r="L1370" s="23">
        <f t="shared" si="165"/>
        <v>6.166181858534479</v>
      </c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AA1370" s="11"/>
      <c r="AB1370" s="11"/>
      <c r="AC1370" s="11"/>
      <c r="AD1370" s="11"/>
      <c r="AE1370" s="11"/>
    </row>
    <row r="1371" spans="1:31" x14ac:dyDescent="0.25">
      <c r="A1371" s="18" t="s">
        <v>2</v>
      </c>
      <c r="B1371" s="21">
        <v>46057</v>
      </c>
      <c r="C1371" s="7">
        <v>1954</v>
      </c>
      <c r="D1371" s="7">
        <v>4800</v>
      </c>
      <c r="E1371" s="7">
        <v>0</v>
      </c>
      <c r="F1371" s="7"/>
      <c r="G1371" s="7">
        <v>4965.6578947368416</v>
      </c>
      <c r="H1371" s="7">
        <v>2840</v>
      </c>
      <c r="I1371" s="7">
        <v>0</v>
      </c>
      <c r="J1371" s="2">
        <v>19.04999923706055</v>
      </c>
      <c r="K1371" s="23">
        <f t="shared" si="166"/>
        <v>20430.662</v>
      </c>
      <c r="L1371" s="23">
        <f t="shared" si="165"/>
        <v>4.1143917750867809</v>
      </c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AA1371" s="11"/>
      <c r="AB1371" s="11"/>
      <c r="AC1371" s="11"/>
      <c r="AD1371" s="11"/>
      <c r="AE1371" s="11"/>
    </row>
    <row r="1372" spans="1:31" x14ac:dyDescent="0.25">
      <c r="A1372" s="18" t="s">
        <v>2</v>
      </c>
      <c r="B1372" s="21">
        <v>46058</v>
      </c>
      <c r="C1372" s="8">
        <v>1847</v>
      </c>
      <c r="D1372" s="8">
        <v>2200</v>
      </c>
      <c r="E1372" s="8">
        <v>0</v>
      </c>
      <c r="F1372" s="8"/>
      <c r="G1372" s="8">
        <v>6600.1707317073169</v>
      </c>
      <c r="H1372" s="8">
        <v>1402</v>
      </c>
      <c r="I1372" s="8">
        <v>0</v>
      </c>
      <c r="J1372" s="2">
        <v>15.19999980926514</v>
      </c>
      <c r="K1372" s="23">
        <f t="shared" si="166"/>
        <v>18119.940999999999</v>
      </c>
      <c r="L1372" s="23">
        <f t="shared" si="165"/>
        <v>2.7453745875014319</v>
      </c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AA1372" s="11"/>
      <c r="AB1372" s="11"/>
      <c r="AC1372" s="11"/>
      <c r="AD1372" s="11"/>
      <c r="AE1372" s="11"/>
    </row>
    <row r="1373" spans="1:31" x14ac:dyDescent="0.25">
      <c r="A1373" s="18" t="s">
        <v>2</v>
      </c>
      <c r="B1373" s="21">
        <v>46059</v>
      </c>
      <c r="C1373" s="7">
        <v>2405</v>
      </c>
      <c r="D1373" s="7">
        <v>3600</v>
      </c>
      <c r="E1373" s="7">
        <v>0</v>
      </c>
      <c r="F1373" s="7"/>
      <c r="G1373" s="7">
        <v>5307</v>
      </c>
      <c r="H1373" s="7">
        <v>1902.0000000000002</v>
      </c>
      <c r="I1373" s="7">
        <v>0</v>
      </c>
      <c r="J1373" s="2">
        <v>17.35000038146973</v>
      </c>
      <c r="K1373" s="23">
        <f t="shared" si="166"/>
        <v>23969.215</v>
      </c>
      <c r="L1373" s="23">
        <f t="shared" si="165"/>
        <v>4.5165281703410587</v>
      </c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AA1373" s="11"/>
      <c r="AB1373" s="11"/>
      <c r="AC1373" s="11"/>
      <c r="AD1373" s="11"/>
      <c r="AE1373" s="11"/>
    </row>
    <row r="1374" spans="1:31" x14ac:dyDescent="0.25">
      <c r="A1374" s="18" t="s">
        <v>2</v>
      </c>
      <c r="B1374" s="21">
        <v>46060</v>
      </c>
      <c r="C1374" s="7">
        <v>1932</v>
      </c>
      <c r="D1374" s="7">
        <v>3500</v>
      </c>
      <c r="E1374" s="7">
        <v>0</v>
      </c>
      <c r="F1374" s="7"/>
      <c r="G1374" s="7">
        <v>6210.8524590163934</v>
      </c>
      <c r="H1374" s="7">
        <v>1888</v>
      </c>
      <c r="I1374" s="7">
        <v>0</v>
      </c>
      <c r="J1374" s="2">
        <v>17.45000076293945</v>
      </c>
      <c r="K1374" s="23">
        <f t="shared" si="166"/>
        <v>19565.196</v>
      </c>
      <c r="L1374" s="23">
        <f t="shared" si="165"/>
        <v>3.1501627399950376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AA1374" s="11"/>
      <c r="AB1374" s="11"/>
      <c r="AC1374" s="11"/>
      <c r="AD1374" s="11"/>
      <c r="AE1374" s="11"/>
    </row>
    <row r="1375" spans="1:31" x14ac:dyDescent="0.25">
      <c r="A1375" s="18" t="s">
        <v>2</v>
      </c>
      <c r="B1375" s="21">
        <v>46061</v>
      </c>
      <c r="C1375" s="7">
        <v>2248</v>
      </c>
      <c r="D1375" s="7">
        <v>2000</v>
      </c>
      <c r="E1375" s="7">
        <v>0</v>
      </c>
      <c r="F1375" s="7"/>
      <c r="G1375" s="7">
        <v>2078</v>
      </c>
      <c r="H1375" s="7">
        <v>848</v>
      </c>
      <c r="I1375" s="7">
        <v>0</v>
      </c>
      <c r="J1375" s="2">
        <v>18.89999961853027</v>
      </c>
      <c r="K1375" s="23">
        <f t="shared" si="166"/>
        <v>21708.343999999997</v>
      </c>
      <c r="L1375" s="23">
        <f t="shared" si="165"/>
        <v>10.446748796920113</v>
      </c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AA1375" s="11"/>
      <c r="AB1375" s="11"/>
      <c r="AC1375" s="11"/>
      <c r="AD1375" s="11"/>
      <c r="AE1375" s="11"/>
    </row>
    <row r="1376" spans="1:31" x14ac:dyDescent="0.25">
      <c r="A1376" s="18" t="s">
        <v>2</v>
      </c>
      <c r="B1376" s="21">
        <v>46062</v>
      </c>
      <c r="C1376" s="7">
        <v>1585</v>
      </c>
      <c r="D1376" s="7">
        <v>3600</v>
      </c>
      <c r="E1376" s="7">
        <v>1000</v>
      </c>
      <c r="F1376" s="7"/>
      <c r="G1376" s="7">
        <v>4953.260869565217</v>
      </c>
      <c r="H1376" s="7">
        <v>2170</v>
      </c>
      <c r="I1376" s="7">
        <v>6660</v>
      </c>
      <c r="J1376" s="2">
        <v>21.04999923706055</v>
      </c>
      <c r="K1376" s="23">
        <f t="shared" si="166"/>
        <v>23922.754999999997</v>
      </c>
      <c r="L1376" s="23">
        <f t="shared" si="165"/>
        <v>4.8296981786262894</v>
      </c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AA1376" s="11"/>
      <c r="AB1376" s="11"/>
      <c r="AC1376" s="11"/>
      <c r="AD1376" s="11"/>
      <c r="AE1376" s="11"/>
    </row>
    <row r="1377" spans="1:31" x14ac:dyDescent="0.25">
      <c r="A1377" s="18" t="s">
        <v>2</v>
      </c>
      <c r="B1377" s="21">
        <v>46063</v>
      </c>
      <c r="C1377" s="8">
        <v>2966</v>
      </c>
      <c r="D1377" s="8">
        <v>4500</v>
      </c>
      <c r="E1377" s="8">
        <v>0</v>
      </c>
      <c r="F1377" s="8"/>
      <c r="G1377" s="8">
        <v>3885</v>
      </c>
      <c r="H1377" s="8">
        <v>2541</v>
      </c>
      <c r="I1377" s="8">
        <v>0</v>
      </c>
      <c r="J1377" s="2">
        <v>22.60000038146973</v>
      </c>
      <c r="K1377" s="23">
        <f t="shared" si="166"/>
        <v>29591.097999999998</v>
      </c>
      <c r="L1377" s="23">
        <f t="shared" si="165"/>
        <v>7.6167562419562413</v>
      </c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AA1377" s="11"/>
      <c r="AB1377" s="11"/>
      <c r="AC1377" s="11"/>
      <c r="AD1377" s="11"/>
      <c r="AE1377" s="11"/>
    </row>
    <row r="1378" spans="1:31" x14ac:dyDescent="0.25">
      <c r="A1378" s="18" t="s">
        <v>2</v>
      </c>
      <c r="B1378" s="21">
        <v>46064</v>
      </c>
      <c r="C1378" s="7">
        <v>2608</v>
      </c>
      <c r="D1378" s="7">
        <v>4100</v>
      </c>
      <c r="E1378" s="7">
        <v>1000</v>
      </c>
      <c r="F1378" s="7"/>
      <c r="G1378" s="7">
        <v>4917.75</v>
      </c>
      <c r="H1378" s="7">
        <v>1874</v>
      </c>
      <c r="I1378" s="7">
        <v>6720</v>
      </c>
      <c r="J1378" s="2">
        <v>21.04999923706055</v>
      </c>
      <c r="K1378" s="23">
        <f t="shared" si="166"/>
        <v>33592.423999999999</v>
      </c>
      <c r="L1378" s="23">
        <f t="shared" si="165"/>
        <v>6.8308523206751053</v>
      </c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AA1378" s="11"/>
      <c r="AB1378" s="11"/>
      <c r="AC1378" s="11"/>
      <c r="AD1378" s="11"/>
      <c r="AE1378" s="11"/>
    </row>
    <row r="1379" spans="1:31" x14ac:dyDescent="0.25">
      <c r="A1379" s="18" t="s">
        <v>2</v>
      </c>
      <c r="B1379" s="21">
        <v>46065</v>
      </c>
      <c r="C1379" s="7">
        <v>2269</v>
      </c>
      <c r="D1379" s="7">
        <v>6300</v>
      </c>
      <c r="E1379" s="7">
        <v>0</v>
      </c>
      <c r="F1379" s="7"/>
      <c r="G1379" s="7">
        <v>5476.6152542372884</v>
      </c>
      <c r="H1379" s="7">
        <v>4776.8500000000004</v>
      </c>
      <c r="I1379" s="7">
        <v>0</v>
      </c>
      <c r="J1379" s="2">
        <v>15.44999980926514</v>
      </c>
      <c r="K1379" s="23">
        <f t="shared" si="166"/>
        <v>24094.607</v>
      </c>
      <c r="L1379" s="23">
        <f t="shared" si="165"/>
        <v>4.3995434920059182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AA1379" s="11"/>
      <c r="AB1379" s="11"/>
      <c r="AC1379" s="11"/>
      <c r="AD1379" s="11"/>
      <c r="AE1379" s="11"/>
    </row>
    <row r="1380" spans="1:31" x14ac:dyDescent="0.25">
      <c r="A1380" s="18" t="s">
        <v>2</v>
      </c>
      <c r="B1380" s="21">
        <v>46066</v>
      </c>
      <c r="C1380" s="7">
        <v>3364</v>
      </c>
      <c r="D1380" s="7">
        <v>6100</v>
      </c>
      <c r="E1380" s="7">
        <v>0</v>
      </c>
      <c r="F1380" s="7"/>
      <c r="G1380" s="7">
        <v>4954.5</v>
      </c>
      <c r="H1380" s="7">
        <v>4159.3499999999995</v>
      </c>
      <c r="I1380" s="7">
        <v>0</v>
      </c>
      <c r="J1380" s="2">
        <v>14.25</v>
      </c>
      <c r="K1380" s="23">
        <f t="shared" si="166"/>
        <v>34069.891999999993</v>
      </c>
      <c r="L1380" s="23">
        <f t="shared" si="165"/>
        <v>6.876555050963769</v>
      </c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AA1380" s="11"/>
      <c r="AB1380" s="11"/>
      <c r="AC1380" s="11"/>
      <c r="AD1380" s="11"/>
      <c r="AE1380" s="11"/>
    </row>
    <row r="1381" spans="1:31" x14ac:dyDescent="0.25">
      <c r="A1381" s="18" t="s">
        <v>2</v>
      </c>
      <c r="B1381" s="21">
        <v>46067</v>
      </c>
      <c r="C1381" s="7">
        <v>3481</v>
      </c>
      <c r="D1381" s="7">
        <v>6200</v>
      </c>
      <c r="E1381" s="7">
        <v>0</v>
      </c>
      <c r="F1381" s="7"/>
      <c r="G1381" s="7">
        <v>4837.3874999999998</v>
      </c>
      <c r="H1381" s="7">
        <v>4269.8500000000004</v>
      </c>
      <c r="I1381" s="7">
        <v>0</v>
      </c>
      <c r="J1381" s="2">
        <v>16.79999923706055</v>
      </c>
      <c r="K1381" s="23">
        <f t="shared" si="166"/>
        <v>35197.642999999996</v>
      </c>
      <c r="L1381" s="23">
        <f t="shared" si="165"/>
        <v>7.2761677661754405</v>
      </c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AA1381" s="11"/>
      <c r="AB1381" s="11"/>
      <c r="AC1381" s="11"/>
      <c r="AD1381" s="11"/>
      <c r="AE1381" s="11"/>
    </row>
    <row r="1382" spans="1:31" x14ac:dyDescent="0.25">
      <c r="A1382" s="18" t="s">
        <v>2</v>
      </c>
      <c r="B1382" s="21">
        <v>46068</v>
      </c>
      <c r="C1382" s="8">
        <v>2654</v>
      </c>
      <c r="D1382" s="8">
        <v>2000</v>
      </c>
      <c r="E1382" s="8">
        <v>0</v>
      </c>
      <c r="F1382" s="8"/>
      <c r="G1382" s="8">
        <v>2318</v>
      </c>
      <c r="H1382" s="8">
        <v>1045</v>
      </c>
      <c r="I1382" s="8">
        <v>0</v>
      </c>
      <c r="J1382" s="2">
        <v>21</v>
      </c>
      <c r="K1382" s="23">
        <f t="shared" si="166"/>
        <v>25444.761999999999</v>
      </c>
      <c r="L1382" s="23">
        <f t="shared" si="165"/>
        <v>10.977032786885246</v>
      </c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AA1382" s="11"/>
      <c r="AB1382" s="11"/>
      <c r="AC1382" s="11"/>
      <c r="AD1382" s="11"/>
      <c r="AE1382" s="11"/>
    </row>
    <row r="1383" spans="1:31" x14ac:dyDescent="0.25">
      <c r="A1383" s="18" t="s">
        <v>2</v>
      </c>
      <c r="B1383" s="21">
        <v>46069</v>
      </c>
      <c r="C1383" s="7">
        <v>2353</v>
      </c>
      <c r="D1383" s="7">
        <v>2300</v>
      </c>
      <c r="E1383" s="7">
        <v>1000</v>
      </c>
      <c r="F1383" s="7"/>
      <c r="G1383" s="7">
        <v>3384</v>
      </c>
      <c r="H1383" s="7">
        <v>1179</v>
      </c>
      <c r="I1383" s="7">
        <v>5850</v>
      </c>
      <c r="J1383" s="2">
        <v>22.64999961853027</v>
      </c>
      <c r="K1383" s="23">
        <f t="shared" si="166"/>
        <v>30327.659</v>
      </c>
      <c r="L1383" s="23">
        <f t="shared" si="165"/>
        <v>8.9620741725768323</v>
      </c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AA1383" s="11"/>
      <c r="AB1383" s="11"/>
      <c r="AC1383" s="11"/>
      <c r="AD1383" s="11"/>
      <c r="AE1383" s="11"/>
    </row>
    <row r="1384" spans="1:31" x14ac:dyDescent="0.25">
      <c r="A1384" s="18" t="s">
        <v>2</v>
      </c>
      <c r="B1384" s="21">
        <v>46070</v>
      </c>
      <c r="C1384" s="7">
        <v>1903</v>
      </c>
      <c r="D1384" s="7">
        <v>6300</v>
      </c>
      <c r="E1384" s="7">
        <v>0</v>
      </c>
      <c r="F1384" s="7"/>
      <c r="G1384" s="7">
        <v>4759.04</v>
      </c>
      <c r="H1384" s="7">
        <v>3569.28</v>
      </c>
      <c r="I1384" s="7">
        <v>0</v>
      </c>
      <c r="J1384" s="2">
        <v>17.45000076293945</v>
      </c>
      <c r="K1384" s="23">
        <f t="shared" si="166"/>
        <v>20726.308999999997</v>
      </c>
      <c r="L1384" s="23">
        <f t="shared" si="165"/>
        <v>4.3551449451990312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AA1384" s="11"/>
      <c r="AB1384" s="11"/>
      <c r="AC1384" s="11"/>
      <c r="AD1384" s="11"/>
      <c r="AE1384" s="11"/>
    </row>
    <row r="1385" spans="1:31" x14ac:dyDescent="0.25">
      <c r="A1385" s="18" t="s">
        <v>2</v>
      </c>
      <c r="B1385" s="21">
        <v>46071</v>
      </c>
      <c r="C1385" s="7">
        <v>2553</v>
      </c>
      <c r="D1385" s="7">
        <v>3600</v>
      </c>
      <c r="E1385" s="7">
        <v>1000</v>
      </c>
      <c r="F1385" s="7"/>
      <c r="G1385" s="7">
        <v>4953.2684210526313</v>
      </c>
      <c r="H1385" s="7">
        <v>1692.6000000000001</v>
      </c>
      <c r="I1385" s="7">
        <v>5880</v>
      </c>
      <c r="J1385" s="2">
        <v>18.5</v>
      </c>
      <c r="K1385" s="23">
        <f t="shared" si="166"/>
        <v>32831.258999999998</v>
      </c>
      <c r="L1385" s="23">
        <f t="shared" si="165"/>
        <v>6.6282010602249866</v>
      </c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AA1385" s="11"/>
      <c r="AB1385" s="11"/>
      <c r="AC1385" s="11"/>
      <c r="AD1385" s="11"/>
      <c r="AE1385" s="11"/>
    </row>
    <row r="1386" spans="1:31" x14ac:dyDescent="0.25">
      <c r="A1386" s="18" t="s">
        <v>2</v>
      </c>
      <c r="B1386" s="21">
        <v>46072</v>
      </c>
      <c r="C1386" s="7">
        <v>2922</v>
      </c>
      <c r="D1386" s="7">
        <v>5100</v>
      </c>
      <c r="E1386" s="7">
        <v>0</v>
      </c>
      <c r="F1386" s="7"/>
      <c r="G1386" s="7">
        <v>4506.4612345679016</v>
      </c>
      <c r="H1386" s="7">
        <v>2500.16</v>
      </c>
      <c r="I1386" s="7">
        <v>0</v>
      </c>
      <c r="J1386" s="2">
        <v>20.04999923706055</v>
      </c>
      <c r="K1386" s="23">
        <f t="shared" si="166"/>
        <v>29492.165999999997</v>
      </c>
      <c r="L1386" s="23">
        <f t="shared" si="165"/>
        <v>6.5444179956044444</v>
      </c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AA1386" s="11"/>
      <c r="AB1386" s="11"/>
      <c r="AC1386" s="11"/>
      <c r="AD1386" s="11"/>
      <c r="AE1386" s="11"/>
    </row>
    <row r="1387" spans="1:31" x14ac:dyDescent="0.25">
      <c r="A1387" s="18" t="s">
        <v>2</v>
      </c>
      <c r="B1387" s="21">
        <v>46073</v>
      </c>
      <c r="C1387" s="8">
        <v>2332</v>
      </c>
      <c r="D1387" s="8">
        <v>6600</v>
      </c>
      <c r="E1387" s="8">
        <v>0</v>
      </c>
      <c r="F1387" s="8"/>
      <c r="G1387" s="8">
        <v>5270.1492537313443</v>
      </c>
      <c r="H1387" s="8">
        <v>4570</v>
      </c>
      <c r="I1387" s="8">
        <v>0</v>
      </c>
      <c r="J1387" s="2">
        <v>27.39999961853027</v>
      </c>
      <c r="K1387" s="23">
        <f t="shared" si="166"/>
        <v>24827.395999999997</v>
      </c>
      <c r="L1387" s="23">
        <f t="shared" si="165"/>
        <v>4.7109474143302164</v>
      </c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AA1387" s="11"/>
      <c r="AB1387" s="11"/>
      <c r="AC1387" s="11"/>
      <c r="AD1387" s="11"/>
      <c r="AE1387" s="11"/>
    </row>
    <row r="1388" spans="1:31" x14ac:dyDescent="0.25">
      <c r="A1388" s="18" t="s">
        <v>2</v>
      </c>
      <c r="B1388" s="21">
        <v>46074</v>
      </c>
      <c r="C1388" s="7">
        <v>2782</v>
      </c>
      <c r="D1388" s="7">
        <v>6200</v>
      </c>
      <c r="E1388" s="7">
        <v>0</v>
      </c>
      <c r="F1388" s="7"/>
      <c r="G1388" s="7">
        <v>5917.5</v>
      </c>
      <c r="H1388" s="7">
        <v>4340</v>
      </c>
      <c r="I1388" s="7">
        <v>0</v>
      </c>
      <c r="J1388" s="2">
        <v>27.10000038146973</v>
      </c>
      <c r="K1388" s="23">
        <f t="shared" si="166"/>
        <v>28764.745999999999</v>
      </c>
      <c r="L1388" s="23">
        <f t="shared" si="165"/>
        <v>4.8609625686523019</v>
      </c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AA1388" s="11"/>
      <c r="AB1388" s="11"/>
      <c r="AC1388" s="11"/>
      <c r="AD1388" s="11"/>
      <c r="AE1388" s="11"/>
    </row>
    <row r="1389" spans="1:31" x14ac:dyDescent="0.25">
      <c r="A1389" s="18" t="s">
        <v>2</v>
      </c>
      <c r="B1389" s="21">
        <v>46075</v>
      </c>
      <c r="C1389" s="7">
        <v>2628</v>
      </c>
      <c r="D1389" s="7">
        <v>6300</v>
      </c>
      <c r="E1389" s="7">
        <v>0</v>
      </c>
      <c r="F1389" s="7"/>
      <c r="G1389" s="7">
        <v>3876.1906614785989</v>
      </c>
      <c r="H1389" s="7">
        <v>4478</v>
      </c>
      <c r="I1389" s="7">
        <v>0</v>
      </c>
      <c r="J1389" s="2">
        <v>26.39999961853027</v>
      </c>
      <c r="K1389" s="23">
        <f t="shared" si="166"/>
        <v>27398.483999999997</v>
      </c>
      <c r="L1389" s="23">
        <f t="shared" si="165"/>
        <v>7.0684046252638826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AA1389" s="11"/>
      <c r="AB1389" s="11"/>
      <c r="AC1389" s="11"/>
      <c r="AD1389" s="11"/>
      <c r="AE1389" s="11"/>
    </row>
    <row r="1390" spans="1:31" x14ac:dyDescent="0.25">
      <c r="A1390" s="18" t="s">
        <v>2</v>
      </c>
      <c r="B1390" s="21">
        <v>46076</v>
      </c>
      <c r="C1390" s="7">
        <v>1760</v>
      </c>
      <c r="D1390" s="7">
        <v>4200</v>
      </c>
      <c r="E1390" s="7">
        <v>1625</v>
      </c>
      <c r="F1390" s="7"/>
      <c r="G1390" s="7">
        <v>4127.6529850746265</v>
      </c>
      <c r="H1390" s="7">
        <v>2720.25</v>
      </c>
      <c r="I1390" s="7">
        <v>11813</v>
      </c>
      <c r="J1390" s="2">
        <v>25.95000076293945</v>
      </c>
      <c r="K1390" s="23">
        <f t="shared" si="166"/>
        <v>30526.78</v>
      </c>
      <c r="L1390" s="23">
        <f t="shared" si="165"/>
        <v>7.3956750023277662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AA1390" s="11"/>
      <c r="AB1390" s="11"/>
      <c r="AC1390" s="11"/>
      <c r="AD1390" s="11"/>
      <c r="AE1390" s="11"/>
    </row>
    <row r="1391" spans="1:31" x14ac:dyDescent="0.25">
      <c r="A1391" s="18" t="s">
        <v>2</v>
      </c>
      <c r="B1391" s="21">
        <v>46077</v>
      </c>
      <c r="C1391" s="7">
        <v>3260</v>
      </c>
      <c r="D1391" s="7">
        <v>6100</v>
      </c>
      <c r="E1391" s="7">
        <v>0</v>
      </c>
      <c r="F1391" s="7"/>
      <c r="G1391" s="7">
        <v>6373.6477459016387</v>
      </c>
      <c r="H1391" s="7">
        <v>5004.3499999999995</v>
      </c>
      <c r="I1391" s="7">
        <v>0</v>
      </c>
      <c r="J1391" s="2">
        <v>24.39999961853027</v>
      </c>
      <c r="K1391" s="23">
        <f t="shared" si="166"/>
        <v>33112.78</v>
      </c>
      <c r="L1391" s="23">
        <f t="shared" si="165"/>
        <v>5.1952635790536226</v>
      </c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AA1391" s="11"/>
      <c r="AB1391" s="11"/>
      <c r="AC1391" s="11"/>
      <c r="AD1391" s="11"/>
      <c r="AE1391" s="11"/>
    </row>
    <row r="1392" spans="1:31" x14ac:dyDescent="0.25">
      <c r="A1392" s="18" t="s">
        <v>2</v>
      </c>
      <c r="B1392" s="21">
        <v>46078</v>
      </c>
      <c r="C1392" s="8">
        <v>1833</v>
      </c>
      <c r="D1392" s="8">
        <v>5800</v>
      </c>
      <c r="E1392" s="8">
        <v>0</v>
      </c>
      <c r="F1392" s="8"/>
      <c r="G1392" s="8">
        <v>4609.1246696035241</v>
      </c>
      <c r="H1392" s="8">
        <v>4395.3</v>
      </c>
      <c r="I1392" s="8">
        <v>0</v>
      </c>
      <c r="J1392" s="2">
        <v>24.20000076293945</v>
      </c>
      <c r="K1392" s="23">
        <f t="shared" si="166"/>
        <v>19827.098999999998</v>
      </c>
      <c r="L1392" s="23">
        <f t="shared" si="165"/>
        <v>4.3017059466316239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AA1392" s="11"/>
      <c r="AB1392" s="11"/>
      <c r="AC1392" s="11"/>
      <c r="AD1392" s="11"/>
      <c r="AE1392" s="11"/>
    </row>
    <row r="1393" spans="1:31" x14ac:dyDescent="0.25">
      <c r="A1393" s="18" t="s">
        <v>2</v>
      </c>
      <c r="B1393" s="21">
        <v>46079</v>
      </c>
      <c r="C1393" s="7">
        <v>2043</v>
      </c>
      <c r="D1393" s="7">
        <v>5800</v>
      </c>
      <c r="E1393" s="7">
        <v>0</v>
      </c>
      <c r="F1393" s="7"/>
      <c r="G1393" s="7">
        <v>4510.2579646017703</v>
      </c>
      <c r="H1393" s="7">
        <v>4133.775663716815</v>
      </c>
      <c r="I1393" s="7">
        <v>0</v>
      </c>
      <c r="J1393" s="2">
        <v>23.64999961853027</v>
      </c>
      <c r="K1393" s="23">
        <f t="shared" si="166"/>
        <v>21759.728999999999</v>
      </c>
      <c r="L1393" s="23">
        <f t="shared" si="165"/>
        <v>4.8244976608386212</v>
      </c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AA1393" s="11"/>
      <c r="AB1393" s="11"/>
      <c r="AC1393" s="11"/>
      <c r="AD1393" s="11"/>
      <c r="AE1393" s="11"/>
    </row>
    <row r="1394" spans="1:31" x14ac:dyDescent="0.25">
      <c r="A1394" s="18" t="s">
        <v>2</v>
      </c>
      <c r="B1394" s="21">
        <v>46080</v>
      </c>
      <c r="C1394" s="7">
        <v>2025</v>
      </c>
      <c r="D1394" s="7">
        <v>6600</v>
      </c>
      <c r="E1394" s="7">
        <v>0</v>
      </c>
      <c r="F1394" s="7"/>
      <c r="G1394" s="7">
        <v>4487.5422222222223</v>
      </c>
      <c r="H1394" s="7">
        <v>3998.7999999999997</v>
      </c>
      <c r="I1394" s="7">
        <v>0</v>
      </c>
      <c r="J1394" s="2">
        <v>18.75</v>
      </c>
      <c r="K1394" s="23">
        <f t="shared" si="166"/>
        <v>22002.074999999997</v>
      </c>
      <c r="L1394" s="23">
        <f t="shared" si="165"/>
        <v>4.9029232284536839</v>
      </c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AA1394" s="11"/>
      <c r="AB1394" s="11"/>
      <c r="AC1394" s="11"/>
      <c r="AD1394" s="11"/>
      <c r="AE1394" s="11"/>
    </row>
    <row r="1395" spans="1:31" x14ac:dyDescent="0.25">
      <c r="A1395" s="18" t="s">
        <v>2</v>
      </c>
      <c r="B1395" s="21">
        <v>46081</v>
      </c>
      <c r="C1395" s="7">
        <v>1600</v>
      </c>
      <c r="D1395" s="7">
        <v>6700</v>
      </c>
      <c r="E1395" s="7">
        <v>0</v>
      </c>
      <c r="F1395" s="7"/>
      <c r="G1395" s="7">
        <v>5051.1109540636044</v>
      </c>
      <c r="H1395" s="7">
        <v>4131.4000000000005</v>
      </c>
      <c r="I1395" s="7">
        <v>0</v>
      </c>
      <c r="J1395" s="2">
        <v>19.35000038146973</v>
      </c>
      <c r="K1395" s="23">
        <f t="shared" si="166"/>
        <v>18141.8</v>
      </c>
      <c r="L1395" s="23">
        <f t="shared" si="165"/>
        <v>3.5916455142219701</v>
      </c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AA1395" s="11"/>
      <c r="AB1395" s="11"/>
      <c r="AC1395" s="11"/>
      <c r="AD1395" s="11"/>
      <c r="AE1395" s="11"/>
    </row>
    <row r="1396" spans="1:31" x14ac:dyDescent="0.25">
      <c r="A1396" s="18" t="s">
        <v>2</v>
      </c>
      <c r="B1396" s="21">
        <v>46082</v>
      </c>
      <c r="C1396" s="7">
        <v>2407</v>
      </c>
      <c r="D1396" s="7">
        <v>2500</v>
      </c>
      <c r="E1396" s="7">
        <v>0</v>
      </c>
      <c r="F1396" s="7"/>
      <c r="G1396" s="7">
        <v>2416.8673267326731</v>
      </c>
      <c r="H1396" s="7">
        <v>1554.8</v>
      </c>
      <c r="I1396" s="7">
        <v>0</v>
      </c>
      <c r="J1396" s="2">
        <v>17.70000076293945</v>
      </c>
      <c r="K1396" s="23">
        <f>C1396*10.101+D1396*0.51+E1396*8.1+F1396*5</f>
        <v>25588.107000000004</v>
      </c>
      <c r="L1396" s="23">
        <f t="shared" si="165"/>
        <v>10.587303124574978</v>
      </c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AA1396" s="11"/>
      <c r="AB1396" s="11"/>
      <c r="AC1396" s="11"/>
      <c r="AD1396" s="11"/>
      <c r="AE1396" s="11"/>
    </row>
    <row r="1397" spans="1:31" x14ac:dyDescent="0.25">
      <c r="A1397" s="18" t="s">
        <v>2</v>
      </c>
      <c r="B1397" s="21">
        <v>46083</v>
      </c>
      <c r="C1397" s="7">
        <v>1034</v>
      </c>
      <c r="D1397" s="7">
        <v>3200</v>
      </c>
      <c r="E1397" s="7">
        <v>3825</v>
      </c>
      <c r="F1397" s="7"/>
      <c r="G1397" s="7">
        <v>2704.2888888888892</v>
      </c>
      <c r="H1397" s="7">
        <v>1973.4</v>
      </c>
      <c r="I1397" s="7">
        <v>22560</v>
      </c>
      <c r="J1397" s="2">
        <v>12.35000038146973</v>
      </c>
      <c r="K1397" s="23">
        <f t="shared" ref="K1397:K1426" si="167">C1397*10.101+D1397*0.51+E1397*8.1+F1397*5</f>
        <v>43058.934000000001</v>
      </c>
      <c r="L1397" s="23">
        <f t="shared" si="165"/>
        <v>15.922460864634775</v>
      </c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AA1397" s="11"/>
      <c r="AB1397" s="11"/>
      <c r="AC1397" s="11"/>
      <c r="AD1397" s="11"/>
      <c r="AE1397" s="11"/>
    </row>
    <row r="1398" spans="1:31" x14ac:dyDescent="0.25">
      <c r="A1398" s="18" t="s">
        <v>2</v>
      </c>
      <c r="B1398" s="21">
        <v>46084</v>
      </c>
      <c r="C1398" s="7">
        <v>2568</v>
      </c>
      <c r="D1398" s="7">
        <v>3400</v>
      </c>
      <c r="E1398" s="7">
        <v>0</v>
      </c>
      <c r="F1398" s="7"/>
      <c r="G1398" s="7">
        <v>4665</v>
      </c>
      <c r="H1398" s="7">
        <v>2235</v>
      </c>
      <c r="I1398" s="7">
        <v>0</v>
      </c>
      <c r="J1398" s="2">
        <v>10.55000019073486</v>
      </c>
      <c r="K1398" s="23">
        <f t="shared" si="167"/>
        <v>27673.368000000002</v>
      </c>
      <c r="L1398" s="23">
        <f t="shared" si="165"/>
        <v>5.9321260450160773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AA1398" s="11"/>
      <c r="AB1398" s="11"/>
      <c r="AC1398" s="11"/>
      <c r="AD1398" s="11"/>
      <c r="AE1398" s="11"/>
    </row>
    <row r="1399" spans="1:31" x14ac:dyDescent="0.25">
      <c r="A1399" s="18" t="s">
        <v>2</v>
      </c>
      <c r="B1399" s="21">
        <v>46085</v>
      </c>
      <c r="C1399" s="7">
        <v>1795</v>
      </c>
      <c r="D1399" s="7">
        <v>5300</v>
      </c>
      <c r="E1399" s="7">
        <v>3000</v>
      </c>
      <c r="F1399" s="7"/>
      <c r="G1399" s="7">
        <v>4470</v>
      </c>
      <c r="H1399" s="7">
        <v>3390</v>
      </c>
      <c r="I1399" s="7">
        <v>20736</v>
      </c>
      <c r="J1399" s="2">
        <v>16.54999923706055</v>
      </c>
      <c r="K1399" s="23">
        <f t="shared" si="167"/>
        <v>45134.294999999998</v>
      </c>
      <c r="L1399" s="23">
        <f t="shared" si="165"/>
        <v>10.097157718120805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AA1399" s="11"/>
      <c r="AB1399" s="11"/>
      <c r="AC1399" s="11"/>
      <c r="AD1399" s="11"/>
      <c r="AE1399" s="11"/>
    </row>
    <row r="1400" spans="1:31" x14ac:dyDescent="0.25">
      <c r="A1400" s="18" t="s">
        <v>2</v>
      </c>
      <c r="B1400" s="21">
        <v>46086</v>
      </c>
      <c r="C1400" s="8">
        <v>3214</v>
      </c>
      <c r="D1400" s="8">
        <v>3100</v>
      </c>
      <c r="E1400" s="8">
        <v>0</v>
      </c>
      <c r="F1400" s="8"/>
      <c r="G1400" s="8">
        <v>3390</v>
      </c>
      <c r="H1400" s="8">
        <v>1830</v>
      </c>
      <c r="I1400" s="8">
        <v>0</v>
      </c>
      <c r="J1400" s="2">
        <v>14</v>
      </c>
      <c r="K1400" s="23">
        <f t="shared" si="167"/>
        <v>34045.614000000001</v>
      </c>
      <c r="L1400" s="23">
        <f t="shared" si="165"/>
        <v>10.042953982300885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AA1400" s="11"/>
      <c r="AB1400" s="11"/>
      <c r="AC1400" s="11"/>
      <c r="AD1400" s="11"/>
      <c r="AE1400" s="11"/>
    </row>
    <row r="1401" spans="1:31" x14ac:dyDescent="0.25">
      <c r="A1401" s="18" t="s">
        <v>2</v>
      </c>
      <c r="B1401" s="21">
        <v>46087</v>
      </c>
      <c r="C1401" s="7">
        <v>2740</v>
      </c>
      <c r="D1401" s="7">
        <v>4800</v>
      </c>
      <c r="E1401" s="7">
        <v>0</v>
      </c>
      <c r="F1401" s="7"/>
      <c r="G1401" s="7">
        <v>4215</v>
      </c>
      <c r="H1401" s="7">
        <v>2895</v>
      </c>
      <c r="I1401" s="7">
        <v>0</v>
      </c>
      <c r="J1401" s="2">
        <v>14.5</v>
      </c>
      <c r="K1401" s="23">
        <f t="shared" si="167"/>
        <v>30124.74</v>
      </c>
      <c r="L1401" s="23">
        <f t="shared" si="165"/>
        <v>7.1470320284697513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AA1401" s="11"/>
      <c r="AB1401" s="11"/>
      <c r="AC1401" s="11"/>
      <c r="AD1401" s="11"/>
      <c r="AE1401" s="11"/>
    </row>
    <row r="1402" spans="1:31" x14ac:dyDescent="0.25">
      <c r="A1402" s="18" t="s">
        <v>2</v>
      </c>
      <c r="B1402" s="21">
        <v>46088</v>
      </c>
      <c r="C1402" s="7">
        <v>2376</v>
      </c>
      <c r="D1402" s="7">
        <v>3900</v>
      </c>
      <c r="E1402" s="7">
        <v>0</v>
      </c>
      <c r="F1402" s="7"/>
      <c r="G1402" s="7">
        <v>5460</v>
      </c>
      <c r="H1402" s="7">
        <v>2490</v>
      </c>
      <c r="I1402" s="7">
        <v>0</v>
      </c>
      <c r="J1402" s="2">
        <v>16.60000038146973</v>
      </c>
      <c r="K1402" s="23">
        <f t="shared" si="167"/>
        <v>25988.976000000002</v>
      </c>
      <c r="L1402" s="23">
        <f t="shared" si="165"/>
        <v>4.7598857142857147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AA1402" s="11"/>
      <c r="AB1402" s="11"/>
      <c r="AC1402" s="11"/>
      <c r="AD1402" s="11"/>
      <c r="AE1402" s="11"/>
    </row>
    <row r="1403" spans="1:31" x14ac:dyDescent="0.25">
      <c r="A1403" s="18" t="s">
        <v>2</v>
      </c>
      <c r="B1403" s="21">
        <v>46089</v>
      </c>
      <c r="C1403" s="7">
        <v>2956</v>
      </c>
      <c r="D1403" s="7">
        <v>3800</v>
      </c>
      <c r="E1403" s="7">
        <v>0</v>
      </c>
      <c r="F1403" s="7"/>
      <c r="G1403" s="7">
        <v>3975</v>
      </c>
      <c r="H1403" s="7">
        <v>2415</v>
      </c>
      <c r="I1403" s="7">
        <v>0</v>
      </c>
      <c r="J1403" s="2">
        <v>17.85000038146973</v>
      </c>
      <c r="K1403" s="23">
        <f t="shared" si="167"/>
        <v>31796.556000000004</v>
      </c>
      <c r="L1403" s="23">
        <f t="shared" si="165"/>
        <v>7.9991335849056613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AA1403" s="11"/>
      <c r="AB1403" s="11"/>
      <c r="AC1403" s="11"/>
      <c r="AD1403" s="11"/>
      <c r="AE1403" s="11"/>
    </row>
    <row r="1404" spans="1:31" x14ac:dyDescent="0.25">
      <c r="A1404" s="18" t="s">
        <v>2</v>
      </c>
      <c r="B1404" s="21">
        <v>46090</v>
      </c>
      <c r="C1404" s="7">
        <v>2013</v>
      </c>
      <c r="D1404" s="7">
        <v>3400</v>
      </c>
      <c r="E1404" s="7">
        <v>0</v>
      </c>
      <c r="F1404" s="7"/>
      <c r="G1404" s="7">
        <v>3161.6567114093959</v>
      </c>
      <c r="H1404" s="7">
        <v>2722.85</v>
      </c>
      <c r="I1404" s="7">
        <v>0</v>
      </c>
      <c r="J1404" s="2">
        <v>14.55000019073486</v>
      </c>
      <c r="K1404" s="23">
        <f t="shared" si="167"/>
        <v>22067.313000000002</v>
      </c>
      <c r="L1404" s="23">
        <f t="shared" si="165"/>
        <v>6.9796676281666539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AA1404" s="11"/>
      <c r="AB1404" s="11"/>
      <c r="AC1404" s="11"/>
      <c r="AD1404" s="11"/>
      <c r="AE1404" s="11"/>
    </row>
    <row r="1405" spans="1:31" x14ac:dyDescent="0.25">
      <c r="A1405" s="18" t="s">
        <v>2</v>
      </c>
      <c r="B1405" s="21">
        <v>46091</v>
      </c>
      <c r="C1405" s="8">
        <v>2801</v>
      </c>
      <c r="D1405" s="8">
        <v>5300</v>
      </c>
      <c r="E1405" s="8">
        <v>0</v>
      </c>
      <c r="F1405" s="8"/>
      <c r="G1405" s="8">
        <v>4220.4500000000007</v>
      </c>
      <c r="H1405" s="8">
        <v>4220.4500000000007</v>
      </c>
      <c r="I1405" s="8">
        <v>0</v>
      </c>
      <c r="J1405" s="2">
        <v>15.39999961853027</v>
      </c>
      <c r="K1405" s="23">
        <f t="shared" si="167"/>
        <v>30995.901000000002</v>
      </c>
      <c r="L1405" s="23">
        <f t="shared" si="165"/>
        <v>7.3442170858557727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AA1405" s="11"/>
      <c r="AB1405" s="11"/>
      <c r="AC1405" s="11"/>
      <c r="AD1405" s="11"/>
      <c r="AE1405" s="11"/>
    </row>
    <row r="1406" spans="1:31" x14ac:dyDescent="0.25">
      <c r="A1406" s="18" t="s">
        <v>2</v>
      </c>
      <c r="B1406" s="21">
        <v>46092</v>
      </c>
      <c r="C1406" s="7">
        <v>2550</v>
      </c>
      <c r="D1406" s="7">
        <v>1450</v>
      </c>
      <c r="E1406" s="7">
        <v>4925</v>
      </c>
      <c r="F1406" s="7"/>
      <c r="G1406" s="7">
        <v>4398.5765306122448</v>
      </c>
      <c r="H1406" s="7">
        <v>917.15</v>
      </c>
      <c r="I1406" s="7">
        <v>32448</v>
      </c>
      <c r="J1406" s="2">
        <v>20.95000076293945</v>
      </c>
      <c r="K1406" s="23">
        <f t="shared" si="167"/>
        <v>66389.55</v>
      </c>
      <c r="L1406" s="23">
        <f t="shared" si="165"/>
        <v>15.093417049346902</v>
      </c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AA1406" s="11"/>
      <c r="AB1406" s="11"/>
      <c r="AC1406" s="11"/>
      <c r="AD1406" s="11"/>
      <c r="AE1406" s="11"/>
    </row>
    <row r="1407" spans="1:31" x14ac:dyDescent="0.25">
      <c r="A1407" s="18" t="s">
        <v>2</v>
      </c>
      <c r="B1407" s="21">
        <v>46093</v>
      </c>
      <c r="C1407" s="7">
        <v>3014</v>
      </c>
      <c r="D1407" s="7">
        <v>1150</v>
      </c>
      <c r="E1407" s="7">
        <v>0</v>
      </c>
      <c r="F1407" s="7"/>
      <c r="G1407" s="7">
        <v>3175.1416666666669</v>
      </c>
      <c r="H1407" s="7">
        <v>723.45</v>
      </c>
      <c r="I1407" s="7">
        <v>0</v>
      </c>
      <c r="J1407" s="2">
        <v>22.04999923706055</v>
      </c>
      <c r="K1407" s="23">
        <f t="shared" si="167"/>
        <v>31030.914000000004</v>
      </c>
      <c r="L1407" s="23">
        <f t="shared" si="165"/>
        <v>9.7730801512793395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AA1407" s="11"/>
      <c r="AB1407" s="11"/>
      <c r="AC1407" s="11"/>
      <c r="AD1407" s="11"/>
      <c r="AE1407" s="11"/>
    </row>
    <row r="1408" spans="1:31" x14ac:dyDescent="0.25">
      <c r="A1408" s="18" t="s">
        <v>2</v>
      </c>
      <c r="B1408" s="21">
        <v>46094</v>
      </c>
      <c r="C1408" s="7">
        <v>3003</v>
      </c>
      <c r="D1408" s="7">
        <v>5500</v>
      </c>
      <c r="E1408" s="7">
        <v>4500</v>
      </c>
      <c r="F1408" s="7"/>
      <c r="G1408" s="7">
        <v>3602</v>
      </c>
      <c r="H1408" s="7">
        <v>3602</v>
      </c>
      <c r="I1408" s="7">
        <v>27072</v>
      </c>
      <c r="J1408" s="2">
        <v>18.45000076293945</v>
      </c>
      <c r="K1408" s="23">
        <f t="shared" si="167"/>
        <v>69588.303</v>
      </c>
      <c r="L1408" s="23">
        <f t="shared" si="165"/>
        <v>19.319351193781234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AA1408" s="11"/>
      <c r="AB1408" s="11"/>
      <c r="AC1408" s="11"/>
      <c r="AD1408" s="11"/>
      <c r="AE1408" s="11"/>
    </row>
    <row r="1409" spans="1:31" x14ac:dyDescent="0.25">
      <c r="A1409" s="18" t="s">
        <v>2</v>
      </c>
      <c r="B1409" s="21">
        <v>46095</v>
      </c>
      <c r="C1409" s="7">
        <v>2504</v>
      </c>
      <c r="D1409" s="7">
        <v>4250</v>
      </c>
      <c r="E1409" s="7">
        <v>0</v>
      </c>
      <c r="F1409" s="7"/>
      <c r="G1409" s="7">
        <v>3510.666666666667</v>
      </c>
      <c r="H1409" s="7">
        <v>2738.32</v>
      </c>
      <c r="I1409" s="7">
        <v>0</v>
      </c>
      <c r="J1409" s="2">
        <v>21.5</v>
      </c>
      <c r="K1409" s="23">
        <f t="shared" si="167"/>
        <v>27460.404000000002</v>
      </c>
      <c r="L1409" s="23">
        <f t="shared" si="165"/>
        <v>7.8219912647170524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AA1409" s="11"/>
      <c r="AB1409" s="11"/>
      <c r="AC1409" s="11"/>
      <c r="AD1409" s="11"/>
      <c r="AE1409" s="11"/>
    </row>
    <row r="1410" spans="1:31" x14ac:dyDescent="0.25">
      <c r="A1410" s="18" t="s">
        <v>2</v>
      </c>
      <c r="B1410" s="21">
        <v>46096</v>
      </c>
      <c r="C1410" s="8">
        <v>2080</v>
      </c>
      <c r="D1410" s="8">
        <v>3900</v>
      </c>
      <c r="E1410" s="8">
        <v>0</v>
      </c>
      <c r="F1410" s="8"/>
      <c r="G1410" s="8">
        <v>2850</v>
      </c>
      <c r="H1410" s="8">
        <v>3480</v>
      </c>
      <c r="I1410" s="8">
        <v>0</v>
      </c>
      <c r="J1410" s="2">
        <v>23.64999961853027</v>
      </c>
      <c r="K1410" s="23">
        <f t="shared" si="167"/>
        <v>22999.08</v>
      </c>
      <c r="L1410" s="23">
        <f t="shared" si="165"/>
        <v>8.0698526315789483</v>
      </c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AA1410" s="11"/>
      <c r="AB1410" s="11"/>
      <c r="AC1410" s="11"/>
      <c r="AD1410" s="11"/>
      <c r="AE1410" s="11"/>
    </row>
    <row r="1411" spans="1:31" x14ac:dyDescent="0.25">
      <c r="A1411" s="18" t="s">
        <v>2</v>
      </c>
      <c r="B1411" s="21">
        <v>46097</v>
      </c>
      <c r="C1411" s="7">
        <v>2189</v>
      </c>
      <c r="D1411" s="7">
        <v>3300</v>
      </c>
      <c r="E1411" s="7">
        <v>3325</v>
      </c>
      <c r="F1411" s="7"/>
      <c r="G1411" s="7">
        <v>1995</v>
      </c>
      <c r="H1411" s="7">
        <v>2235</v>
      </c>
      <c r="I1411" s="7">
        <v>24480</v>
      </c>
      <c r="J1411" s="2">
        <v>24.85000038146973</v>
      </c>
      <c r="K1411" s="23">
        <f t="shared" si="167"/>
        <v>50726.589000000007</v>
      </c>
      <c r="L1411" s="23">
        <f t="shared" si="165"/>
        <v>25.42686165413534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AA1411" s="11"/>
      <c r="AB1411" s="11"/>
      <c r="AC1411" s="11"/>
      <c r="AD1411" s="11"/>
      <c r="AE1411" s="11"/>
    </row>
    <row r="1412" spans="1:31" x14ac:dyDescent="0.25">
      <c r="A1412" s="18" t="s">
        <v>2</v>
      </c>
      <c r="B1412" s="21">
        <v>46098</v>
      </c>
      <c r="C1412" s="7">
        <v>2659</v>
      </c>
      <c r="D1412" s="7">
        <v>4900</v>
      </c>
      <c r="E1412" s="7">
        <v>0</v>
      </c>
      <c r="F1412" s="7"/>
      <c r="G1412" s="7">
        <v>4361.4909952606631</v>
      </c>
      <c r="H1412" s="7">
        <v>3356.8161137440757</v>
      </c>
      <c r="I1412" s="7">
        <v>0</v>
      </c>
      <c r="J1412" s="2">
        <v>22.70000076293945</v>
      </c>
      <c r="K1412" s="23">
        <f t="shared" si="167"/>
        <v>29357.559000000001</v>
      </c>
      <c r="L1412" s="23">
        <f t="shared" si="165"/>
        <v>6.7310832538461902</v>
      </c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AA1412" s="11"/>
      <c r="AB1412" s="11"/>
      <c r="AC1412" s="11"/>
      <c r="AD1412" s="11"/>
      <c r="AE1412" s="11"/>
    </row>
    <row r="1413" spans="1:31" x14ac:dyDescent="0.25">
      <c r="A1413" s="18" t="s">
        <v>2</v>
      </c>
      <c r="B1413" s="21">
        <v>46099</v>
      </c>
      <c r="C1413" s="7">
        <v>2389</v>
      </c>
      <c r="D1413" s="7">
        <v>5200</v>
      </c>
      <c r="E1413" s="7">
        <v>0</v>
      </c>
      <c r="F1413" s="7"/>
      <c r="G1413" s="7">
        <v>4767</v>
      </c>
      <c r="H1413" s="7">
        <v>4454</v>
      </c>
      <c r="I1413" s="7">
        <v>0</v>
      </c>
      <c r="J1413" s="2">
        <v>19.25</v>
      </c>
      <c r="K1413" s="23">
        <f t="shared" si="167"/>
        <v>26783.289000000001</v>
      </c>
      <c r="L1413" s="23">
        <f t="shared" si="165"/>
        <v>5.618478917558213</v>
      </c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AA1413" s="11"/>
      <c r="AB1413" s="11"/>
      <c r="AC1413" s="11"/>
      <c r="AD1413" s="11"/>
      <c r="AE1413" s="11"/>
    </row>
    <row r="1414" spans="1:31" x14ac:dyDescent="0.25">
      <c r="A1414" s="18" t="s">
        <v>2</v>
      </c>
      <c r="B1414" s="21">
        <v>46100</v>
      </c>
      <c r="C1414" s="7">
        <v>2663</v>
      </c>
      <c r="D1414" s="7">
        <v>5000</v>
      </c>
      <c r="E1414" s="7">
        <v>0</v>
      </c>
      <c r="F1414" s="7"/>
      <c r="G1414" s="7">
        <v>4137</v>
      </c>
      <c r="H1414" s="7">
        <v>3706</v>
      </c>
      <c r="I1414" s="7">
        <v>0</v>
      </c>
      <c r="J1414" s="2">
        <v>19.5</v>
      </c>
      <c r="K1414" s="23">
        <f t="shared" si="167"/>
        <v>29448.963000000003</v>
      </c>
      <c r="L1414" s="23">
        <f t="shared" si="165"/>
        <v>7.1184343727338657</v>
      </c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AA1414" s="11"/>
      <c r="AB1414" s="11"/>
      <c r="AC1414" s="11"/>
      <c r="AD1414" s="11"/>
      <c r="AE1414" s="11"/>
    </row>
    <row r="1415" spans="1:31" x14ac:dyDescent="0.25">
      <c r="A1415" s="18" t="s">
        <v>2</v>
      </c>
      <c r="B1415" s="21">
        <v>46101</v>
      </c>
      <c r="C1415" s="8">
        <v>2314</v>
      </c>
      <c r="D1415" s="8">
        <v>1000</v>
      </c>
      <c r="E1415" s="8">
        <v>0</v>
      </c>
      <c r="F1415" s="8"/>
      <c r="G1415" s="8">
        <v>2443</v>
      </c>
      <c r="H1415" s="8">
        <v>0</v>
      </c>
      <c r="I1415" s="8">
        <v>0</v>
      </c>
      <c r="J1415" s="2">
        <v>18.79999923706055</v>
      </c>
      <c r="K1415" s="23">
        <f t="shared" si="167"/>
        <v>23883.714000000004</v>
      </c>
      <c r="L1415" s="23">
        <f t="shared" si="165"/>
        <v>9.776387228817029</v>
      </c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AA1415" s="11"/>
      <c r="AB1415" s="11"/>
      <c r="AC1415" s="11"/>
      <c r="AD1415" s="11"/>
      <c r="AE1415" s="11"/>
    </row>
    <row r="1416" spans="1:31" x14ac:dyDescent="0.25">
      <c r="A1416" s="18" t="s">
        <v>2</v>
      </c>
      <c r="B1416" s="21">
        <v>46102</v>
      </c>
      <c r="C1416" s="7">
        <v>1966</v>
      </c>
      <c r="D1416" s="7">
        <v>1200</v>
      </c>
      <c r="E1416" s="7">
        <v>0</v>
      </c>
      <c r="F1416" s="7"/>
      <c r="G1416" s="7">
        <v>750</v>
      </c>
      <c r="H1416" s="7">
        <v>1312.5</v>
      </c>
      <c r="I1416" s="7">
        <v>0</v>
      </c>
      <c r="J1416" s="2">
        <v>20.60000038146973</v>
      </c>
      <c r="K1416" s="23">
        <f t="shared" si="167"/>
        <v>20470.566000000003</v>
      </c>
      <c r="L1416" s="23">
        <f t="shared" si="165"/>
        <v>27.294088000000002</v>
      </c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AA1416" s="11"/>
      <c r="AB1416" s="11"/>
      <c r="AC1416" s="11"/>
      <c r="AD1416" s="11"/>
      <c r="AE1416" s="11"/>
    </row>
    <row r="1417" spans="1:31" x14ac:dyDescent="0.25">
      <c r="A1417" s="18" t="s">
        <v>2</v>
      </c>
      <c r="B1417" s="21">
        <v>46103</v>
      </c>
      <c r="C1417" s="7">
        <v>1480</v>
      </c>
      <c r="D1417" s="7">
        <v>1200</v>
      </c>
      <c r="E1417" s="7">
        <v>0</v>
      </c>
      <c r="F1417" s="7"/>
      <c r="G1417" s="7">
        <v>465</v>
      </c>
      <c r="H1417" s="7">
        <v>2909.8287937743189</v>
      </c>
      <c r="I1417" s="7">
        <v>0</v>
      </c>
      <c r="J1417" s="2">
        <v>20.25</v>
      </c>
      <c r="K1417" s="23">
        <f t="shared" si="167"/>
        <v>15561.480000000001</v>
      </c>
      <c r="L1417" s="23">
        <f t="shared" ref="L1417:L1456" si="168">K1417/G1417</f>
        <v>33.465548387096774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AA1417" s="11"/>
      <c r="AB1417" s="11"/>
      <c r="AC1417" s="11"/>
      <c r="AD1417" s="11"/>
      <c r="AE1417" s="11"/>
    </row>
    <row r="1418" spans="1:31" x14ac:dyDescent="0.25">
      <c r="A1418" s="18" t="s">
        <v>2</v>
      </c>
      <c r="B1418" s="21">
        <v>46104</v>
      </c>
      <c r="C1418" s="7">
        <v>2502</v>
      </c>
      <c r="D1418" s="7">
        <v>1100</v>
      </c>
      <c r="E1418" s="7">
        <v>0</v>
      </c>
      <c r="F1418" s="7"/>
      <c r="G1418" s="7">
        <v>3180</v>
      </c>
      <c r="H1418" s="7">
        <v>1020</v>
      </c>
      <c r="I1418" s="7">
        <v>0</v>
      </c>
      <c r="J1418" s="2">
        <v>23.20000076293945</v>
      </c>
      <c r="K1418" s="23">
        <f t="shared" si="167"/>
        <v>25833.702000000001</v>
      </c>
      <c r="L1418" s="23">
        <f t="shared" si="168"/>
        <v>8.123805660377359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AA1418" s="11"/>
      <c r="AB1418" s="11"/>
      <c r="AC1418" s="11"/>
      <c r="AD1418" s="11"/>
      <c r="AE1418" s="11"/>
    </row>
    <row r="1419" spans="1:31" x14ac:dyDescent="0.25">
      <c r="A1419" s="18" t="s">
        <v>2</v>
      </c>
      <c r="B1419" s="21">
        <v>46105</v>
      </c>
      <c r="C1419" s="7">
        <v>2806</v>
      </c>
      <c r="D1419" s="7">
        <v>3800</v>
      </c>
      <c r="E1419" s="7">
        <v>0</v>
      </c>
      <c r="F1419" s="7"/>
      <c r="G1419" s="7">
        <v>3968.5639024390248</v>
      </c>
      <c r="H1419" s="7">
        <v>2465.3200000000002</v>
      </c>
      <c r="I1419" s="7">
        <v>0</v>
      </c>
      <c r="J1419" s="2">
        <v>24.89999961853027</v>
      </c>
      <c r="K1419" s="23">
        <f t="shared" si="167"/>
        <v>30281.406000000003</v>
      </c>
      <c r="L1419" s="23">
        <f t="shared" si="168"/>
        <v>7.630318358081488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AA1419" s="11"/>
      <c r="AB1419" s="11"/>
      <c r="AC1419" s="11"/>
      <c r="AD1419" s="11"/>
      <c r="AE1419" s="11"/>
    </row>
    <row r="1420" spans="1:31" x14ac:dyDescent="0.25">
      <c r="A1420" s="18" t="s">
        <v>2</v>
      </c>
      <c r="B1420" s="21">
        <v>46106</v>
      </c>
      <c r="C1420" s="8">
        <v>2231</v>
      </c>
      <c r="D1420" s="8">
        <v>5200</v>
      </c>
      <c r="E1420" s="8">
        <v>0</v>
      </c>
      <c r="F1420" s="8"/>
      <c r="G1420" s="8">
        <v>3750</v>
      </c>
      <c r="H1420" s="8">
        <v>3750</v>
      </c>
      <c r="I1420" s="8">
        <v>0</v>
      </c>
      <c r="J1420" s="2">
        <v>19.85000038146973</v>
      </c>
      <c r="K1420" s="23">
        <f t="shared" si="167"/>
        <v>25187.331000000002</v>
      </c>
      <c r="L1420" s="23">
        <f t="shared" si="168"/>
        <v>6.7166216000000007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AA1420" s="11"/>
      <c r="AB1420" s="11"/>
      <c r="AC1420" s="11"/>
      <c r="AD1420" s="11"/>
      <c r="AE1420" s="11"/>
    </row>
    <row r="1421" spans="1:31" x14ac:dyDescent="0.25">
      <c r="A1421" s="18" t="s">
        <v>2</v>
      </c>
      <c r="B1421" s="21">
        <v>46107</v>
      </c>
      <c r="C1421" s="7">
        <v>4426</v>
      </c>
      <c r="D1421" s="7">
        <v>5000</v>
      </c>
      <c r="E1421" s="7">
        <v>0</v>
      </c>
      <c r="F1421" s="7"/>
      <c r="G1421" s="7">
        <v>3600</v>
      </c>
      <c r="H1421" s="7">
        <v>3600</v>
      </c>
      <c r="I1421" s="7">
        <v>0</v>
      </c>
      <c r="J1421" s="2">
        <v>20.95000076293945</v>
      </c>
      <c r="K1421" s="23">
        <f t="shared" si="167"/>
        <v>47257.026000000005</v>
      </c>
      <c r="L1421" s="23">
        <f t="shared" si="168"/>
        <v>13.126951666666669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AA1421" s="11"/>
      <c r="AB1421" s="11"/>
      <c r="AC1421" s="11"/>
      <c r="AD1421" s="11"/>
      <c r="AE1421" s="11"/>
    </row>
    <row r="1422" spans="1:31" x14ac:dyDescent="0.25">
      <c r="A1422" s="18" t="s">
        <v>2</v>
      </c>
      <c r="B1422" s="21">
        <v>46108</v>
      </c>
      <c r="C1422" s="7">
        <v>3955</v>
      </c>
      <c r="D1422" s="7">
        <v>5100</v>
      </c>
      <c r="E1422" s="7">
        <v>7475</v>
      </c>
      <c r="F1422" s="7"/>
      <c r="G1422" s="7">
        <v>3600</v>
      </c>
      <c r="H1422" s="7">
        <v>3600</v>
      </c>
      <c r="I1422" s="7">
        <v>39710</v>
      </c>
      <c r="J1422" s="2">
        <v>20.14999961853027</v>
      </c>
      <c r="K1422" s="23">
        <f t="shared" si="167"/>
        <v>103097.955</v>
      </c>
      <c r="L1422" s="23">
        <f t="shared" si="168"/>
        <v>28.638320833333335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AA1422" s="11"/>
      <c r="AB1422" s="11"/>
      <c r="AC1422" s="11"/>
      <c r="AD1422" s="11"/>
      <c r="AE1422" s="11"/>
    </row>
    <row r="1423" spans="1:31" x14ac:dyDescent="0.25">
      <c r="A1423" s="18" t="s">
        <v>2</v>
      </c>
      <c r="B1423" s="21">
        <v>46109</v>
      </c>
      <c r="C1423" s="7">
        <v>4480</v>
      </c>
      <c r="D1423" s="7">
        <v>4800</v>
      </c>
      <c r="E1423" s="7">
        <v>0</v>
      </c>
      <c r="F1423" s="7"/>
      <c r="G1423" s="7">
        <v>4120.8196721311479</v>
      </c>
      <c r="H1423" s="7">
        <v>2819.5081967213114</v>
      </c>
      <c r="I1423" s="7">
        <v>0</v>
      </c>
      <c r="J1423" s="2">
        <v>21.29999923706055</v>
      </c>
      <c r="K1423" s="23">
        <f t="shared" si="167"/>
        <v>47700.480000000003</v>
      </c>
      <c r="L1423" s="23">
        <f t="shared" si="168"/>
        <v>11.575483470581215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AA1423" s="11"/>
      <c r="AB1423" s="11"/>
      <c r="AC1423" s="11"/>
      <c r="AD1423" s="11"/>
      <c r="AE1423" s="11"/>
    </row>
    <row r="1424" spans="1:31" x14ac:dyDescent="0.25">
      <c r="A1424" s="18" t="s">
        <v>2</v>
      </c>
      <c r="B1424" s="21">
        <v>46110</v>
      </c>
      <c r="C1424" s="7">
        <v>3656</v>
      </c>
      <c r="D1424" s="7">
        <v>4200</v>
      </c>
      <c r="E1424" s="7">
        <v>0</v>
      </c>
      <c r="F1424" s="7"/>
      <c r="G1424" s="7">
        <v>2610</v>
      </c>
      <c r="H1424" s="7">
        <v>2610</v>
      </c>
      <c r="I1424" s="7">
        <v>0</v>
      </c>
      <c r="J1424" s="2">
        <v>22.45000076293945</v>
      </c>
      <c r="K1424" s="23">
        <f t="shared" si="167"/>
        <v>39071.256000000001</v>
      </c>
      <c r="L1424" s="23">
        <f t="shared" si="168"/>
        <v>14.969829885057472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AA1424" s="11"/>
      <c r="AB1424" s="11"/>
      <c r="AC1424" s="11"/>
      <c r="AD1424" s="11"/>
      <c r="AE1424" s="11"/>
    </row>
    <row r="1425" spans="1:31" x14ac:dyDescent="0.25">
      <c r="A1425" s="18" t="s">
        <v>2</v>
      </c>
      <c r="B1425" s="21">
        <v>46111</v>
      </c>
      <c r="C1425" s="7">
        <v>3384</v>
      </c>
      <c r="D1425" s="7">
        <v>5400</v>
      </c>
      <c r="E1425" s="7">
        <v>0</v>
      </c>
      <c r="F1425" s="7"/>
      <c r="G1425" s="7">
        <v>3810</v>
      </c>
      <c r="H1425" s="7">
        <v>3810</v>
      </c>
      <c r="I1425" s="7">
        <v>0</v>
      </c>
      <c r="J1425" s="2">
        <v>22.85000038146973</v>
      </c>
      <c r="K1425" s="23">
        <f t="shared" si="167"/>
        <v>36935.784</v>
      </c>
      <c r="L1425" s="23">
        <f t="shared" si="168"/>
        <v>9.6944314960629914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AA1425" s="11"/>
      <c r="AB1425" s="11"/>
      <c r="AC1425" s="11"/>
      <c r="AD1425" s="11"/>
      <c r="AE1425" s="11"/>
    </row>
    <row r="1426" spans="1:31" x14ac:dyDescent="0.25">
      <c r="A1426" s="18" t="s">
        <v>2</v>
      </c>
      <c r="B1426" s="21">
        <v>46112</v>
      </c>
      <c r="C1426" s="7">
        <v>3423</v>
      </c>
      <c r="D1426" s="7">
        <v>6600</v>
      </c>
      <c r="E1426" s="7">
        <v>0</v>
      </c>
      <c r="F1426" s="7"/>
      <c r="G1426" s="7">
        <v>4905</v>
      </c>
      <c r="H1426" s="7">
        <v>4905</v>
      </c>
      <c r="I1426" s="7">
        <v>0</v>
      </c>
      <c r="J1426" s="2">
        <v>23.45000076293945</v>
      </c>
      <c r="K1426" s="23">
        <f t="shared" si="167"/>
        <v>37941.723000000005</v>
      </c>
      <c r="L1426" s="23">
        <f t="shared" si="168"/>
        <v>7.7353155963302767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AA1426" s="11"/>
      <c r="AB1426" s="11"/>
      <c r="AC1426" s="11"/>
      <c r="AD1426" s="11"/>
      <c r="AE1426" s="11"/>
    </row>
    <row r="1427" spans="1:31" x14ac:dyDescent="0.25">
      <c r="A1427" s="18" t="s">
        <v>2</v>
      </c>
      <c r="B1427" s="21">
        <v>46113</v>
      </c>
      <c r="C1427" s="7">
        <v>3736</v>
      </c>
      <c r="D1427" s="7">
        <v>6600</v>
      </c>
      <c r="E1427" s="7">
        <v>8900</v>
      </c>
      <c r="F1427" s="7"/>
      <c r="G1427" s="7">
        <v>4789.72</v>
      </c>
      <c r="H1427" s="7">
        <v>4789.72</v>
      </c>
      <c r="I1427" s="7">
        <v>46930</v>
      </c>
      <c r="J1427" s="2">
        <v>24.35000038146973</v>
      </c>
      <c r="K1427" s="23">
        <f>C1427*11.203+D1427*0.51+E1427*8+F1427*5</f>
        <v>116420.408</v>
      </c>
      <c r="L1427" s="23">
        <f t="shared" si="168"/>
        <v>24.306307675605254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AA1427" s="11"/>
      <c r="AB1427" s="11"/>
      <c r="AC1427" s="11"/>
      <c r="AD1427" s="11"/>
      <c r="AE1427" s="11"/>
    </row>
    <row r="1428" spans="1:31" x14ac:dyDescent="0.25">
      <c r="A1428" s="18" t="s">
        <v>2</v>
      </c>
      <c r="B1428" s="21">
        <v>46114</v>
      </c>
      <c r="C1428" s="7">
        <v>4563</v>
      </c>
      <c r="D1428" s="7">
        <v>3900</v>
      </c>
      <c r="E1428" s="7">
        <v>0</v>
      </c>
      <c r="F1428" s="7"/>
      <c r="G1428" s="7">
        <v>6257</v>
      </c>
      <c r="H1428" s="7">
        <v>2550</v>
      </c>
      <c r="I1428" s="7">
        <v>0</v>
      </c>
      <c r="J1428" s="2">
        <v>27</v>
      </c>
      <c r="K1428" s="23">
        <f t="shared" ref="K1428:K1456" si="169">C1428*11.203+D1428*0.51+E1428*8+F1428*5</f>
        <v>53108.288999999997</v>
      </c>
      <c r="L1428" s="23">
        <f t="shared" si="168"/>
        <v>8.4878198817324595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AA1428" s="11"/>
      <c r="AB1428" s="11"/>
      <c r="AC1428" s="11"/>
      <c r="AD1428" s="11"/>
      <c r="AE1428" s="11"/>
    </row>
    <row r="1429" spans="1:31" x14ac:dyDescent="0.25">
      <c r="A1429" s="18" t="s">
        <v>2</v>
      </c>
      <c r="B1429" s="21">
        <v>46115</v>
      </c>
      <c r="C1429" s="7">
        <v>3253</v>
      </c>
      <c r="D1429" s="7">
        <v>6500</v>
      </c>
      <c r="E1429" s="7">
        <v>0</v>
      </c>
      <c r="F1429" s="7"/>
      <c r="G1429" s="7">
        <v>4397.1200000000008</v>
      </c>
      <c r="H1429" s="7">
        <v>4397.1200000000008</v>
      </c>
      <c r="I1429" s="7">
        <v>0</v>
      </c>
      <c r="J1429" s="2">
        <v>29.5</v>
      </c>
      <c r="K1429" s="23">
        <f t="shared" si="169"/>
        <v>39758.358999999997</v>
      </c>
      <c r="L1429" s="23">
        <f t="shared" si="168"/>
        <v>9.0419090222691185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AA1429" s="11"/>
      <c r="AB1429" s="11"/>
      <c r="AC1429" s="11"/>
      <c r="AD1429" s="11"/>
      <c r="AE1429" s="11"/>
    </row>
    <row r="1430" spans="1:31" x14ac:dyDescent="0.25">
      <c r="A1430" s="18" t="s">
        <v>2</v>
      </c>
      <c r="B1430" s="21">
        <v>46116</v>
      </c>
      <c r="C1430" s="7">
        <v>3648</v>
      </c>
      <c r="D1430" s="7">
        <v>6100</v>
      </c>
      <c r="E1430" s="7">
        <v>0</v>
      </c>
      <c r="F1430" s="7"/>
      <c r="G1430" s="7">
        <v>4200</v>
      </c>
      <c r="H1430" s="7">
        <v>4200</v>
      </c>
      <c r="I1430" s="7">
        <v>0</v>
      </c>
      <c r="J1430" s="2">
        <v>30.89999961853027</v>
      </c>
      <c r="K1430" s="23">
        <f t="shared" si="169"/>
        <v>43979.543999999994</v>
      </c>
      <c r="L1430" s="23">
        <f t="shared" si="168"/>
        <v>10.471319999999999</v>
      </c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AA1430" s="11"/>
      <c r="AB1430" s="11"/>
      <c r="AC1430" s="11"/>
      <c r="AD1430" s="11"/>
      <c r="AE1430" s="11"/>
    </row>
    <row r="1431" spans="1:31" x14ac:dyDescent="0.25">
      <c r="A1431" s="18" t="s">
        <v>2</v>
      </c>
      <c r="B1431" s="21">
        <v>46117</v>
      </c>
      <c r="C1431" s="8">
        <v>2488</v>
      </c>
      <c r="D1431" s="8">
        <v>1550</v>
      </c>
      <c r="E1431" s="8">
        <v>0</v>
      </c>
      <c r="F1431" s="8"/>
      <c r="G1431" s="8">
        <v>3014.5719402985078</v>
      </c>
      <c r="H1431" s="8">
        <v>990.08</v>
      </c>
      <c r="I1431" s="8">
        <v>0</v>
      </c>
      <c r="J1431" s="2">
        <v>26.54999923706055</v>
      </c>
      <c r="K1431" s="23">
        <f t="shared" si="169"/>
        <v>28663.563999999998</v>
      </c>
      <c r="L1431" s="23">
        <f t="shared" si="168"/>
        <v>9.5083363633915088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AA1431" s="11"/>
      <c r="AB1431" s="11"/>
      <c r="AC1431" s="11"/>
      <c r="AD1431" s="11"/>
      <c r="AE1431" s="11"/>
    </row>
    <row r="1432" spans="1:31" x14ac:dyDescent="0.25">
      <c r="A1432" s="18" t="s">
        <v>2</v>
      </c>
      <c r="B1432" s="21">
        <v>46118</v>
      </c>
      <c r="C1432" s="7">
        <v>3682</v>
      </c>
      <c r="D1432" s="7">
        <v>3400</v>
      </c>
      <c r="E1432" s="7">
        <v>0</v>
      </c>
      <c r="F1432" s="7"/>
      <c r="G1432" s="7">
        <v>3225</v>
      </c>
      <c r="H1432" s="7">
        <v>2085</v>
      </c>
      <c r="I1432" s="7">
        <v>0</v>
      </c>
      <c r="J1432" s="2">
        <v>22</v>
      </c>
      <c r="K1432" s="23">
        <f t="shared" si="169"/>
        <v>42983.445999999996</v>
      </c>
      <c r="L1432" s="23">
        <f t="shared" si="168"/>
        <v>13.328200310077518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AA1432" s="11"/>
      <c r="AB1432" s="11"/>
      <c r="AC1432" s="11"/>
      <c r="AD1432" s="11"/>
      <c r="AE1432" s="11"/>
    </row>
    <row r="1433" spans="1:31" x14ac:dyDescent="0.25">
      <c r="A1433" s="18" t="s">
        <v>2</v>
      </c>
      <c r="B1433" s="21">
        <v>46119</v>
      </c>
      <c r="C1433" s="7">
        <v>2998</v>
      </c>
      <c r="D1433" s="7">
        <v>5900</v>
      </c>
      <c r="E1433" s="7">
        <v>0</v>
      </c>
      <c r="F1433" s="7"/>
      <c r="G1433" s="7">
        <v>3780</v>
      </c>
      <c r="H1433" s="7">
        <v>3780</v>
      </c>
      <c r="I1433" s="7">
        <v>0</v>
      </c>
      <c r="J1433" s="2">
        <v>14.35000038146973</v>
      </c>
      <c r="K1433" s="23">
        <f t="shared" si="169"/>
        <v>36595.593999999997</v>
      </c>
      <c r="L1433" s="23">
        <f t="shared" si="168"/>
        <v>9.681374074074073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AA1433" s="11"/>
      <c r="AB1433" s="11"/>
      <c r="AC1433" s="11"/>
      <c r="AD1433" s="11"/>
      <c r="AE1433" s="11"/>
    </row>
    <row r="1434" spans="1:31" x14ac:dyDescent="0.25">
      <c r="A1434" s="18" t="s">
        <v>2</v>
      </c>
      <c r="B1434" s="21">
        <v>46120</v>
      </c>
      <c r="C1434" s="7">
        <v>3490</v>
      </c>
      <c r="D1434" s="7">
        <v>6100</v>
      </c>
      <c r="E1434" s="7">
        <v>9875</v>
      </c>
      <c r="F1434" s="7"/>
      <c r="G1434" s="7">
        <v>4864</v>
      </c>
      <c r="H1434" s="7">
        <v>3705</v>
      </c>
      <c r="I1434" s="7">
        <v>51794</v>
      </c>
      <c r="J1434" s="2">
        <v>17.70000076293945</v>
      </c>
      <c r="K1434" s="23">
        <f t="shared" si="169"/>
        <v>121209.47</v>
      </c>
      <c r="L1434" s="23">
        <f t="shared" si="168"/>
        <v>24.919710115131579</v>
      </c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AA1434" s="11"/>
      <c r="AB1434" s="11"/>
      <c r="AC1434" s="11"/>
      <c r="AD1434" s="11"/>
      <c r="AE1434" s="11"/>
    </row>
    <row r="1435" spans="1:31" x14ac:dyDescent="0.25">
      <c r="A1435" s="18" t="s">
        <v>2</v>
      </c>
      <c r="B1435" s="21">
        <v>46121</v>
      </c>
      <c r="C1435" s="7">
        <v>3007</v>
      </c>
      <c r="D1435" s="7">
        <v>4500</v>
      </c>
      <c r="E1435" s="7">
        <v>0</v>
      </c>
      <c r="F1435" s="7"/>
      <c r="G1435" s="7">
        <v>3975</v>
      </c>
      <c r="H1435" s="7">
        <v>3975</v>
      </c>
      <c r="I1435" s="7">
        <v>0</v>
      </c>
      <c r="J1435" s="2">
        <v>16.79999923706055</v>
      </c>
      <c r="K1435" s="23">
        <f t="shared" si="169"/>
        <v>35982.420999999995</v>
      </c>
      <c r="L1435" s="23">
        <f t="shared" si="168"/>
        <v>9.0521813836477971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AA1435" s="11"/>
      <c r="AB1435" s="11"/>
      <c r="AC1435" s="11"/>
      <c r="AD1435" s="11"/>
      <c r="AE1435" s="11"/>
    </row>
    <row r="1436" spans="1:31" x14ac:dyDescent="0.25">
      <c r="A1436" s="18" t="s">
        <v>2</v>
      </c>
      <c r="B1436" s="21">
        <v>46122</v>
      </c>
      <c r="C1436" s="8">
        <v>3598</v>
      </c>
      <c r="D1436" s="8">
        <v>4300</v>
      </c>
      <c r="E1436" s="8">
        <v>9850</v>
      </c>
      <c r="F1436" s="8"/>
      <c r="G1436" s="8">
        <v>3180</v>
      </c>
      <c r="H1436" s="8">
        <v>2955</v>
      </c>
      <c r="I1436" s="8">
        <v>51216</v>
      </c>
      <c r="J1436" s="2">
        <v>18</v>
      </c>
      <c r="K1436" s="23">
        <f t="shared" si="169"/>
        <v>121301.394</v>
      </c>
      <c r="L1436" s="23">
        <f t="shared" si="168"/>
        <v>38.145092452830191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AA1436" s="11"/>
      <c r="AB1436" s="11"/>
      <c r="AC1436" s="11"/>
      <c r="AD1436" s="11"/>
      <c r="AE1436" s="11"/>
    </row>
    <row r="1437" spans="1:31" x14ac:dyDescent="0.25">
      <c r="A1437" s="18" t="s">
        <v>2</v>
      </c>
      <c r="B1437" s="21">
        <v>46123</v>
      </c>
      <c r="C1437" s="7">
        <v>4506</v>
      </c>
      <c r="D1437" s="7">
        <v>4600</v>
      </c>
      <c r="E1437" s="7">
        <v>0</v>
      </c>
      <c r="F1437" s="7"/>
      <c r="G1437" s="7">
        <v>4678</v>
      </c>
      <c r="H1437" s="7">
        <v>3981</v>
      </c>
      <c r="I1437" s="7">
        <v>0</v>
      </c>
      <c r="J1437" s="2">
        <v>15.55000019073486</v>
      </c>
      <c r="K1437" s="23">
        <f t="shared" si="169"/>
        <v>52826.718000000001</v>
      </c>
      <c r="L1437" s="23">
        <f t="shared" si="168"/>
        <v>11.292586147926464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AA1437" s="11"/>
      <c r="AB1437" s="11"/>
      <c r="AC1437" s="11"/>
      <c r="AD1437" s="11"/>
      <c r="AE1437" s="11"/>
    </row>
    <row r="1438" spans="1:31" x14ac:dyDescent="0.25">
      <c r="A1438" s="18" t="s">
        <v>2</v>
      </c>
      <c r="B1438" s="21">
        <v>46124</v>
      </c>
      <c r="C1438" s="7">
        <v>3412</v>
      </c>
      <c r="D1438" s="7">
        <v>3150</v>
      </c>
      <c r="E1438" s="7">
        <v>0</v>
      </c>
      <c r="F1438" s="7"/>
      <c r="G1438" s="7">
        <v>2326</v>
      </c>
      <c r="H1438" s="7">
        <v>4180</v>
      </c>
      <c r="I1438" s="7">
        <v>0</v>
      </c>
      <c r="J1438" s="2">
        <v>18.45000076293945</v>
      </c>
      <c r="K1438" s="23">
        <f t="shared" si="169"/>
        <v>39831.135999999999</v>
      </c>
      <c r="L1438" s="23">
        <f t="shared" si="168"/>
        <v>17.124306104901116</v>
      </c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AA1438" s="11"/>
      <c r="AB1438" s="11"/>
      <c r="AC1438" s="11"/>
      <c r="AD1438" s="11"/>
      <c r="AE1438" s="11"/>
    </row>
    <row r="1439" spans="1:31" x14ac:dyDescent="0.25">
      <c r="A1439" s="18" t="s">
        <v>2</v>
      </c>
      <c r="B1439" s="21">
        <v>46125</v>
      </c>
      <c r="C1439" s="7">
        <v>2302</v>
      </c>
      <c r="D1439" s="7">
        <v>4200</v>
      </c>
      <c r="E1439" s="7">
        <v>9850</v>
      </c>
      <c r="F1439" s="7"/>
      <c r="G1439" s="7">
        <v>3595</v>
      </c>
      <c r="H1439" s="7">
        <v>3381</v>
      </c>
      <c r="I1439" s="7">
        <v>51300</v>
      </c>
      <c r="J1439" s="2">
        <v>21.75</v>
      </c>
      <c r="K1439" s="23">
        <f t="shared" si="169"/>
        <v>106731.306</v>
      </c>
      <c r="L1439" s="23">
        <f t="shared" si="168"/>
        <v>29.688819471488177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AA1439" s="11"/>
      <c r="AB1439" s="11"/>
      <c r="AC1439" s="11"/>
      <c r="AD1439" s="11"/>
      <c r="AE1439" s="11"/>
    </row>
    <row r="1440" spans="1:31" x14ac:dyDescent="0.25">
      <c r="A1440" s="18" t="s">
        <v>2</v>
      </c>
      <c r="B1440" s="21">
        <v>46126</v>
      </c>
      <c r="C1440" s="7">
        <v>2985</v>
      </c>
      <c r="D1440" s="7">
        <v>3100</v>
      </c>
      <c r="E1440" s="7">
        <v>0</v>
      </c>
      <c r="F1440" s="7"/>
      <c r="G1440" s="7">
        <v>2938.8060966542753</v>
      </c>
      <c r="H1440" s="7">
        <v>4034.6800000000003</v>
      </c>
      <c r="I1440" s="7">
        <v>0</v>
      </c>
      <c r="J1440" s="2">
        <v>26.29999923706055</v>
      </c>
      <c r="K1440" s="23">
        <f t="shared" si="169"/>
        <v>35021.955000000002</v>
      </c>
      <c r="L1440" s="23">
        <f t="shared" si="168"/>
        <v>11.917068989298489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AA1440" s="11"/>
      <c r="AB1440" s="11"/>
      <c r="AC1440" s="11"/>
      <c r="AD1440" s="11"/>
      <c r="AE1440" s="11"/>
    </row>
    <row r="1441" spans="1:31" x14ac:dyDescent="0.25">
      <c r="A1441" s="18" t="s">
        <v>2</v>
      </c>
      <c r="B1441" s="21">
        <v>46127</v>
      </c>
      <c r="C1441" s="8">
        <v>2954</v>
      </c>
      <c r="D1441" s="8">
        <v>3400</v>
      </c>
      <c r="E1441" s="8">
        <v>0</v>
      </c>
      <c r="F1441" s="8"/>
      <c r="G1441" s="8">
        <v>3315</v>
      </c>
      <c r="H1441" s="8">
        <v>4545</v>
      </c>
      <c r="I1441" s="8">
        <v>0</v>
      </c>
      <c r="J1441" s="2">
        <v>32</v>
      </c>
      <c r="K1441" s="23">
        <f t="shared" si="169"/>
        <v>34827.661999999997</v>
      </c>
      <c r="L1441" s="23">
        <f t="shared" si="168"/>
        <v>10.50608205128205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AA1441" s="11"/>
      <c r="AB1441" s="11"/>
      <c r="AC1441" s="11"/>
      <c r="AD1441" s="11"/>
      <c r="AE1441" s="11"/>
    </row>
    <row r="1442" spans="1:31" x14ac:dyDescent="0.25">
      <c r="A1442" s="18" t="s">
        <v>2</v>
      </c>
      <c r="B1442" s="21">
        <v>46128</v>
      </c>
      <c r="C1442" s="7">
        <v>3450</v>
      </c>
      <c r="D1442" s="7">
        <v>4600</v>
      </c>
      <c r="E1442" s="7">
        <v>0</v>
      </c>
      <c r="F1442" s="7"/>
      <c r="G1442" s="7">
        <v>4642</v>
      </c>
      <c r="H1442" s="7">
        <v>1680</v>
      </c>
      <c r="I1442" s="7">
        <v>0</v>
      </c>
      <c r="J1442" s="2">
        <v>32.849998474121087</v>
      </c>
      <c r="K1442" s="23">
        <f t="shared" si="169"/>
        <v>40996.35</v>
      </c>
      <c r="L1442" s="23">
        <f t="shared" si="168"/>
        <v>8.8316135286514434</v>
      </c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AA1442" s="11"/>
      <c r="AB1442" s="11"/>
      <c r="AC1442" s="11"/>
      <c r="AD1442" s="11"/>
      <c r="AE1442" s="11"/>
    </row>
    <row r="1443" spans="1:31" x14ac:dyDescent="0.25">
      <c r="A1443" s="18" t="s">
        <v>2</v>
      </c>
      <c r="B1443" s="21">
        <v>46129</v>
      </c>
      <c r="C1443" s="7">
        <v>3214</v>
      </c>
      <c r="D1443" s="7">
        <v>4600</v>
      </c>
      <c r="E1443" s="7">
        <v>0</v>
      </c>
      <c r="F1443" s="7"/>
      <c r="G1443" s="7">
        <v>4621</v>
      </c>
      <c r="H1443" s="7">
        <v>3300</v>
      </c>
      <c r="I1443" s="7">
        <v>0</v>
      </c>
      <c r="J1443" s="2">
        <v>32.450000762939453</v>
      </c>
      <c r="K1443" s="23">
        <f t="shared" si="169"/>
        <v>38352.441999999995</v>
      </c>
      <c r="L1443" s="23">
        <f t="shared" si="168"/>
        <v>8.2995979225275907</v>
      </c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AA1443" s="11"/>
      <c r="AB1443" s="11"/>
      <c r="AC1443" s="11"/>
      <c r="AD1443" s="11"/>
      <c r="AE1443" s="11"/>
    </row>
    <row r="1444" spans="1:31" x14ac:dyDescent="0.25">
      <c r="A1444" s="18" t="s">
        <v>2</v>
      </c>
      <c r="B1444" s="21">
        <v>46130</v>
      </c>
      <c r="C1444" s="7">
        <v>2950</v>
      </c>
      <c r="D1444" s="7">
        <v>3800</v>
      </c>
      <c r="E1444" s="7">
        <v>9175</v>
      </c>
      <c r="F1444" s="7"/>
      <c r="G1444" s="7">
        <v>3430</v>
      </c>
      <c r="H1444" s="7">
        <v>3390</v>
      </c>
      <c r="I1444" s="7">
        <v>48222</v>
      </c>
      <c r="J1444" s="2">
        <v>32.299999237060547</v>
      </c>
      <c r="K1444" s="23">
        <f t="shared" si="169"/>
        <v>108386.85</v>
      </c>
      <c r="L1444" s="23">
        <f t="shared" si="168"/>
        <v>31.59966472303207</v>
      </c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AA1444" s="11"/>
      <c r="AB1444" s="11"/>
      <c r="AC1444" s="11"/>
      <c r="AD1444" s="11"/>
      <c r="AE1444" s="11"/>
    </row>
    <row r="1445" spans="1:31" x14ac:dyDescent="0.25">
      <c r="A1445" s="18" t="s">
        <v>2</v>
      </c>
      <c r="B1445" s="21">
        <v>46131</v>
      </c>
      <c r="C1445" s="7">
        <v>3150</v>
      </c>
      <c r="D1445" s="7">
        <v>3100</v>
      </c>
      <c r="E1445" s="7">
        <v>0</v>
      </c>
      <c r="F1445" s="7"/>
      <c r="G1445" s="7">
        <v>3037</v>
      </c>
      <c r="H1445" s="7">
        <v>870</v>
      </c>
      <c r="I1445" s="7">
        <v>0</v>
      </c>
      <c r="J1445" s="2">
        <v>33.700000762939453</v>
      </c>
      <c r="K1445" s="23">
        <f t="shared" si="169"/>
        <v>36870.449999999997</v>
      </c>
      <c r="L1445" s="23">
        <f t="shared" si="168"/>
        <v>12.140418175831412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AA1445" s="11"/>
      <c r="AB1445" s="11"/>
      <c r="AC1445" s="11"/>
      <c r="AD1445" s="11"/>
      <c r="AE1445" s="11"/>
    </row>
    <row r="1446" spans="1:31" x14ac:dyDescent="0.25">
      <c r="A1446" s="18" t="s">
        <v>2</v>
      </c>
      <c r="B1446" s="21">
        <v>46132</v>
      </c>
      <c r="C1446" s="8">
        <v>2502</v>
      </c>
      <c r="D1446" s="8">
        <v>4800</v>
      </c>
      <c r="E1446" s="8">
        <v>0</v>
      </c>
      <c r="F1446" s="8"/>
      <c r="G1446" s="8">
        <v>4797.880597014926</v>
      </c>
      <c r="H1446" s="8">
        <v>4682.4676616915431</v>
      </c>
      <c r="I1446" s="8">
        <v>0</v>
      </c>
      <c r="J1446" s="2">
        <v>23.79999923706055</v>
      </c>
      <c r="K1446" s="23">
        <f t="shared" si="169"/>
        <v>30477.905999999999</v>
      </c>
      <c r="L1446" s="23">
        <f t="shared" si="168"/>
        <v>6.3523685893647057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AA1446" s="11"/>
      <c r="AB1446" s="11"/>
      <c r="AC1446" s="11"/>
      <c r="AD1446" s="11"/>
      <c r="AE1446" s="11"/>
    </row>
    <row r="1447" spans="1:31" x14ac:dyDescent="0.25">
      <c r="A1447" s="18" t="s">
        <v>2</v>
      </c>
      <c r="B1447" s="21">
        <v>46133</v>
      </c>
      <c r="C1447" s="7">
        <v>2487</v>
      </c>
      <c r="D1447" s="7">
        <v>5100</v>
      </c>
      <c r="E1447" s="7">
        <v>0</v>
      </c>
      <c r="F1447" s="7"/>
      <c r="G1447" s="7">
        <v>5010</v>
      </c>
      <c r="H1447" s="7">
        <v>4785</v>
      </c>
      <c r="I1447" s="7">
        <v>0</v>
      </c>
      <c r="J1447" s="2">
        <v>25.5</v>
      </c>
      <c r="K1447" s="23">
        <f t="shared" si="169"/>
        <v>30462.860999999997</v>
      </c>
      <c r="L1447" s="23">
        <f t="shared" si="168"/>
        <v>6.0804113772455084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AA1447" s="11"/>
      <c r="AB1447" s="11"/>
      <c r="AC1447" s="11"/>
      <c r="AD1447" s="11"/>
      <c r="AE1447" s="11"/>
    </row>
    <row r="1448" spans="1:31" x14ac:dyDescent="0.25">
      <c r="A1448" s="18" t="s">
        <v>2</v>
      </c>
      <c r="B1448" s="21">
        <v>46134</v>
      </c>
      <c r="C1448" s="7">
        <v>2900</v>
      </c>
      <c r="D1448" s="7">
        <v>5600</v>
      </c>
      <c r="E1448" s="7">
        <v>9275</v>
      </c>
      <c r="F1448" s="7"/>
      <c r="G1448" s="7">
        <v>4185</v>
      </c>
      <c r="H1448" s="7">
        <v>4185</v>
      </c>
      <c r="I1448" s="7">
        <v>48450</v>
      </c>
      <c r="J1448" s="2">
        <v>22.89999961853027</v>
      </c>
      <c r="K1448" s="23">
        <f t="shared" si="169"/>
        <v>109544.7</v>
      </c>
      <c r="L1448" s="23">
        <f t="shared" si="168"/>
        <v>26.175555555555555</v>
      </c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AA1448" s="11"/>
      <c r="AB1448" s="11"/>
      <c r="AC1448" s="11"/>
      <c r="AD1448" s="11"/>
      <c r="AE1448" s="11"/>
    </row>
    <row r="1449" spans="1:31" x14ac:dyDescent="0.25">
      <c r="A1449" s="18" t="s">
        <v>2</v>
      </c>
      <c r="B1449" s="21">
        <v>46135</v>
      </c>
      <c r="C1449" s="7">
        <v>3233</v>
      </c>
      <c r="D1449" s="7">
        <v>4500</v>
      </c>
      <c r="E1449" s="7">
        <v>0</v>
      </c>
      <c r="F1449" s="7"/>
      <c r="G1449" s="7">
        <v>4485</v>
      </c>
      <c r="H1449" s="7">
        <v>4485</v>
      </c>
      <c r="I1449" s="7">
        <v>0</v>
      </c>
      <c r="J1449" s="2">
        <v>21.89999961853027</v>
      </c>
      <c r="K1449" s="23">
        <f t="shared" si="169"/>
        <v>38514.298999999999</v>
      </c>
      <c r="L1449" s="23">
        <f t="shared" si="168"/>
        <v>8.5873576365663329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AA1449" s="11"/>
      <c r="AB1449" s="11"/>
      <c r="AC1449" s="11"/>
      <c r="AD1449" s="11"/>
      <c r="AE1449" s="11"/>
    </row>
    <row r="1450" spans="1:31" x14ac:dyDescent="0.25">
      <c r="A1450" s="18" t="s">
        <v>2</v>
      </c>
      <c r="B1450" s="21">
        <v>46136</v>
      </c>
      <c r="C1450" s="7">
        <v>2916</v>
      </c>
      <c r="D1450" s="7">
        <v>5600</v>
      </c>
      <c r="E1450" s="7">
        <v>5000</v>
      </c>
      <c r="F1450" s="7"/>
      <c r="G1450" s="7">
        <v>3705</v>
      </c>
      <c r="H1450" s="7">
        <v>3705</v>
      </c>
      <c r="I1450" s="7">
        <v>27000</v>
      </c>
      <c r="J1450" s="2">
        <v>26.35000038146973</v>
      </c>
      <c r="K1450" s="23">
        <f t="shared" si="169"/>
        <v>75523.948000000004</v>
      </c>
      <c r="L1450" s="23">
        <f t="shared" si="168"/>
        <v>20.384331443994604</v>
      </c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AA1450" s="11"/>
      <c r="AB1450" s="11"/>
      <c r="AC1450" s="11"/>
      <c r="AD1450" s="11"/>
      <c r="AE1450" s="11"/>
    </row>
    <row r="1451" spans="1:31" x14ac:dyDescent="0.25">
      <c r="A1451" s="18" t="s">
        <v>2</v>
      </c>
      <c r="B1451" s="21">
        <v>46137</v>
      </c>
      <c r="C1451" s="8">
        <v>3899</v>
      </c>
      <c r="D1451" s="8">
        <v>5000</v>
      </c>
      <c r="E1451" s="8">
        <v>0</v>
      </c>
      <c r="F1451" s="8"/>
      <c r="G1451" s="8">
        <v>4846.59</v>
      </c>
      <c r="H1451" s="8">
        <v>5143.3200000000006</v>
      </c>
      <c r="I1451" s="8">
        <v>0</v>
      </c>
      <c r="J1451" s="2">
        <v>28.60000038146973</v>
      </c>
      <c r="K1451" s="23">
        <f t="shared" si="169"/>
        <v>46230.496999999996</v>
      </c>
      <c r="L1451" s="23">
        <f t="shared" si="168"/>
        <v>9.5387678759705263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AA1451" s="11"/>
      <c r="AB1451" s="11"/>
      <c r="AC1451" s="11"/>
      <c r="AD1451" s="11"/>
      <c r="AE1451" s="11"/>
    </row>
    <row r="1452" spans="1:31" x14ac:dyDescent="0.25">
      <c r="A1452" s="18" t="s">
        <v>2</v>
      </c>
      <c r="B1452" s="21">
        <v>46138</v>
      </c>
      <c r="C1452" s="7">
        <v>2070</v>
      </c>
      <c r="D1452" s="7">
        <v>4300</v>
      </c>
      <c r="E1452" s="7">
        <v>0</v>
      </c>
      <c r="F1452" s="7"/>
      <c r="G1452" s="7">
        <v>2798.12</v>
      </c>
      <c r="H1452" s="7">
        <v>2798.12</v>
      </c>
      <c r="I1452" s="7">
        <v>0</v>
      </c>
      <c r="J1452" s="2">
        <v>27.54999923706055</v>
      </c>
      <c r="K1452" s="23">
        <f t="shared" si="169"/>
        <v>25383.21</v>
      </c>
      <c r="L1452" s="23">
        <f t="shared" si="168"/>
        <v>9.0715230226008892</v>
      </c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AA1452" s="11"/>
      <c r="AB1452" s="11"/>
      <c r="AC1452" s="11"/>
      <c r="AD1452" s="11"/>
      <c r="AE1452" s="11"/>
    </row>
    <row r="1453" spans="1:31" x14ac:dyDescent="0.25">
      <c r="A1453" s="18" t="s">
        <v>2</v>
      </c>
      <c r="B1453" s="21">
        <v>46139</v>
      </c>
      <c r="C1453" s="7">
        <v>2694</v>
      </c>
      <c r="D1453" s="7">
        <v>5200</v>
      </c>
      <c r="E1453" s="7">
        <v>0</v>
      </c>
      <c r="F1453" s="7"/>
      <c r="G1453" s="7">
        <v>3745.04</v>
      </c>
      <c r="H1453" s="7">
        <v>3745.04</v>
      </c>
      <c r="I1453" s="7">
        <v>0</v>
      </c>
      <c r="J1453" s="2">
        <v>22.25</v>
      </c>
      <c r="K1453" s="23">
        <f t="shared" si="169"/>
        <v>32832.881999999998</v>
      </c>
      <c r="L1453" s="23">
        <f t="shared" si="168"/>
        <v>8.7670310597483603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AA1453" s="11"/>
      <c r="AB1453" s="11"/>
      <c r="AC1453" s="11"/>
      <c r="AD1453" s="11"/>
      <c r="AE1453" s="11"/>
    </row>
    <row r="1454" spans="1:31" x14ac:dyDescent="0.25">
      <c r="A1454" s="18" t="s">
        <v>2</v>
      </c>
      <c r="B1454" s="21">
        <v>46140</v>
      </c>
      <c r="C1454" s="7">
        <v>3163</v>
      </c>
      <c r="D1454" s="7">
        <v>5800</v>
      </c>
      <c r="E1454" s="7">
        <v>0</v>
      </c>
      <c r="F1454" s="7"/>
      <c r="G1454" s="7">
        <v>4856.1206896551721</v>
      </c>
      <c r="H1454" s="7">
        <v>3729</v>
      </c>
      <c r="I1454" s="7">
        <v>0</v>
      </c>
      <c r="J1454" s="2">
        <v>22.35000038146973</v>
      </c>
      <c r="K1454" s="23">
        <f t="shared" si="169"/>
        <v>38393.089</v>
      </c>
      <c r="L1454" s="23">
        <f t="shared" si="168"/>
        <v>7.9061233139834197</v>
      </c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AA1454" s="11"/>
      <c r="AB1454" s="11"/>
      <c r="AC1454" s="11"/>
      <c r="AD1454" s="11"/>
      <c r="AE1454" s="11"/>
    </row>
    <row r="1455" spans="1:31" x14ac:dyDescent="0.25">
      <c r="A1455" s="18" t="s">
        <v>2</v>
      </c>
      <c r="B1455" s="21">
        <v>46141</v>
      </c>
      <c r="C1455" s="7">
        <v>3604</v>
      </c>
      <c r="D1455" s="7">
        <v>7800</v>
      </c>
      <c r="E1455" s="7">
        <v>8550</v>
      </c>
      <c r="F1455" s="7"/>
      <c r="G1455" s="7">
        <v>4695</v>
      </c>
      <c r="H1455" s="7">
        <v>5735</v>
      </c>
      <c r="I1455" s="7">
        <v>44814</v>
      </c>
      <c r="J1455" s="2">
        <v>23.95000076293945</v>
      </c>
      <c r="K1455" s="23">
        <f t="shared" si="169"/>
        <v>112753.61199999999</v>
      </c>
      <c r="L1455" s="23">
        <f t="shared" si="168"/>
        <v>24.015678807241745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AA1455" s="11"/>
      <c r="AB1455" s="11"/>
      <c r="AC1455" s="11"/>
      <c r="AD1455" s="11"/>
      <c r="AE1455" s="11"/>
    </row>
    <row r="1456" spans="1:31" x14ac:dyDescent="0.25">
      <c r="A1456" s="18" t="s">
        <v>2</v>
      </c>
      <c r="B1456" s="21">
        <v>46142</v>
      </c>
      <c r="C1456" s="7">
        <v>3564</v>
      </c>
      <c r="D1456" s="7">
        <v>4500</v>
      </c>
      <c r="E1456" s="7">
        <v>0</v>
      </c>
      <c r="F1456" s="7"/>
      <c r="G1456" s="7">
        <v>6285</v>
      </c>
      <c r="H1456" s="7">
        <v>2869</v>
      </c>
      <c r="I1456" s="7">
        <v>0</v>
      </c>
      <c r="J1456" s="2">
        <v>22.860000046</v>
      </c>
      <c r="K1456" s="23">
        <f t="shared" si="169"/>
        <v>42222.491999999998</v>
      </c>
      <c r="L1456" s="23">
        <f t="shared" si="168"/>
        <v>6.7179780429594267</v>
      </c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AA1456" s="11"/>
      <c r="AB1456" s="11"/>
      <c r="AC1456" s="11"/>
      <c r="AD1456" s="11"/>
      <c r="AE1456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 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Azeddine kanni</dc:creator>
  <cp:lastModifiedBy>Azeddine kanni</cp:lastModifiedBy>
  <dcterms:created xsi:type="dcterms:W3CDTF">2026-06-05T09:29:28Z</dcterms:created>
  <dcterms:modified xsi:type="dcterms:W3CDTF">2026-08-01T20:38:11Z</dcterms:modified>
</cp:coreProperties>
</file>